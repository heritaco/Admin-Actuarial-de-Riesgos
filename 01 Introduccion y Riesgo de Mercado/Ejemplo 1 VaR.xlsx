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inliveudlap-my.sharepoint.com/personal/heriberto_espinomo_udlap_mx/Documents/Universidad/10 Semestre Primavera/Admin Actuarial de Riesgos/"/>
    </mc:Choice>
  </mc:AlternateContent>
  <xr:revisionPtr revIDLastSave="116" documentId="13_ncr:1_{9A64F289-5CDC-49D4-B117-3323CAE43285}" xr6:coauthVersionLast="47" xr6:coauthVersionMax="47" xr10:uidLastSave="{EDEAD6E6-648D-4641-A815-FBE4736DC0BA}"/>
  <bookViews>
    <workbookView xWindow="5520" yWindow="3770" windowWidth="19200" windowHeight="11710" activeTab="1" xr2:uid="{00000000-000D-0000-FFFF-FFFF00000000}"/>
  </bookViews>
  <sheets>
    <sheet name="Data" sheetId="3" r:id="rId1"/>
    <sheet name="Escenarios" sheetId="4" r:id="rId2"/>
    <sheet name="VaR 1 Sim Hist" sheetId="5" r:id="rId3"/>
    <sheet name="VaR 2 Sim MC" sheetId="6" r:id="rId4"/>
    <sheet name="Simulación ST" sheetId="8" r:id="rId5"/>
    <sheet name="VaR Paramétrico" sheetId="9" r:id="rId6"/>
    <sheet name="Resumen Va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" i="4"/>
  <c r="H3" i="4"/>
  <c r="H2" i="4"/>
  <c r="J4" i="4"/>
  <c r="K495" i="4"/>
  <c r="H495" i="4"/>
  <c r="K23" i="4"/>
  <c r="K17" i="4"/>
  <c r="K5" i="4"/>
  <c r="K3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B2" i="4"/>
  <c r="H6" i="3"/>
  <c r="P25" i="3"/>
  <c r="I12" i="7"/>
  <c r="I11" i="7"/>
  <c r="I9" i="7"/>
  <c r="I8" i="7"/>
  <c r="H12" i="7"/>
  <c r="H11" i="7"/>
  <c r="H9" i="7"/>
  <c r="H8" i="7"/>
  <c r="T28" i="9"/>
  <c r="S27" i="9"/>
  <c r="R26" i="9"/>
  <c r="Q25" i="9"/>
  <c r="T20" i="9" l="1"/>
  <c r="S19" i="9"/>
  <c r="R18" i="9"/>
  <c r="Q17" i="9"/>
  <c r="I66" i="9" l="1"/>
  <c r="I63" i="9"/>
  <c r="I55" i="9"/>
  <c r="I50" i="9"/>
  <c r="I62" i="9"/>
  <c r="L485" i="9"/>
  <c r="K484" i="9"/>
  <c r="J483" i="9"/>
  <c r="I482" i="9"/>
  <c r="AA8" i="6" l="1"/>
  <c r="E6" i="5" l="1"/>
  <c r="F14" i="5"/>
  <c r="F5" i="5"/>
  <c r="F7" i="5"/>
  <c r="F10" i="5"/>
  <c r="G615" i="8" l="1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495" i="8"/>
  <c r="G496" i="8"/>
  <c r="G497" i="8"/>
  <c r="G498" i="8"/>
  <c r="G499" i="8"/>
  <c r="G500" i="8"/>
  <c r="G501" i="8"/>
  <c r="G502" i="8"/>
  <c r="G503" i="8"/>
  <c r="L2" i="8"/>
  <c r="J54" i="9"/>
  <c r="J61" i="9"/>
  <c r="J65" i="9"/>
  <c r="I42" i="9" l="1"/>
  <c r="J49" i="9"/>
  <c r="J28" i="9"/>
  <c r="J34" i="9"/>
  <c r="J42" i="9"/>
  <c r="I59" i="9" l="1"/>
  <c r="I58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B4" i="9"/>
  <c r="I16" i="9" l="1"/>
  <c r="D2" i="7" l="1"/>
  <c r="AA7" i="6"/>
  <c r="AA6" i="6"/>
  <c r="D3" i="7" s="1"/>
  <c r="X2" i="6"/>
  <c r="D4" i="7" s="1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I23" i="6"/>
  <c r="J23" i="6"/>
  <c r="K23" i="6"/>
  <c r="L23" i="6"/>
  <c r="I24" i="6"/>
  <c r="J24" i="6"/>
  <c r="K24" i="6"/>
  <c r="L24" i="6"/>
  <c r="I25" i="6"/>
  <c r="J25" i="6"/>
  <c r="K25" i="6"/>
  <c r="L25" i="6"/>
  <c r="I26" i="6"/>
  <c r="J26" i="6"/>
  <c r="K26" i="6"/>
  <c r="L26" i="6"/>
  <c r="I27" i="6"/>
  <c r="J27" i="6"/>
  <c r="K27" i="6"/>
  <c r="L27" i="6"/>
  <c r="I28" i="6"/>
  <c r="J28" i="6"/>
  <c r="K28" i="6"/>
  <c r="L28" i="6"/>
  <c r="I29" i="6"/>
  <c r="J29" i="6"/>
  <c r="K29" i="6"/>
  <c r="L29" i="6"/>
  <c r="I30" i="6"/>
  <c r="J30" i="6"/>
  <c r="K30" i="6"/>
  <c r="L30" i="6"/>
  <c r="I31" i="6"/>
  <c r="J31" i="6"/>
  <c r="K31" i="6"/>
  <c r="L31" i="6"/>
  <c r="I32" i="6"/>
  <c r="J32" i="6"/>
  <c r="K32" i="6"/>
  <c r="L32" i="6"/>
  <c r="I33" i="6"/>
  <c r="J33" i="6"/>
  <c r="K33" i="6"/>
  <c r="L33" i="6"/>
  <c r="I34" i="6"/>
  <c r="J34" i="6"/>
  <c r="K34" i="6"/>
  <c r="L34" i="6"/>
  <c r="I35" i="6"/>
  <c r="J35" i="6"/>
  <c r="K35" i="6"/>
  <c r="L35" i="6"/>
  <c r="I36" i="6"/>
  <c r="J36" i="6"/>
  <c r="K36" i="6"/>
  <c r="L36" i="6"/>
  <c r="I37" i="6"/>
  <c r="J37" i="6"/>
  <c r="K37" i="6"/>
  <c r="L37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I65" i="6"/>
  <c r="J65" i="6"/>
  <c r="K65" i="6"/>
  <c r="L65" i="6"/>
  <c r="I66" i="6"/>
  <c r="J66" i="6"/>
  <c r="K66" i="6"/>
  <c r="L66" i="6"/>
  <c r="I67" i="6"/>
  <c r="J67" i="6"/>
  <c r="K67" i="6"/>
  <c r="L67" i="6"/>
  <c r="I68" i="6"/>
  <c r="J68" i="6"/>
  <c r="K68" i="6"/>
  <c r="L68" i="6"/>
  <c r="I69" i="6"/>
  <c r="J69" i="6"/>
  <c r="K69" i="6"/>
  <c r="L69" i="6"/>
  <c r="I70" i="6"/>
  <c r="J70" i="6"/>
  <c r="K70" i="6"/>
  <c r="L70" i="6"/>
  <c r="I71" i="6"/>
  <c r="J71" i="6"/>
  <c r="K71" i="6"/>
  <c r="L71" i="6"/>
  <c r="I72" i="6"/>
  <c r="J72" i="6"/>
  <c r="K72" i="6"/>
  <c r="L72" i="6"/>
  <c r="I73" i="6"/>
  <c r="J73" i="6"/>
  <c r="K73" i="6"/>
  <c r="L73" i="6"/>
  <c r="I74" i="6"/>
  <c r="J74" i="6"/>
  <c r="K74" i="6"/>
  <c r="L74" i="6"/>
  <c r="I75" i="6"/>
  <c r="J75" i="6"/>
  <c r="K75" i="6"/>
  <c r="L75" i="6"/>
  <c r="I76" i="6"/>
  <c r="J76" i="6"/>
  <c r="K76" i="6"/>
  <c r="L76" i="6"/>
  <c r="I77" i="6"/>
  <c r="J77" i="6"/>
  <c r="K77" i="6"/>
  <c r="L77" i="6"/>
  <c r="I78" i="6"/>
  <c r="J78" i="6"/>
  <c r="K78" i="6"/>
  <c r="L78" i="6"/>
  <c r="I79" i="6"/>
  <c r="J79" i="6"/>
  <c r="K79" i="6"/>
  <c r="L79" i="6"/>
  <c r="I80" i="6"/>
  <c r="J80" i="6"/>
  <c r="K80" i="6"/>
  <c r="L80" i="6"/>
  <c r="I81" i="6"/>
  <c r="J81" i="6"/>
  <c r="K81" i="6"/>
  <c r="L81" i="6"/>
  <c r="I82" i="6"/>
  <c r="J82" i="6"/>
  <c r="K82" i="6"/>
  <c r="L82" i="6"/>
  <c r="I83" i="6"/>
  <c r="J83" i="6"/>
  <c r="K83" i="6"/>
  <c r="L83" i="6"/>
  <c r="I84" i="6"/>
  <c r="J84" i="6"/>
  <c r="K84" i="6"/>
  <c r="L84" i="6"/>
  <c r="I85" i="6"/>
  <c r="J85" i="6"/>
  <c r="K85" i="6"/>
  <c r="L85" i="6"/>
  <c r="I86" i="6"/>
  <c r="J86" i="6"/>
  <c r="K86" i="6"/>
  <c r="L86" i="6"/>
  <c r="I87" i="6"/>
  <c r="J87" i="6"/>
  <c r="K87" i="6"/>
  <c r="L87" i="6"/>
  <c r="I88" i="6"/>
  <c r="J88" i="6"/>
  <c r="K88" i="6"/>
  <c r="L88" i="6"/>
  <c r="I89" i="6"/>
  <c r="J89" i="6"/>
  <c r="K89" i="6"/>
  <c r="L89" i="6"/>
  <c r="I90" i="6"/>
  <c r="J90" i="6"/>
  <c r="K90" i="6"/>
  <c r="L90" i="6"/>
  <c r="I91" i="6"/>
  <c r="J91" i="6"/>
  <c r="K91" i="6"/>
  <c r="L91" i="6"/>
  <c r="I92" i="6"/>
  <c r="J92" i="6"/>
  <c r="K92" i="6"/>
  <c r="L92" i="6"/>
  <c r="I93" i="6"/>
  <c r="J93" i="6"/>
  <c r="K93" i="6"/>
  <c r="L93" i="6"/>
  <c r="I94" i="6"/>
  <c r="J94" i="6"/>
  <c r="K94" i="6"/>
  <c r="L94" i="6"/>
  <c r="I95" i="6"/>
  <c r="J95" i="6"/>
  <c r="K95" i="6"/>
  <c r="L95" i="6"/>
  <c r="I96" i="6"/>
  <c r="J96" i="6"/>
  <c r="K96" i="6"/>
  <c r="L96" i="6"/>
  <c r="I97" i="6"/>
  <c r="J97" i="6"/>
  <c r="K97" i="6"/>
  <c r="L97" i="6"/>
  <c r="I98" i="6"/>
  <c r="J98" i="6"/>
  <c r="K98" i="6"/>
  <c r="L98" i="6"/>
  <c r="I99" i="6"/>
  <c r="J99" i="6"/>
  <c r="K99" i="6"/>
  <c r="L99" i="6"/>
  <c r="I100" i="6"/>
  <c r="J100" i="6"/>
  <c r="K100" i="6"/>
  <c r="L100" i="6"/>
  <c r="I101" i="6"/>
  <c r="J101" i="6"/>
  <c r="K101" i="6"/>
  <c r="L101" i="6"/>
  <c r="I102" i="6"/>
  <c r="J102" i="6"/>
  <c r="K102" i="6"/>
  <c r="L102" i="6"/>
  <c r="I103" i="6"/>
  <c r="J103" i="6"/>
  <c r="K103" i="6"/>
  <c r="L103" i="6"/>
  <c r="I104" i="6"/>
  <c r="J104" i="6"/>
  <c r="K104" i="6"/>
  <c r="L104" i="6"/>
  <c r="I105" i="6"/>
  <c r="J105" i="6"/>
  <c r="K105" i="6"/>
  <c r="L105" i="6"/>
  <c r="I106" i="6"/>
  <c r="J106" i="6"/>
  <c r="K106" i="6"/>
  <c r="L106" i="6"/>
  <c r="I107" i="6"/>
  <c r="J107" i="6"/>
  <c r="K107" i="6"/>
  <c r="L107" i="6"/>
  <c r="I108" i="6"/>
  <c r="J108" i="6"/>
  <c r="K108" i="6"/>
  <c r="L108" i="6"/>
  <c r="I109" i="6"/>
  <c r="J109" i="6"/>
  <c r="K109" i="6"/>
  <c r="L109" i="6"/>
  <c r="I110" i="6"/>
  <c r="J110" i="6"/>
  <c r="K110" i="6"/>
  <c r="L110" i="6"/>
  <c r="I111" i="6"/>
  <c r="J111" i="6"/>
  <c r="K111" i="6"/>
  <c r="L111" i="6"/>
  <c r="I112" i="6"/>
  <c r="J112" i="6"/>
  <c r="K112" i="6"/>
  <c r="L112" i="6"/>
  <c r="I113" i="6"/>
  <c r="J113" i="6"/>
  <c r="K113" i="6"/>
  <c r="L113" i="6"/>
  <c r="I114" i="6"/>
  <c r="J114" i="6"/>
  <c r="K114" i="6"/>
  <c r="L114" i="6"/>
  <c r="I115" i="6"/>
  <c r="J115" i="6"/>
  <c r="K115" i="6"/>
  <c r="L115" i="6"/>
  <c r="I116" i="6"/>
  <c r="J116" i="6"/>
  <c r="K116" i="6"/>
  <c r="L116" i="6"/>
  <c r="I117" i="6"/>
  <c r="J117" i="6"/>
  <c r="K117" i="6"/>
  <c r="L117" i="6"/>
  <c r="I118" i="6"/>
  <c r="J118" i="6"/>
  <c r="K118" i="6"/>
  <c r="L118" i="6"/>
  <c r="I119" i="6"/>
  <c r="J119" i="6"/>
  <c r="K119" i="6"/>
  <c r="L119" i="6"/>
  <c r="I120" i="6"/>
  <c r="J120" i="6"/>
  <c r="K120" i="6"/>
  <c r="L120" i="6"/>
  <c r="I121" i="6"/>
  <c r="J121" i="6"/>
  <c r="K121" i="6"/>
  <c r="L121" i="6"/>
  <c r="I122" i="6"/>
  <c r="J122" i="6"/>
  <c r="K122" i="6"/>
  <c r="L122" i="6"/>
  <c r="I123" i="6"/>
  <c r="J123" i="6"/>
  <c r="K123" i="6"/>
  <c r="L123" i="6"/>
  <c r="I124" i="6"/>
  <c r="J124" i="6"/>
  <c r="K124" i="6"/>
  <c r="L124" i="6"/>
  <c r="I125" i="6"/>
  <c r="J125" i="6"/>
  <c r="K125" i="6"/>
  <c r="L125" i="6"/>
  <c r="I126" i="6"/>
  <c r="J126" i="6"/>
  <c r="K126" i="6"/>
  <c r="L126" i="6"/>
  <c r="I127" i="6"/>
  <c r="J127" i="6"/>
  <c r="K127" i="6"/>
  <c r="L127" i="6"/>
  <c r="I128" i="6"/>
  <c r="J128" i="6"/>
  <c r="K128" i="6"/>
  <c r="L128" i="6"/>
  <c r="I129" i="6"/>
  <c r="J129" i="6"/>
  <c r="K129" i="6"/>
  <c r="L129" i="6"/>
  <c r="I130" i="6"/>
  <c r="J130" i="6"/>
  <c r="K130" i="6"/>
  <c r="L130" i="6"/>
  <c r="I131" i="6"/>
  <c r="J131" i="6"/>
  <c r="K131" i="6"/>
  <c r="L131" i="6"/>
  <c r="I132" i="6"/>
  <c r="J132" i="6"/>
  <c r="K132" i="6"/>
  <c r="L132" i="6"/>
  <c r="I133" i="6"/>
  <c r="J133" i="6"/>
  <c r="K133" i="6"/>
  <c r="L133" i="6"/>
  <c r="I134" i="6"/>
  <c r="J134" i="6"/>
  <c r="K134" i="6"/>
  <c r="L134" i="6"/>
  <c r="I135" i="6"/>
  <c r="J135" i="6"/>
  <c r="K135" i="6"/>
  <c r="L135" i="6"/>
  <c r="I136" i="6"/>
  <c r="J136" i="6"/>
  <c r="K136" i="6"/>
  <c r="L136" i="6"/>
  <c r="I137" i="6"/>
  <c r="J137" i="6"/>
  <c r="K137" i="6"/>
  <c r="L137" i="6"/>
  <c r="I138" i="6"/>
  <c r="J138" i="6"/>
  <c r="K138" i="6"/>
  <c r="L138" i="6"/>
  <c r="I139" i="6"/>
  <c r="J139" i="6"/>
  <c r="K139" i="6"/>
  <c r="L139" i="6"/>
  <c r="I140" i="6"/>
  <c r="J140" i="6"/>
  <c r="K140" i="6"/>
  <c r="L140" i="6"/>
  <c r="I141" i="6"/>
  <c r="J141" i="6"/>
  <c r="K141" i="6"/>
  <c r="L141" i="6"/>
  <c r="I142" i="6"/>
  <c r="J142" i="6"/>
  <c r="K142" i="6"/>
  <c r="L142" i="6"/>
  <c r="I143" i="6"/>
  <c r="J143" i="6"/>
  <c r="K143" i="6"/>
  <c r="L143" i="6"/>
  <c r="I144" i="6"/>
  <c r="J144" i="6"/>
  <c r="K144" i="6"/>
  <c r="L144" i="6"/>
  <c r="I145" i="6"/>
  <c r="J145" i="6"/>
  <c r="K145" i="6"/>
  <c r="L145" i="6"/>
  <c r="I146" i="6"/>
  <c r="J146" i="6"/>
  <c r="K146" i="6"/>
  <c r="L146" i="6"/>
  <c r="I147" i="6"/>
  <c r="J147" i="6"/>
  <c r="K147" i="6"/>
  <c r="L147" i="6"/>
  <c r="I148" i="6"/>
  <c r="J148" i="6"/>
  <c r="K148" i="6"/>
  <c r="L148" i="6"/>
  <c r="I149" i="6"/>
  <c r="J149" i="6"/>
  <c r="K149" i="6"/>
  <c r="L149" i="6"/>
  <c r="I150" i="6"/>
  <c r="J150" i="6"/>
  <c r="K150" i="6"/>
  <c r="L150" i="6"/>
  <c r="I151" i="6"/>
  <c r="J151" i="6"/>
  <c r="K151" i="6"/>
  <c r="L151" i="6"/>
  <c r="I152" i="6"/>
  <c r="J152" i="6"/>
  <c r="K152" i="6"/>
  <c r="L152" i="6"/>
  <c r="I153" i="6"/>
  <c r="J153" i="6"/>
  <c r="K153" i="6"/>
  <c r="L153" i="6"/>
  <c r="I154" i="6"/>
  <c r="J154" i="6"/>
  <c r="K154" i="6"/>
  <c r="L154" i="6"/>
  <c r="I155" i="6"/>
  <c r="J155" i="6"/>
  <c r="K155" i="6"/>
  <c r="L155" i="6"/>
  <c r="I156" i="6"/>
  <c r="J156" i="6"/>
  <c r="K156" i="6"/>
  <c r="L156" i="6"/>
  <c r="I157" i="6"/>
  <c r="J157" i="6"/>
  <c r="K157" i="6"/>
  <c r="L157" i="6"/>
  <c r="I158" i="6"/>
  <c r="J158" i="6"/>
  <c r="K158" i="6"/>
  <c r="L158" i="6"/>
  <c r="I159" i="6"/>
  <c r="J159" i="6"/>
  <c r="K159" i="6"/>
  <c r="L159" i="6"/>
  <c r="I160" i="6"/>
  <c r="J160" i="6"/>
  <c r="K160" i="6"/>
  <c r="L160" i="6"/>
  <c r="I161" i="6"/>
  <c r="J161" i="6"/>
  <c r="K161" i="6"/>
  <c r="L161" i="6"/>
  <c r="I162" i="6"/>
  <c r="J162" i="6"/>
  <c r="K162" i="6"/>
  <c r="L162" i="6"/>
  <c r="I163" i="6"/>
  <c r="J163" i="6"/>
  <c r="K163" i="6"/>
  <c r="L163" i="6"/>
  <c r="I164" i="6"/>
  <c r="J164" i="6"/>
  <c r="K164" i="6"/>
  <c r="L164" i="6"/>
  <c r="I165" i="6"/>
  <c r="J165" i="6"/>
  <c r="K165" i="6"/>
  <c r="L165" i="6"/>
  <c r="I166" i="6"/>
  <c r="J166" i="6"/>
  <c r="K166" i="6"/>
  <c r="L166" i="6"/>
  <c r="I167" i="6"/>
  <c r="J167" i="6"/>
  <c r="K167" i="6"/>
  <c r="L167" i="6"/>
  <c r="I168" i="6"/>
  <c r="J168" i="6"/>
  <c r="K168" i="6"/>
  <c r="L168" i="6"/>
  <c r="I169" i="6"/>
  <c r="J169" i="6"/>
  <c r="K169" i="6"/>
  <c r="L169" i="6"/>
  <c r="I170" i="6"/>
  <c r="J170" i="6"/>
  <c r="K170" i="6"/>
  <c r="L170" i="6"/>
  <c r="I171" i="6"/>
  <c r="J171" i="6"/>
  <c r="K171" i="6"/>
  <c r="L171" i="6"/>
  <c r="I172" i="6"/>
  <c r="J172" i="6"/>
  <c r="K172" i="6"/>
  <c r="L172" i="6"/>
  <c r="I173" i="6"/>
  <c r="J173" i="6"/>
  <c r="K173" i="6"/>
  <c r="L173" i="6"/>
  <c r="I174" i="6"/>
  <c r="J174" i="6"/>
  <c r="K174" i="6"/>
  <c r="L174" i="6"/>
  <c r="I175" i="6"/>
  <c r="J175" i="6"/>
  <c r="K175" i="6"/>
  <c r="L175" i="6"/>
  <c r="I176" i="6"/>
  <c r="J176" i="6"/>
  <c r="K176" i="6"/>
  <c r="L176" i="6"/>
  <c r="I177" i="6"/>
  <c r="J177" i="6"/>
  <c r="K177" i="6"/>
  <c r="L177" i="6"/>
  <c r="I178" i="6"/>
  <c r="J178" i="6"/>
  <c r="K178" i="6"/>
  <c r="L178" i="6"/>
  <c r="I179" i="6"/>
  <c r="J179" i="6"/>
  <c r="K179" i="6"/>
  <c r="L179" i="6"/>
  <c r="I180" i="6"/>
  <c r="J180" i="6"/>
  <c r="K180" i="6"/>
  <c r="L180" i="6"/>
  <c r="I181" i="6"/>
  <c r="J181" i="6"/>
  <c r="K181" i="6"/>
  <c r="L181" i="6"/>
  <c r="I182" i="6"/>
  <c r="J182" i="6"/>
  <c r="K182" i="6"/>
  <c r="L182" i="6"/>
  <c r="I183" i="6"/>
  <c r="J183" i="6"/>
  <c r="K183" i="6"/>
  <c r="L183" i="6"/>
  <c r="I184" i="6"/>
  <c r="J184" i="6"/>
  <c r="K184" i="6"/>
  <c r="L184" i="6"/>
  <c r="I185" i="6"/>
  <c r="J185" i="6"/>
  <c r="K185" i="6"/>
  <c r="L185" i="6"/>
  <c r="I186" i="6"/>
  <c r="J186" i="6"/>
  <c r="K186" i="6"/>
  <c r="L186" i="6"/>
  <c r="I187" i="6"/>
  <c r="J187" i="6"/>
  <c r="K187" i="6"/>
  <c r="L187" i="6"/>
  <c r="I188" i="6"/>
  <c r="J188" i="6"/>
  <c r="K188" i="6"/>
  <c r="L188" i="6"/>
  <c r="I189" i="6"/>
  <c r="J189" i="6"/>
  <c r="K189" i="6"/>
  <c r="L189" i="6"/>
  <c r="I190" i="6"/>
  <c r="J190" i="6"/>
  <c r="K190" i="6"/>
  <c r="L190" i="6"/>
  <c r="I191" i="6"/>
  <c r="J191" i="6"/>
  <c r="K191" i="6"/>
  <c r="L191" i="6"/>
  <c r="I192" i="6"/>
  <c r="J192" i="6"/>
  <c r="K192" i="6"/>
  <c r="L192" i="6"/>
  <c r="I193" i="6"/>
  <c r="J193" i="6"/>
  <c r="K193" i="6"/>
  <c r="L193" i="6"/>
  <c r="I194" i="6"/>
  <c r="J194" i="6"/>
  <c r="K194" i="6"/>
  <c r="L194" i="6"/>
  <c r="I195" i="6"/>
  <c r="J195" i="6"/>
  <c r="K195" i="6"/>
  <c r="L195" i="6"/>
  <c r="I196" i="6"/>
  <c r="J196" i="6"/>
  <c r="K196" i="6"/>
  <c r="L196" i="6"/>
  <c r="I197" i="6"/>
  <c r="J197" i="6"/>
  <c r="K197" i="6"/>
  <c r="L197" i="6"/>
  <c r="I198" i="6"/>
  <c r="J198" i="6"/>
  <c r="K198" i="6"/>
  <c r="L198" i="6"/>
  <c r="I199" i="6"/>
  <c r="J199" i="6"/>
  <c r="K199" i="6"/>
  <c r="L199" i="6"/>
  <c r="I200" i="6"/>
  <c r="J200" i="6"/>
  <c r="K200" i="6"/>
  <c r="L200" i="6"/>
  <c r="I201" i="6"/>
  <c r="J201" i="6"/>
  <c r="K201" i="6"/>
  <c r="L201" i="6"/>
  <c r="I202" i="6"/>
  <c r="J202" i="6"/>
  <c r="K202" i="6"/>
  <c r="L202" i="6"/>
  <c r="I203" i="6"/>
  <c r="J203" i="6"/>
  <c r="K203" i="6"/>
  <c r="L203" i="6"/>
  <c r="I204" i="6"/>
  <c r="J204" i="6"/>
  <c r="K204" i="6"/>
  <c r="L204" i="6"/>
  <c r="I205" i="6"/>
  <c r="J205" i="6"/>
  <c r="K205" i="6"/>
  <c r="L205" i="6"/>
  <c r="I206" i="6"/>
  <c r="J206" i="6"/>
  <c r="K206" i="6"/>
  <c r="L206" i="6"/>
  <c r="I207" i="6"/>
  <c r="J207" i="6"/>
  <c r="K207" i="6"/>
  <c r="L207" i="6"/>
  <c r="I208" i="6"/>
  <c r="J208" i="6"/>
  <c r="K208" i="6"/>
  <c r="L208" i="6"/>
  <c r="I209" i="6"/>
  <c r="J209" i="6"/>
  <c r="K209" i="6"/>
  <c r="L209" i="6"/>
  <c r="I210" i="6"/>
  <c r="J210" i="6"/>
  <c r="K210" i="6"/>
  <c r="L210" i="6"/>
  <c r="I211" i="6"/>
  <c r="J211" i="6"/>
  <c r="K211" i="6"/>
  <c r="L211" i="6"/>
  <c r="I212" i="6"/>
  <c r="J212" i="6"/>
  <c r="K212" i="6"/>
  <c r="L212" i="6"/>
  <c r="I213" i="6"/>
  <c r="J213" i="6"/>
  <c r="K213" i="6"/>
  <c r="L213" i="6"/>
  <c r="I214" i="6"/>
  <c r="J214" i="6"/>
  <c r="K214" i="6"/>
  <c r="L214" i="6"/>
  <c r="I215" i="6"/>
  <c r="J215" i="6"/>
  <c r="K215" i="6"/>
  <c r="L215" i="6"/>
  <c r="I216" i="6"/>
  <c r="J216" i="6"/>
  <c r="K216" i="6"/>
  <c r="L216" i="6"/>
  <c r="I217" i="6"/>
  <c r="J217" i="6"/>
  <c r="K217" i="6"/>
  <c r="L217" i="6"/>
  <c r="I218" i="6"/>
  <c r="J218" i="6"/>
  <c r="K218" i="6"/>
  <c r="L218" i="6"/>
  <c r="I219" i="6"/>
  <c r="J219" i="6"/>
  <c r="K219" i="6"/>
  <c r="L219" i="6"/>
  <c r="I220" i="6"/>
  <c r="J220" i="6"/>
  <c r="K220" i="6"/>
  <c r="L220" i="6"/>
  <c r="I221" i="6"/>
  <c r="J221" i="6"/>
  <c r="K221" i="6"/>
  <c r="L221" i="6"/>
  <c r="I222" i="6"/>
  <c r="J222" i="6"/>
  <c r="K222" i="6"/>
  <c r="L222" i="6"/>
  <c r="I223" i="6"/>
  <c r="J223" i="6"/>
  <c r="K223" i="6"/>
  <c r="L223" i="6"/>
  <c r="I224" i="6"/>
  <c r="J224" i="6"/>
  <c r="K224" i="6"/>
  <c r="L224" i="6"/>
  <c r="I225" i="6"/>
  <c r="J225" i="6"/>
  <c r="K225" i="6"/>
  <c r="L225" i="6"/>
  <c r="I226" i="6"/>
  <c r="J226" i="6"/>
  <c r="K226" i="6"/>
  <c r="L226" i="6"/>
  <c r="I227" i="6"/>
  <c r="J227" i="6"/>
  <c r="K227" i="6"/>
  <c r="L227" i="6"/>
  <c r="I228" i="6"/>
  <c r="J228" i="6"/>
  <c r="K228" i="6"/>
  <c r="L228" i="6"/>
  <c r="I229" i="6"/>
  <c r="J229" i="6"/>
  <c r="K229" i="6"/>
  <c r="L229" i="6"/>
  <c r="I230" i="6"/>
  <c r="J230" i="6"/>
  <c r="K230" i="6"/>
  <c r="L230" i="6"/>
  <c r="I231" i="6"/>
  <c r="J231" i="6"/>
  <c r="K231" i="6"/>
  <c r="L231" i="6"/>
  <c r="I232" i="6"/>
  <c r="J232" i="6"/>
  <c r="K232" i="6"/>
  <c r="L232" i="6"/>
  <c r="I233" i="6"/>
  <c r="J233" i="6"/>
  <c r="K233" i="6"/>
  <c r="L233" i="6"/>
  <c r="I234" i="6"/>
  <c r="J234" i="6"/>
  <c r="K234" i="6"/>
  <c r="L234" i="6"/>
  <c r="I235" i="6"/>
  <c r="J235" i="6"/>
  <c r="K235" i="6"/>
  <c r="L235" i="6"/>
  <c r="I236" i="6"/>
  <c r="J236" i="6"/>
  <c r="K236" i="6"/>
  <c r="L236" i="6"/>
  <c r="I237" i="6"/>
  <c r="J237" i="6"/>
  <c r="K237" i="6"/>
  <c r="L237" i="6"/>
  <c r="I238" i="6"/>
  <c r="J238" i="6"/>
  <c r="K238" i="6"/>
  <c r="L238" i="6"/>
  <c r="I239" i="6"/>
  <c r="J239" i="6"/>
  <c r="K239" i="6"/>
  <c r="L239" i="6"/>
  <c r="I240" i="6"/>
  <c r="J240" i="6"/>
  <c r="K240" i="6"/>
  <c r="L240" i="6"/>
  <c r="I241" i="6"/>
  <c r="J241" i="6"/>
  <c r="K241" i="6"/>
  <c r="L241" i="6"/>
  <c r="I242" i="6"/>
  <c r="J242" i="6"/>
  <c r="K242" i="6"/>
  <c r="L242" i="6"/>
  <c r="I243" i="6"/>
  <c r="J243" i="6"/>
  <c r="K243" i="6"/>
  <c r="L243" i="6"/>
  <c r="I244" i="6"/>
  <c r="J244" i="6"/>
  <c r="K244" i="6"/>
  <c r="L244" i="6"/>
  <c r="I245" i="6"/>
  <c r="J245" i="6"/>
  <c r="K245" i="6"/>
  <c r="L245" i="6"/>
  <c r="I246" i="6"/>
  <c r="J246" i="6"/>
  <c r="K246" i="6"/>
  <c r="L246" i="6"/>
  <c r="I247" i="6"/>
  <c r="J247" i="6"/>
  <c r="K247" i="6"/>
  <c r="L247" i="6"/>
  <c r="I248" i="6"/>
  <c r="J248" i="6"/>
  <c r="K248" i="6"/>
  <c r="L248" i="6"/>
  <c r="I249" i="6"/>
  <c r="J249" i="6"/>
  <c r="K249" i="6"/>
  <c r="L249" i="6"/>
  <c r="I250" i="6"/>
  <c r="J250" i="6"/>
  <c r="K250" i="6"/>
  <c r="L250" i="6"/>
  <c r="I251" i="6"/>
  <c r="J251" i="6"/>
  <c r="K251" i="6"/>
  <c r="L251" i="6"/>
  <c r="I252" i="6"/>
  <c r="J252" i="6"/>
  <c r="K252" i="6"/>
  <c r="L252" i="6"/>
  <c r="I253" i="6"/>
  <c r="J253" i="6"/>
  <c r="K253" i="6"/>
  <c r="L253" i="6"/>
  <c r="I254" i="6"/>
  <c r="J254" i="6"/>
  <c r="K254" i="6"/>
  <c r="L254" i="6"/>
  <c r="I255" i="6"/>
  <c r="J255" i="6"/>
  <c r="K255" i="6"/>
  <c r="L255" i="6"/>
  <c r="I256" i="6"/>
  <c r="J256" i="6"/>
  <c r="K256" i="6"/>
  <c r="L256" i="6"/>
  <c r="I257" i="6"/>
  <c r="J257" i="6"/>
  <c r="K257" i="6"/>
  <c r="L257" i="6"/>
  <c r="I258" i="6"/>
  <c r="J258" i="6"/>
  <c r="K258" i="6"/>
  <c r="L258" i="6"/>
  <c r="I259" i="6"/>
  <c r="J259" i="6"/>
  <c r="K259" i="6"/>
  <c r="L259" i="6"/>
  <c r="I260" i="6"/>
  <c r="J260" i="6"/>
  <c r="K260" i="6"/>
  <c r="L260" i="6"/>
  <c r="I261" i="6"/>
  <c r="J261" i="6"/>
  <c r="K261" i="6"/>
  <c r="L261" i="6"/>
  <c r="I262" i="6"/>
  <c r="J262" i="6"/>
  <c r="K262" i="6"/>
  <c r="L262" i="6"/>
  <c r="I263" i="6"/>
  <c r="J263" i="6"/>
  <c r="K263" i="6"/>
  <c r="L263" i="6"/>
  <c r="I264" i="6"/>
  <c r="J264" i="6"/>
  <c r="K264" i="6"/>
  <c r="L264" i="6"/>
  <c r="I265" i="6"/>
  <c r="J265" i="6"/>
  <c r="K265" i="6"/>
  <c r="L265" i="6"/>
  <c r="I266" i="6"/>
  <c r="J266" i="6"/>
  <c r="K266" i="6"/>
  <c r="L266" i="6"/>
  <c r="I267" i="6"/>
  <c r="J267" i="6"/>
  <c r="K267" i="6"/>
  <c r="L267" i="6"/>
  <c r="I268" i="6"/>
  <c r="J268" i="6"/>
  <c r="K268" i="6"/>
  <c r="L268" i="6"/>
  <c r="I269" i="6"/>
  <c r="J269" i="6"/>
  <c r="K269" i="6"/>
  <c r="L269" i="6"/>
  <c r="I270" i="6"/>
  <c r="J270" i="6"/>
  <c r="K270" i="6"/>
  <c r="L270" i="6"/>
  <c r="I271" i="6"/>
  <c r="J271" i="6"/>
  <c r="K271" i="6"/>
  <c r="L271" i="6"/>
  <c r="I272" i="6"/>
  <c r="J272" i="6"/>
  <c r="K272" i="6"/>
  <c r="L272" i="6"/>
  <c r="I273" i="6"/>
  <c r="J273" i="6"/>
  <c r="K273" i="6"/>
  <c r="L273" i="6"/>
  <c r="I274" i="6"/>
  <c r="J274" i="6"/>
  <c r="K274" i="6"/>
  <c r="L274" i="6"/>
  <c r="I275" i="6"/>
  <c r="J275" i="6"/>
  <c r="K275" i="6"/>
  <c r="L275" i="6"/>
  <c r="I276" i="6"/>
  <c r="J276" i="6"/>
  <c r="K276" i="6"/>
  <c r="L276" i="6"/>
  <c r="I277" i="6"/>
  <c r="J277" i="6"/>
  <c r="K277" i="6"/>
  <c r="L277" i="6"/>
  <c r="I278" i="6"/>
  <c r="J278" i="6"/>
  <c r="K278" i="6"/>
  <c r="L278" i="6"/>
  <c r="I279" i="6"/>
  <c r="J279" i="6"/>
  <c r="K279" i="6"/>
  <c r="L279" i="6"/>
  <c r="I280" i="6"/>
  <c r="J280" i="6"/>
  <c r="K280" i="6"/>
  <c r="L280" i="6"/>
  <c r="I281" i="6"/>
  <c r="J281" i="6"/>
  <c r="K281" i="6"/>
  <c r="L281" i="6"/>
  <c r="I282" i="6"/>
  <c r="J282" i="6"/>
  <c r="K282" i="6"/>
  <c r="L282" i="6"/>
  <c r="I283" i="6"/>
  <c r="J283" i="6"/>
  <c r="K283" i="6"/>
  <c r="L283" i="6"/>
  <c r="I284" i="6"/>
  <c r="J284" i="6"/>
  <c r="K284" i="6"/>
  <c r="L284" i="6"/>
  <c r="I285" i="6"/>
  <c r="J285" i="6"/>
  <c r="K285" i="6"/>
  <c r="L285" i="6"/>
  <c r="I286" i="6"/>
  <c r="J286" i="6"/>
  <c r="K286" i="6"/>
  <c r="L286" i="6"/>
  <c r="I287" i="6"/>
  <c r="J287" i="6"/>
  <c r="K287" i="6"/>
  <c r="L287" i="6"/>
  <c r="I288" i="6"/>
  <c r="J288" i="6"/>
  <c r="K288" i="6"/>
  <c r="L288" i="6"/>
  <c r="I289" i="6"/>
  <c r="J289" i="6"/>
  <c r="K289" i="6"/>
  <c r="L289" i="6"/>
  <c r="I290" i="6"/>
  <c r="J290" i="6"/>
  <c r="K290" i="6"/>
  <c r="L290" i="6"/>
  <c r="I291" i="6"/>
  <c r="J291" i="6"/>
  <c r="K291" i="6"/>
  <c r="L291" i="6"/>
  <c r="I292" i="6"/>
  <c r="J292" i="6"/>
  <c r="K292" i="6"/>
  <c r="L292" i="6"/>
  <c r="I293" i="6"/>
  <c r="J293" i="6"/>
  <c r="K293" i="6"/>
  <c r="L293" i="6"/>
  <c r="I294" i="6"/>
  <c r="J294" i="6"/>
  <c r="K294" i="6"/>
  <c r="L294" i="6"/>
  <c r="I295" i="6"/>
  <c r="J295" i="6"/>
  <c r="K295" i="6"/>
  <c r="L295" i="6"/>
  <c r="I296" i="6"/>
  <c r="J296" i="6"/>
  <c r="K296" i="6"/>
  <c r="L296" i="6"/>
  <c r="I297" i="6"/>
  <c r="J297" i="6"/>
  <c r="K297" i="6"/>
  <c r="L297" i="6"/>
  <c r="I298" i="6"/>
  <c r="J298" i="6"/>
  <c r="K298" i="6"/>
  <c r="L298" i="6"/>
  <c r="I299" i="6"/>
  <c r="J299" i="6"/>
  <c r="K299" i="6"/>
  <c r="L299" i="6"/>
  <c r="I300" i="6"/>
  <c r="J300" i="6"/>
  <c r="K300" i="6"/>
  <c r="L300" i="6"/>
  <c r="I301" i="6"/>
  <c r="J301" i="6"/>
  <c r="K301" i="6"/>
  <c r="L301" i="6"/>
  <c r="I302" i="6"/>
  <c r="J302" i="6"/>
  <c r="K302" i="6"/>
  <c r="L302" i="6"/>
  <c r="I303" i="6"/>
  <c r="J303" i="6"/>
  <c r="K303" i="6"/>
  <c r="L303" i="6"/>
  <c r="I304" i="6"/>
  <c r="J304" i="6"/>
  <c r="K304" i="6"/>
  <c r="L304" i="6"/>
  <c r="I305" i="6"/>
  <c r="J305" i="6"/>
  <c r="K305" i="6"/>
  <c r="L305" i="6"/>
  <c r="I306" i="6"/>
  <c r="J306" i="6"/>
  <c r="K306" i="6"/>
  <c r="L306" i="6"/>
  <c r="I307" i="6"/>
  <c r="J307" i="6"/>
  <c r="K307" i="6"/>
  <c r="L307" i="6"/>
  <c r="I308" i="6"/>
  <c r="J308" i="6"/>
  <c r="K308" i="6"/>
  <c r="L308" i="6"/>
  <c r="I309" i="6"/>
  <c r="J309" i="6"/>
  <c r="K309" i="6"/>
  <c r="L309" i="6"/>
  <c r="I310" i="6"/>
  <c r="J310" i="6"/>
  <c r="K310" i="6"/>
  <c r="L310" i="6"/>
  <c r="I311" i="6"/>
  <c r="J311" i="6"/>
  <c r="K311" i="6"/>
  <c r="L311" i="6"/>
  <c r="I312" i="6"/>
  <c r="J312" i="6"/>
  <c r="K312" i="6"/>
  <c r="L312" i="6"/>
  <c r="I313" i="6"/>
  <c r="J313" i="6"/>
  <c r="K313" i="6"/>
  <c r="L313" i="6"/>
  <c r="I314" i="6"/>
  <c r="J314" i="6"/>
  <c r="K314" i="6"/>
  <c r="L314" i="6"/>
  <c r="I315" i="6"/>
  <c r="J315" i="6"/>
  <c r="K315" i="6"/>
  <c r="L315" i="6"/>
  <c r="I316" i="6"/>
  <c r="J316" i="6"/>
  <c r="K316" i="6"/>
  <c r="L316" i="6"/>
  <c r="I317" i="6"/>
  <c r="J317" i="6"/>
  <c r="K317" i="6"/>
  <c r="L317" i="6"/>
  <c r="I318" i="6"/>
  <c r="J318" i="6"/>
  <c r="K318" i="6"/>
  <c r="L318" i="6"/>
  <c r="I319" i="6"/>
  <c r="J319" i="6"/>
  <c r="K319" i="6"/>
  <c r="L319" i="6"/>
  <c r="I320" i="6"/>
  <c r="J320" i="6"/>
  <c r="K320" i="6"/>
  <c r="L320" i="6"/>
  <c r="I321" i="6"/>
  <c r="J321" i="6"/>
  <c r="K321" i="6"/>
  <c r="L321" i="6"/>
  <c r="I322" i="6"/>
  <c r="J322" i="6"/>
  <c r="K322" i="6"/>
  <c r="L322" i="6"/>
  <c r="I323" i="6"/>
  <c r="J323" i="6"/>
  <c r="K323" i="6"/>
  <c r="L323" i="6"/>
  <c r="I324" i="6"/>
  <c r="J324" i="6"/>
  <c r="K324" i="6"/>
  <c r="L324" i="6"/>
  <c r="I325" i="6"/>
  <c r="J325" i="6"/>
  <c r="K325" i="6"/>
  <c r="L325" i="6"/>
  <c r="I326" i="6"/>
  <c r="J326" i="6"/>
  <c r="K326" i="6"/>
  <c r="L326" i="6"/>
  <c r="I327" i="6"/>
  <c r="J327" i="6"/>
  <c r="K327" i="6"/>
  <c r="L327" i="6"/>
  <c r="I328" i="6"/>
  <c r="J328" i="6"/>
  <c r="K328" i="6"/>
  <c r="L328" i="6"/>
  <c r="I329" i="6"/>
  <c r="J329" i="6"/>
  <c r="K329" i="6"/>
  <c r="L329" i="6"/>
  <c r="I330" i="6"/>
  <c r="J330" i="6"/>
  <c r="K330" i="6"/>
  <c r="L330" i="6"/>
  <c r="I331" i="6"/>
  <c r="J331" i="6"/>
  <c r="K331" i="6"/>
  <c r="L331" i="6"/>
  <c r="I332" i="6"/>
  <c r="J332" i="6"/>
  <c r="K332" i="6"/>
  <c r="L332" i="6"/>
  <c r="I333" i="6"/>
  <c r="J333" i="6"/>
  <c r="K333" i="6"/>
  <c r="L333" i="6"/>
  <c r="I334" i="6"/>
  <c r="J334" i="6"/>
  <c r="K334" i="6"/>
  <c r="L334" i="6"/>
  <c r="I335" i="6"/>
  <c r="J335" i="6"/>
  <c r="K335" i="6"/>
  <c r="L335" i="6"/>
  <c r="I336" i="6"/>
  <c r="J336" i="6"/>
  <c r="K336" i="6"/>
  <c r="L336" i="6"/>
  <c r="I337" i="6"/>
  <c r="J337" i="6"/>
  <c r="K337" i="6"/>
  <c r="L337" i="6"/>
  <c r="I338" i="6"/>
  <c r="J338" i="6"/>
  <c r="K338" i="6"/>
  <c r="L338" i="6"/>
  <c r="I339" i="6"/>
  <c r="J339" i="6"/>
  <c r="K339" i="6"/>
  <c r="L339" i="6"/>
  <c r="I340" i="6"/>
  <c r="J340" i="6"/>
  <c r="K340" i="6"/>
  <c r="L340" i="6"/>
  <c r="I341" i="6"/>
  <c r="J341" i="6"/>
  <c r="K341" i="6"/>
  <c r="L341" i="6"/>
  <c r="I342" i="6"/>
  <c r="J342" i="6"/>
  <c r="K342" i="6"/>
  <c r="L342" i="6"/>
  <c r="I343" i="6"/>
  <c r="J343" i="6"/>
  <c r="K343" i="6"/>
  <c r="L343" i="6"/>
  <c r="I344" i="6"/>
  <c r="J344" i="6"/>
  <c r="K344" i="6"/>
  <c r="L344" i="6"/>
  <c r="I345" i="6"/>
  <c r="J345" i="6"/>
  <c r="K345" i="6"/>
  <c r="L345" i="6"/>
  <c r="I346" i="6"/>
  <c r="J346" i="6"/>
  <c r="K346" i="6"/>
  <c r="L346" i="6"/>
  <c r="I347" i="6"/>
  <c r="J347" i="6"/>
  <c r="K347" i="6"/>
  <c r="L347" i="6"/>
  <c r="I348" i="6"/>
  <c r="J348" i="6"/>
  <c r="K348" i="6"/>
  <c r="L348" i="6"/>
  <c r="I349" i="6"/>
  <c r="J349" i="6"/>
  <c r="K349" i="6"/>
  <c r="L349" i="6"/>
  <c r="I350" i="6"/>
  <c r="J350" i="6"/>
  <c r="K350" i="6"/>
  <c r="L350" i="6"/>
  <c r="I351" i="6"/>
  <c r="J351" i="6"/>
  <c r="K351" i="6"/>
  <c r="L351" i="6"/>
  <c r="I352" i="6"/>
  <c r="J352" i="6"/>
  <c r="K352" i="6"/>
  <c r="L352" i="6"/>
  <c r="I353" i="6"/>
  <c r="J353" i="6"/>
  <c r="K353" i="6"/>
  <c r="L353" i="6"/>
  <c r="I354" i="6"/>
  <c r="J354" i="6"/>
  <c r="K354" i="6"/>
  <c r="L354" i="6"/>
  <c r="I355" i="6"/>
  <c r="J355" i="6"/>
  <c r="K355" i="6"/>
  <c r="L355" i="6"/>
  <c r="I356" i="6"/>
  <c r="J356" i="6"/>
  <c r="K356" i="6"/>
  <c r="L356" i="6"/>
  <c r="I357" i="6"/>
  <c r="J357" i="6"/>
  <c r="K357" i="6"/>
  <c r="L357" i="6"/>
  <c r="I358" i="6"/>
  <c r="J358" i="6"/>
  <c r="K358" i="6"/>
  <c r="L358" i="6"/>
  <c r="I359" i="6"/>
  <c r="J359" i="6"/>
  <c r="K359" i="6"/>
  <c r="L359" i="6"/>
  <c r="I360" i="6"/>
  <c r="J360" i="6"/>
  <c r="K360" i="6"/>
  <c r="L360" i="6"/>
  <c r="I361" i="6"/>
  <c r="J361" i="6"/>
  <c r="K361" i="6"/>
  <c r="L361" i="6"/>
  <c r="I362" i="6"/>
  <c r="J362" i="6"/>
  <c r="K362" i="6"/>
  <c r="L362" i="6"/>
  <c r="I363" i="6"/>
  <c r="J363" i="6"/>
  <c r="K363" i="6"/>
  <c r="L363" i="6"/>
  <c r="I364" i="6"/>
  <c r="J364" i="6"/>
  <c r="K364" i="6"/>
  <c r="L364" i="6"/>
  <c r="I365" i="6"/>
  <c r="J365" i="6"/>
  <c r="K365" i="6"/>
  <c r="L365" i="6"/>
  <c r="I366" i="6"/>
  <c r="J366" i="6"/>
  <c r="K366" i="6"/>
  <c r="L366" i="6"/>
  <c r="I367" i="6"/>
  <c r="J367" i="6"/>
  <c r="K367" i="6"/>
  <c r="L367" i="6"/>
  <c r="I368" i="6"/>
  <c r="J368" i="6"/>
  <c r="K368" i="6"/>
  <c r="L368" i="6"/>
  <c r="I369" i="6"/>
  <c r="J369" i="6"/>
  <c r="K369" i="6"/>
  <c r="L369" i="6"/>
  <c r="I370" i="6"/>
  <c r="J370" i="6"/>
  <c r="K370" i="6"/>
  <c r="L370" i="6"/>
  <c r="I371" i="6"/>
  <c r="J371" i="6"/>
  <c r="K371" i="6"/>
  <c r="L371" i="6"/>
  <c r="I372" i="6"/>
  <c r="J372" i="6"/>
  <c r="K372" i="6"/>
  <c r="L372" i="6"/>
  <c r="I373" i="6"/>
  <c r="J373" i="6"/>
  <c r="K373" i="6"/>
  <c r="L373" i="6"/>
  <c r="I374" i="6"/>
  <c r="J374" i="6"/>
  <c r="K374" i="6"/>
  <c r="L374" i="6"/>
  <c r="I375" i="6"/>
  <c r="J375" i="6"/>
  <c r="K375" i="6"/>
  <c r="L375" i="6"/>
  <c r="I376" i="6"/>
  <c r="J376" i="6"/>
  <c r="K376" i="6"/>
  <c r="L376" i="6"/>
  <c r="I377" i="6"/>
  <c r="J377" i="6"/>
  <c r="K377" i="6"/>
  <c r="L377" i="6"/>
  <c r="I378" i="6"/>
  <c r="J378" i="6"/>
  <c r="K378" i="6"/>
  <c r="L378" i="6"/>
  <c r="I379" i="6"/>
  <c r="J379" i="6"/>
  <c r="K379" i="6"/>
  <c r="L379" i="6"/>
  <c r="I380" i="6"/>
  <c r="J380" i="6"/>
  <c r="K380" i="6"/>
  <c r="L380" i="6"/>
  <c r="I381" i="6"/>
  <c r="J381" i="6"/>
  <c r="K381" i="6"/>
  <c r="L381" i="6"/>
  <c r="I382" i="6"/>
  <c r="J382" i="6"/>
  <c r="K382" i="6"/>
  <c r="L382" i="6"/>
  <c r="I383" i="6"/>
  <c r="J383" i="6"/>
  <c r="K383" i="6"/>
  <c r="L383" i="6"/>
  <c r="I384" i="6"/>
  <c r="J384" i="6"/>
  <c r="K384" i="6"/>
  <c r="L384" i="6"/>
  <c r="I385" i="6"/>
  <c r="J385" i="6"/>
  <c r="K385" i="6"/>
  <c r="L385" i="6"/>
  <c r="I386" i="6"/>
  <c r="J386" i="6"/>
  <c r="K386" i="6"/>
  <c r="L386" i="6"/>
  <c r="I387" i="6"/>
  <c r="J387" i="6"/>
  <c r="K387" i="6"/>
  <c r="L387" i="6"/>
  <c r="I388" i="6"/>
  <c r="J388" i="6"/>
  <c r="K388" i="6"/>
  <c r="L388" i="6"/>
  <c r="I389" i="6"/>
  <c r="J389" i="6"/>
  <c r="K389" i="6"/>
  <c r="L389" i="6"/>
  <c r="I390" i="6"/>
  <c r="J390" i="6"/>
  <c r="K390" i="6"/>
  <c r="L390" i="6"/>
  <c r="I391" i="6"/>
  <c r="J391" i="6"/>
  <c r="K391" i="6"/>
  <c r="L391" i="6"/>
  <c r="I392" i="6"/>
  <c r="J392" i="6"/>
  <c r="K392" i="6"/>
  <c r="L392" i="6"/>
  <c r="I393" i="6"/>
  <c r="J393" i="6"/>
  <c r="K393" i="6"/>
  <c r="L393" i="6"/>
  <c r="I394" i="6"/>
  <c r="J394" i="6"/>
  <c r="K394" i="6"/>
  <c r="L394" i="6"/>
  <c r="I395" i="6"/>
  <c r="J395" i="6"/>
  <c r="K395" i="6"/>
  <c r="L395" i="6"/>
  <c r="I396" i="6"/>
  <c r="J396" i="6"/>
  <c r="K396" i="6"/>
  <c r="L396" i="6"/>
  <c r="I397" i="6"/>
  <c r="J397" i="6"/>
  <c r="K397" i="6"/>
  <c r="L397" i="6"/>
  <c r="I398" i="6"/>
  <c r="J398" i="6"/>
  <c r="K398" i="6"/>
  <c r="L398" i="6"/>
  <c r="I399" i="6"/>
  <c r="J399" i="6"/>
  <c r="K399" i="6"/>
  <c r="L399" i="6"/>
  <c r="I400" i="6"/>
  <c r="J400" i="6"/>
  <c r="K400" i="6"/>
  <c r="L400" i="6"/>
  <c r="I401" i="6"/>
  <c r="J401" i="6"/>
  <c r="K401" i="6"/>
  <c r="L401" i="6"/>
  <c r="I402" i="6"/>
  <c r="J402" i="6"/>
  <c r="K402" i="6"/>
  <c r="L402" i="6"/>
  <c r="I403" i="6"/>
  <c r="J403" i="6"/>
  <c r="K403" i="6"/>
  <c r="L403" i="6"/>
  <c r="I404" i="6"/>
  <c r="J404" i="6"/>
  <c r="K404" i="6"/>
  <c r="L404" i="6"/>
  <c r="I405" i="6"/>
  <c r="J405" i="6"/>
  <c r="K405" i="6"/>
  <c r="L405" i="6"/>
  <c r="I406" i="6"/>
  <c r="J406" i="6"/>
  <c r="K406" i="6"/>
  <c r="L406" i="6"/>
  <c r="I407" i="6"/>
  <c r="J407" i="6"/>
  <c r="K407" i="6"/>
  <c r="L407" i="6"/>
  <c r="I408" i="6"/>
  <c r="J408" i="6"/>
  <c r="K408" i="6"/>
  <c r="L408" i="6"/>
  <c r="I409" i="6"/>
  <c r="J409" i="6"/>
  <c r="K409" i="6"/>
  <c r="L409" i="6"/>
  <c r="I410" i="6"/>
  <c r="J410" i="6"/>
  <c r="K410" i="6"/>
  <c r="L410" i="6"/>
  <c r="I411" i="6"/>
  <c r="J411" i="6"/>
  <c r="K411" i="6"/>
  <c r="L411" i="6"/>
  <c r="I412" i="6"/>
  <c r="J412" i="6"/>
  <c r="K412" i="6"/>
  <c r="L412" i="6"/>
  <c r="I413" i="6"/>
  <c r="J413" i="6"/>
  <c r="K413" i="6"/>
  <c r="L413" i="6"/>
  <c r="I414" i="6"/>
  <c r="J414" i="6"/>
  <c r="K414" i="6"/>
  <c r="L414" i="6"/>
  <c r="I415" i="6"/>
  <c r="J415" i="6"/>
  <c r="K415" i="6"/>
  <c r="L415" i="6"/>
  <c r="I416" i="6"/>
  <c r="J416" i="6"/>
  <c r="K416" i="6"/>
  <c r="L416" i="6"/>
  <c r="I417" i="6"/>
  <c r="J417" i="6"/>
  <c r="K417" i="6"/>
  <c r="L417" i="6"/>
  <c r="I418" i="6"/>
  <c r="J418" i="6"/>
  <c r="K418" i="6"/>
  <c r="L418" i="6"/>
  <c r="I419" i="6"/>
  <c r="J419" i="6"/>
  <c r="K419" i="6"/>
  <c r="L419" i="6"/>
  <c r="I420" i="6"/>
  <c r="J420" i="6"/>
  <c r="K420" i="6"/>
  <c r="L420" i="6"/>
  <c r="I421" i="6"/>
  <c r="J421" i="6"/>
  <c r="K421" i="6"/>
  <c r="L421" i="6"/>
  <c r="I422" i="6"/>
  <c r="J422" i="6"/>
  <c r="K422" i="6"/>
  <c r="L422" i="6"/>
  <c r="I423" i="6"/>
  <c r="J423" i="6"/>
  <c r="K423" i="6"/>
  <c r="L423" i="6"/>
  <c r="I424" i="6"/>
  <c r="J424" i="6"/>
  <c r="K424" i="6"/>
  <c r="L424" i="6"/>
  <c r="I425" i="6"/>
  <c r="J425" i="6"/>
  <c r="K425" i="6"/>
  <c r="L425" i="6"/>
  <c r="I426" i="6"/>
  <c r="J426" i="6"/>
  <c r="K426" i="6"/>
  <c r="L426" i="6"/>
  <c r="I427" i="6"/>
  <c r="J427" i="6"/>
  <c r="K427" i="6"/>
  <c r="L427" i="6"/>
  <c r="I428" i="6"/>
  <c r="J428" i="6"/>
  <c r="K428" i="6"/>
  <c r="L428" i="6"/>
  <c r="I429" i="6"/>
  <c r="J429" i="6"/>
  <c r="K429" i="6"/>
  <c r="L429" i="6"/>
  <c r="I430" i="6"/>
  <c r="J430" i="6"/>
  <c r="K430" i="6"/>
  <c r="L430" i="6"/>
  <c r="I431" i="6"/>
  <c r="J431" i="6"/>
  <c r="K431" i="6"/>
  <c r="L431" i="6"/>
  <c r="I432" i="6"/>
  <c r="J432" i="6"/>
  <c r="K432" i="6"/>
  <c r="L432" i="6"/>
  <c r="I433" i="6"/>
  <c r="J433" i="6"/>
  <c r="K433" i="6"/>
  <c r="L433" i="6"/>
  <c r="I434" i="6"/>
  <c r="J434" i="6"/>
  <c r="K434" i="6"/>
  <c r="L434" i="6"/>
  <c r="I435" i="6"/>
  <c r="J435" i="6"/>
  <c r="K435" i="6"/>
  <c r="L435" i="6"/>
  <c r="I436" i="6"/>
  <c r="J436" i="6"/>
  <c r="K436" i="6"/>
  <c r="L436" i="6"/>
  <c r="I437" i="6"/>
  <c r="J437" i="6"/>
  <c r="K437" i="6"/>
  <c r="L437" i="6"/>
  <c r="I438" i="6"/>
  <c r="J438" i="6"/>
  <c r="K438" i="6"/>
  <c r="L438" i="6"/>
  <c r="I439" i="6"/>
  <c r="J439" i="6"/>
  <c r="K439" i="6"/>
  <c r="L439" i="6"/>
  <c r="I440" i="6"/>
  <c r="J440" i="6"/>
  <c r="K440" i="6"/>
  <c r="L440" i="6"/>
  <c r="I441" i="6"/>
  <c r="J441" i="6"/>
  <c r="K441" i="6"/>
  <c r="L441" i="6"/>
  <c r="I442" i="6"/>
  <c r="J442" i="6"/>
  <c r="K442" i="6"/>
  <c r="L442" i="6"/>
  <c r="I443" i="6"/>
  <c r="J443" i="6"/>
  <c r="K443" i="6"/>
  <c r="L443" i="6"/>
  <c r="I444" i="6"/>
  <c r="J444" i="6"/>
  <c r="K444" i="6"/>
  <c r="L444" i="6"/>
  <c r="I445" i="6"/>
  <c r="J445" i="6"/>
  <c r="K445" i="6"/>
  <c r="L445" i="6"/>
  <c r="I446" i="6"/>
  <c r="J446" i="6"/>
  <c r="K446" i="6"/>
  <c r="L446" i="6"/>
  <c r="I447" i="6"/>
  <c r="J447" i="6"/>
  <c r="K447" i="6"/>
  <c r="L447" i="6"/>
  <c r="I448" i="6"/>
  <c r="J448" i="6"/>
  <c r="K448" i="6"/>
  <c r="L448" i="6"/>
  <c r="I449" i="6"/>
  <c r="J449" i="6"/>
  <c r="K449" i="6"/>
  <c r="L449" i="6"/>
  <c r="I450" i="6"/>
  <c r="J450" i="6"/>
  <c r="K450" i="6"/>
  <c r="L450" i="6"/>
  <c r="I451" i="6"/>
  <c r="J451" i="6"/>
  <c r="K451" i="6"/>
  <c r="L451" i="6"/>
  <c r="I452" i="6"/>
  <c r="J452" i="6"/>
  <c r="K452" i="6"/>
  <c r="L452" i="6"/>
  <c r="I453" i="6"/>
  <c r="J453" i="6"/>
  <c r="K453" i="6"/>
  <c r="L453" i="6"/>
  <c r="I454" i="6"/>
  <c r="J454" i="6"/>
  <c r="K454" i="6"/>
  <c r="L454" i="6"/>
  <c r="I455" i="6"/>
  <c r="J455" i="6"/>
  <c r="K455" i="6"/>
  <c r="L455" i="6"/>
  <c r="I456" i="6"/>
  <c r="J456" i="6"/>
  <c r="K456" i="6"/>
  <c r="L456" i="6"/>
  <c r="I457" i="6"/>
  <c r="J457" i="6"/>
  <c r="K457" i="6"/>
  <c r="L457" i="6"/>
  <c r="I458" i="6"/>
  <c r="J458" i="6"/>
  <c r="K458" i="6"/>
  <c r="L458" i="6"/>
  <c r="I459" i="6"/>
  <c r="J459" i="6"/>
  <c r="K459" i="6"/>
  <c r="L459" i="6"/>
  <c r="I460" i="6"/>
  <c r="J460" i="6"/>
  <c r="K460" i="6"/>
  <c r="L460" i="6"/>
  <c r="I461" i="6"/>
  <c r="J461" i="6"/>
  <c r="K461" i="6"/>
  <c r="L461" i="6"/>
  <c r="I462" i="6"/>
  <c r="J462" i="6"/>
  <c r="K462" i="6"/>
  <c r="L462" i="6"/>
  <c r="I463" i="6"/>
  <c r="J463" i="6"/>
  <c r="K463" i="6"/>
  <c r="L463" i="6"/>
  <c r="I464" i="6"/>
  <c r="J464" i="6"/>
  <c r="K464" i="6"/>
  <c r="L464" i="6"/>
  <c r="I465" i="6"/>
  <c r="J465" i="6"/>
  <c r="K465" i="6"/>
  <c r="L465" i="6"/>
  <c r="I466" i="6"/>
  <c r="J466" i="6"/>
  <c r="K466" i="6"/>
  <c r="L466" i="6"/>
  <c r="I467" i="6"/>
  <c r="J467" i="6"/>
  <c r="K467" i="6"/>
  <c r="L467" i="6"/>
  <c r="I468" i="6"/>
  <c r="J468" i="6"/>
  <c r="K468" i="6"/>
  <c r="L468" i="6"/>
  <c r="I469" i="6"/>
  <c r="J469" i="6"/>
  <c r="K469" i="6"/>
  <c r="L469" i="6"/>
  <c r="I470" i="6"/>
  <c r="J470" i="6"/>
  <c r="K470" i="6"/>
  <c r="L470" i="6"/>
  <c r="I471" i="6"/>
  <c r="J471" i="6"/>
  <c r="K471" i="6"/>
  <c r="L471" i="6"/>
  <c r="I472" i="6"/>
  <c r="J472" i="6"/>
  <c r="K472" i="6"/>
  <c r="L472" i="6"/>
  <c r="I473" i="6"/>
  <c r="J473" i="6"/>
  <c r="K473" i="6"/>
  <c r="L473" i="6"/>
  <c r="I474" i="6"/>
  <c r="J474" i="6"/>
  <c r="K474" i="6"/>
  <c r="L474" i="6"/>
  <c r="I475" i="6"/>
  <c r="J475" i="6"/>
  <c r="K475" i="6"/>
  <c r="L475" i="6"/>
  <c r="I476" i="6"/>
  <c r="J476" i="6"/>
  <c r="K476" i="6"/>
  <c r="L476" i="6"/>
  <c r="I477" i="6"/>
  <c r="J477" i="6"/>
  <c r="K477" i="6"/>
  <c r="L477" i="6"/>
  <c r="I478" i="6"/>
  <c r="J478" i="6"/>
  <c r="K478" i="6"/>
  <c r="L478" i="6"/>
  <c r="I479" i="6"/>
  <c r="J479" i="6"/>
  <c r="K479" i="6"/>
  <c r="L479" i="6"/>
  <c r="I480" i="6"/>
  <c r="J480" i="6"/>
  <c r="K480" i="6"/>
  <c r="L480" i="6"/>
  <c r="I481" i="6"/>
  <c r="J481" i="6"/>
  <c r="K481" i="6"/>
  <c r="L481" i="6"/>
  <c r="I482" i="6"/>
  <c r="J482" i="6"/>
  <c r="K482" i="6"/>
  <c r="L482" i="6"/>
  <c r="I483" i="6"/>
  <c r="J483" i="6"/>
  <c r="K483" i="6"/>
  <c r="L483" i="6"/>
  <c r="I484" i="6"/>
  <c r="J484" i="6"/>
  <c r="K484" i="6"/>
  <c r="L484" i="6"/>
  <c r="I485" i="6"/>
  <c r="J485" i="6"/>
  <c r="K485" i="6"/>
  <c r="L485" i="6"/>
  <c r="I486" i="6"/>
  <c r="J486" i="6"/>
  <c r="K486" i="6"/>
  <c r="L486" i="6"/>
  <c r="I487" i="6"/>
  <c r="J487" i="6"/>
  <c r="K487" i="6"/>
  <c r="L487" i="6"/>
  <c r="I488" i="6"/>
  <c r="J488" i="6"/>
  <c r="K488" i="6"/>
  <c r="L488" i="6"/>
  <c r="I489" i="6"/>
  <c r="J489" i="6"/>
  <c r="K489" i="6"/>
  <c r="L489" i="6"/>
  <c r="I490" i="6"/>
  <c r="J490" i="6"/>
  <c r="K490" i="6"/>
  <c r="L490" i="6"/>
  <c r="I491" i="6"/>
  <c r="J491" i="6"/>
  <c r="K491" i="6"/>
  <c r="L491" i="6"/>
  <c r="I492" i="6"/>
  <c r="J492" i="6"/>
  <c r="K492" i="6"/>
  <c r="L492" i="6"/>
  <c r="I493" i="6"/>
  <c r="J493" i="6"/>
  <c r="K493" i="6"/>
  <c r="L493" i="6"/>
  <c r="I494" i="6"/>
  <c r="J494" i="6"/>
  <c r="K494" i="6"/>
  <c r="L494" i="6"/>
  <c r="I495" i="6"/>
  <c r="J495" i="6"/>
  <c r="K495" i="6"/>
  <c r="L495" i="6"/>
  <c r="I496" i="6"/>
  <c r="J496" i="6"/>
  <c r="K496" i="6"/>
  <c r="L496" i="6"/>
  <c r="I497" i="6"/>
  <c r="J497" i="6"/>
  <c r="K497" i="6"/>
  <c r="L497" i="6"/>
  <c r="I498" i="6"/>
  <c r="J498" i="6"/>
  <c r="K498" i="6"/>
  <c r="L498" i="6"/>
  <c r="I499" i="6"/>
  <c r="J499" i="6"/>
  <c r="K499" i="6"/>
  <c r="L499" i="6"/>
  <c r="I500" i="6"/>
  <c r="J500" i="6"/>
  <c r="K500" i="6"/>
  <c r="L500" i="6"/>
  <c r="I501" i="6"/>
  <c r="J501" i="6"/>
  <c r="K501" i="6"/>
  <c r="L501" i="6"/>
  <c r="I502" i="6"/>
  <c r="J502" i="6"/>
  <c r="K502" i="6"/>
  <c r="L502" i="6"/>
  <c r="I503" i="6"/>
  <c r="J503" i="6"/>
  <c r="K503" i="6"/>
  <c r="L503" i="6"/>
  <c r="I504" i="6"/>
  <c r="J504" i="6"/>
  <c r="K504" i="6"/>
  <c r="L504" i="6"/>
  <c r="L5" i="6"/>
  <c r="K5" i="6"/>
  <c r="J5" i="6"/>
  <c r="I5" i="6"/>
  <c r="D9" i="7"/>
  <c r="E3" i="5"/>
  <c r="E4" i="5" s="1"/>
  <c r="B508" i="5"/>
  <c r="B504" i="5"/>
  <c r="B503" i="5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R2" i="4"/>
  <c r="E7" i="5" s="1"/>
  <c r="P504" i="3"/>
  <c r="L504" i="3"/>
  <c r="H504" i="3"/>
  <c r="P503" i="3"/>
  <c r="L503" i="3"/>
  <c r="H503" i="3"/>
  <c r="P502" i="3"/>
  <c r="L502" i="3"/>
  <c r="H502" i="3"/>
  <c r="P501" i="3"/>
  <c r="L501" i="3"/>
  <c r="H501" i="3"/>
  <c r="P500" i="3"/>
  <c r="L500" i="3"/>
  <c r="H500" i="3"/>
  <c r="P499" i="3"/>
  <c r="L499" i="3"/>
  <c r="H499" i="3"/>
  <c r="P498" i="3"/>
  <c r="L498" i="3"/>
  <c r="H498" i="3"/>
  <c r="P497" i="3"/>
  <c r="L497" i="3"/>
  <c r="H497" i="3"/>
  <c r="P496" i="3"/>
  <c r="L496" i="3"/>
  <c r="H496" i="3"/>
  <c r="P495" i="3"/>
  <c r="L495" i="3"/>
  <c r="H495" i="3"/>
  <c r="P494" i="3"/>
  <c r="L494" i="3"/>
  <c r="H494" i="3"/>
  <c r="P493" i="3"/>
  <c r="L493" i="3"/>
  <c r="H493" i="3"/>
  <c r="P492" i="3"/>
  <c r="L492" i="3"/>
  <c r="H492" i="3"/>
  <c r="P491" i="3"/>
  <c r="L491" i="3"/>
  <c r="H491" i="3"/>
  <c r="P490" i="3"/>
  <c r="L490" i="3"/>
  <c r="H490" i="3"/>
  <c r="P489" i="3"/>
  <c r="L489" i="3"/>
  <c r="H489" i="3"/>
  <c r="P488" i="3"/>
  <c r="L488" i="3"/>
  <c r="H488" i="3"/>
  <c r="P487" i="3"/>
  <c r="L487" i="3"/>
  <c r="H487" i="3"/>
  <c r="P486" i="3"/>
  <c r="L486" i="3"/>
  <c r="H486" i="3"/>
  <c r="P485" i="3"/>
  <c r="L485" i="3"/>
  <c r="H485" i="3"/>
  <c r="P484" i="3"/>
  <c r="L484" i="3"/>
  <c r="H484" i="3"/>
  <c r="P483" i="3"/>
  <c r="L483" i="3"/>
  <c r="H483" i="3"/>
  <c r="P482" i="3"/>
  <c r="L482" i="3"/>
  <c r="H482" i="3"/>
  <c r="P481" i="3"/>
  <c r="L481" i="3"/>
  <c r="H481" i="3"/>
  <c r="P480" i="3"/>
  <c r="L480" i="3"/>
  <c r="H480" i="3"/>
  <c r="P479" i="3"/>
  <c r="L479" i="3"/>
  <c r="H479" i="3"/>
  <c r="P478" i="3"/>
  <c r="L478" i="3"/>
  <c r="H478" i="3"/>
  <c r="P477" i="3"/>
  <c r="L477" i="3"/>
  <c r="H477" i="3"/>
  <c r="P476" i="3"/>
  <c r="L476" i="3"/>
  <c r="H476" i="3"/>
  <c r="P475" i="3"/>
  <c r="L475" i="3"/>
  <c r="H475" i="3"/>
  <c r="P474" i="3"/>
  <c r="L474" i="3"/>
  <c r="H474" i="3"/>
  <c r="P473" i="3"/>
  <c r="L473" i="3"/>
  <c r="H473" i="3"/>
  <c r="P472" i="3"/>
  <c r="L472" i="3"/>
  <c r="H472" i="3"/>
  <c r="P471" i="3"/>
  <c r="L471" i="3"/>
  <c r="H471" i="3"/>
  <c r="P470" i="3"/>
  <c r="L470" i="3"/>
  <c r="H470" i="3"/>
  <c r="P469" i="3"/>
  <c r="L469" i="3"/>
  <c r="H469" i="3"/>
  <c r="P468" i="3"/>
  <c r="L468" i="3"/>
  <c r="H468" i="3"/>
  <c r="P467" i="3"/>
  <c r="L467" i="3"/>
  <c r="H467" i="3"/>
  <c r="P466" i="3"/>
  <c r="L466" i="3"/>
  <c r="H466" i="3"/>
  <c r="P465" i="3"/>
  <c r="L465" i="3"/>
  <c r="H465" i="3"/>
  <c r="P464" i="3"/>
  <c r="L464" i="3"/>
  <c r="H464" i="3"/>
  <c r="P463" i="3"/>
  <c r="L463" i="3"/>
  <c r="H463" i="3"/>
  <c r="P462" i="3"/>
  <c r="L462" i="3"/>
  <c r="H462" i="3"/>
  <c r="P461" i="3"/>
  <c r="L461" i="3"/>
  <c r="H461" i="3"/>
  <c r="P460" i="3"/>
  <c r="L460" i="3"/>
  <c r="H460" i="3"/>
  <c r="P459" i="3"/>
  <c r="L459" i="3"/>
  <c r="H459" i="3"/>
  <c r="P458" i="3"/>
  <c r="L458" i="3"/>
  <c r="H458" i="3"/>
  <c r="P457" i="3"/>
  <c r="L457" i="3"/>
  <c r="H457" i="3"/>
  <c r="P456" i="3"/>
  <c r="L456" i="3"/>
  <c r="H456" i="3"/>
  <c r="P455" i="3"/>
  <c r="L455" i="3"/>
  <c r="H455" i="3"/>
  <c r="P454" i="3"/>
  <c r="L454" i="3"/>
  <c r="H454" i="3"/>
  <c r="P453" i="3"/>
  <c r="L453" i="3"/>
  <c r="H453" i="3"/>
  <c r="P452" i="3"/>
  <c r="L452" i="3"/>
  <c r="H452" i="3"/>
  <c r="P451" i="3"/>
  <c r="L451" i="3"/>
  <c r="H451" i="3"/>
  <c r="P450" i="3"/>
  <c r="L450" i="3"/>
  <c r="H450" i="3"/>
  <c r="P449" i="3"/>
  <c r="L449" i="3"/>
  <c r="H449" i="3"/>
  <c r="P448" i="3"/>
  <c r="L448" i="3"/>
  <c r="H448" i="3"/>
  <c r="P447" i="3"/>
  <c r="L447" i="3"/>
  <c r="H447" i="3"/>
  <c r="P446" i="3"/>
  <c r="L446" i="3"/>
  <c r="H446" i="3"/>
  <c r="P445" i="3"/>
  <c r="L445" i="3"/>
  <c r="H445" i="3"/>
  <c r="P444" i="3"/>
  <c r="L444" i="3"/>
  <c r="H444" i="3"/>
  <c r="P443" i="3"/>
  <c r="L443" i="3"/>
  <c r="H443" i="3"/>
  <c r="P442" i="3"/>
  <c r="L442" i="3"/>
  <c r="H442" i="3"/>
  <c r="P441" i="3"/>
  <c r="L441" i="3"/>
  <c r="H441" i="3"/>
  <c r="P440" i="3"/>
  <c r="L440" i="3"/>
  <c r="H440" i="3"/>
  <c r="P439" i="3"/>
  <c r="L439" i="3"/>
  <c r="H439" i="3"/>
  <c r="P438" i="3"/>
  <c r="L438" i="3"/>
  <c r="H438" i="3"/>
  <c r="P437" i="3"/>
  <c r="L437" i="3"/>
  <c r="H437" i="3"/>
  <c r="P436" i="3"/>
  <c r="L436" i="3"/>
  <c r="H436" i="3"/>
  <c r="P435" i="3"/>
  <c r="L435" i="3"/>
  <c r="H435" i="3"/>
  <c r="P434" i="3"/>
  <c r="L434" i="3"/>
  <c r="H434" i="3"/>
  <c r="P433" i="3"/>
  <c r="L433" i="3"/>
  <c r="H433" i="3"/>
  <c r="P432" i="3"/>
  <c r="L432" i="3"/>
  <c r="H432" i="3"/>
  <c r="P431" i="3"/>
  <c r="L431" i="3"/>
  <c r="H431" i="3"/>
  <c r="P430" i="3"/>
  <c r="L430" i="3"/>
  <c r="H430" i="3"/>
  <c r="P429" i="3"/>
  <c r="L429" i="3"/>
  <c r="H429" i="3"/>
  <c r="P428" i="3"/>
  <c r="L428" i="3"/>
  <c r="H428" i="3"/>
  <c r="P427" i="3"/>
  <c r="L427" i="3"/>
  <c r="H427" i="3"/>
  <c r="P426" i="3"/>
  <c r="L426" i="3"/>
  <c r="H426" i="3"/>
  <c r="P425" i="3"/>
  <c r="L425" i="3"/>
  <c r="H425" i="3"/>
  <c r="P424" i="3"/>
  <c r="L424" i="3"/>
  <c r="H424" i="3"/>
  <c r="P423" i="3"/>
  <c r="L423" i="3"/>
  <c r="H423" i="3"/>
  <c r="P422" i="3"/>
  <c r="L422" i="3"/>
  <c r="H422" i="3"/>
  <c r="P421" i="3"/>
  <c r="L421" i="3"/>
  <c r="H421" i="3"/>
  <c r="P420" i="3"/>
  <c r="L420" i="3"/>
  <c r="H420" i="3"/>
  <c r="P419" i="3"/>
  <c r="L419" i="3"/>
  <c r="H419" i="3"/>
  <c r="P418" i="3"/>
  <c r="L418" i="3"/>
  <c r="H418" i="3"/>
  <c r="P417" i="3"/>
  <c r="L417" i="3"/>
  <c r="H417" i="3"/>
  <c r="P416" i="3"/>
  <c r="L416" i="3"/>
  <c r="H416" i="3"/>
  <c r="P415" i="3"/>
  <c r="L415" i="3"/>
  <c r="H415" i="3"/>
  <c r="P414" i="3"/>
  <c r="L414" i="3"/>
  <c r="H414" i="3"/>
  <c r="P413" i="3"/>
  <c r="L413" i="3"/>
  <c r="H413" i="3"/>
  <c r="P412" i="3"/>
  <c r="L412" i="3"/>
  <c r="H412" i="3"/>
  <c r="P411" i="3"/>
  <c r="L411" i="3"/>
  <c r="H411" i="3"/>
  <c r="P410" i="3"/>
  <c r="L410" i="3"/>
  <c r="H410" i="3"/>
  <c r="P409" i="3"/>
  <c r="L409" i="3"/>
  <c r="H409" i="3"/>
  <c r="P408" i="3"/>
  <c r="L408" i="3"/>
  <c r="H408" i="3"/>
  <c r="P407" i="3"/>
  <c r="L407" i="3"/>
  <c r="H407" i="3"/>
  <c r="P406" i="3"/>
  <c r="L406" i="3"/>
  <c r="H406" i="3"/>
  <c r="P405" i="3"/>
  <c r="L405" i="3"/>
  <c r="H405" i="3"/>
  <c r="P404" i="3"/>
  <c r="L404" i="3"/>
  <c r="H404" i="3"/>
  <c r="P403" i="3"/>
  <c r="L403" i="3"/>
  <c r="H403" i="3"/>
  <c r="P402" i="3"/>
  <c r="L402" i="3"/>
  <c r="H402" i="3"/>
  <c r="P401" i="3"/>
  <c r="L401" i="3"/>
  <c r="H401" i="3"/>
  <c r="P400" i="3"/>
  <c r="L400" i="3"/>
  <c r="H400" i="3"/>
  <c r="P399" i="3"/>
  <c r="L399" i="3"/>
  <c r="H399" i="3"/>
  <c r="P398" i="3"/>
  <c r="L398" i="3"/>
  <c r="H398" i="3"/>
  <c r="P397" i="3"/>
  <c r="L397" i="3"/>
  <c r="H397" i="3"/>
  <c r="P396" i="3"/>
  <c r="L396" i="3"/>
  <c r="H396" i="3"/>
  <c r="P395" i="3"/>
  <c r="L395" i="3"/>
  <c r="H395" i="3"/>
  <c r="P394" i="3"/>
  <c r="L394" i="3"/>
  <c r="H394" i="3"/>
  <c r="P393" i="3"/>
  <c r="L393" i="3"/>
  <c r="H393" i="3"/>
  <c r="P392" i="3"/>
  <c r="L392" i="3"/>
  <c r="H392" i="3"/>
  <c r="P391" i="3"/>
  <c r="L391" i="3"/>
  <c r="H391" i="3"/>
  <c r="P390" i="3"/>
  <c r="L390" i="3"/>
  <c r="H390" i="3"/>
  <c r="P389" i="3"/>
  <c r="L389" i="3"/>
  <c r="H389" i="3"/>
  <c r="P388" i="3"/>
  <c r="L388" i="3"/>
  <c r="H388" i="3"/>
  <c r="P387" i="3"/>
  <c r="L387" i="3"/>
  <c r="H387" i="3"/>
  <c r="P386" i="3"/>
  <c r="L386" i="3"/>
  <c r="H386" i="3"/>
  <c r="P385" i="3"/>
  <c r="L385" i="3"/>
  <c r="H385" i="3"/>
  <c r="P384" i="3"/>
  <c r="L384" i="3"/>
  <c r="H384" i="3"/>
  <c r="P383" i="3"/>
  <c r="L383" i="3"/>
  <c r="H383" i="3"/>
  <c r="P382" i="3"/>
  <c r="L382" i="3"/>
  <c r="H382" i="3"/>
  <c r="P381" i="3"/>
  <c r="L381" i="3"/>
  <c r="H381" i="3"/>
  <c r="P380" i="3"/>
  <c r="L380" i="3"/>
  <c r="H380" i="3"/>
  <c r="P379" i="3"/>
  <c r="L379" i="3"/>
  <c r="H379" i="3"/>
  <c r="P378" i="3"/>
  <c r="L378" i="3"/>
  <c r="H378" i="3"/>
  <c r="P377" i="3"/>
  <c r="L377" i="3"/>
  <c r="H377" i="3"/>
  <c r="P376" i="3"/>
  <c r="L376" i="3"/>
  <c r="H376" i="3"/>
  <c r="P375" i="3"/>
  <c r="L375" i="3"/>
  <c r="H375" i="3"/>
  <c r="P374" i="3"/>
  <c r="L374" i="3"/>
  <c r="H374" i="3"/>
  <c r="P373" i="3"/>
  <c r="L373" i="3"/>
  <c r="H373" i="3"/>
  <c r="P372" i="3"/>
  <c r="L372" i="3"/>
  <c r="H372" i="3"/>
  <c r="P371" i="3"/>
  <c r="L371" i="3"/>
  <c r="H371" i="3"/>
  <c r="P370" i="3"/>
  <c r="L370" i="3"/>
  <c r="H370" i="3"/>
  <c r="P369" i="3"/>
  <c r="L369" i="3"/>
  <c r="H369" i="3"/>
  <c r="P368" i="3"/>
  <c r="L368" i="3"/>
  <c r="H368" i="3"/>
  <c r="P367" i="3"/>
  <c r="L367" i="3"/>
  <c r="H367" i="3"/>
  <c r="P366" i="3"/>
  <c r="L366" i="3"/>
  <c r="H366" i="3"/>
  <c r="P365" i="3"/>
  <c r="L365" i="3"/>
  <c r="H365" i="3"/>
  <c r="P364" i="3"/>
  <c r="L364" i="3"/>
  <c r="H364" i="3"/>
  <c r="P363" i="3"/>
  <c r="L363" i="3"/>
  <c r="H363" i="3"/>
  <c r="P362" i="3"/>
  <c r="L362" i="3"/>
  <c r="H362" i="3"/>
  <c r="P361" i="3"/>
  <c r="L361" i="3"/>
  <c r="H361" i="3"/>
  <c r="P360" i="3"/>
  <c r="L360" i="3"/>
  <c r="H360" i="3"/>
  <c r="P359" i="3"/>
  <c r="L359" i="3"/>
  <c r="H359" i="3"/>
  <c r="P358" i="3"/>
  <c r="L358" i="3"/>
  <c r="H358" i="3"/>
  <c r="P357" i="3"/>
  <c r="L357" i="3"/>
  <c r="H357" i="3"/>
  <c r="P356" i="3"/>
  <c r="L356" i="3"/>
  <c r="H356" i="3"/>
  <c r="P355" i="3"/>
  <c r="L355" i="3"/>
  <c r="H355" i="3"/>
  <c r="P354" i="3"/>
  <c r="L354" i="3"/>
  <c r="H354" i="3"/>
  <c r="P353" i="3"/>
  <c r="L353" i="3"/>
  <c r="H353" i="3"/>
  <c r="P352" i="3"/>
  <c r="L352" i="3"/>
  <c r="H352" i="3"/>
  <c r="P351" i="3"/>
  <c r="L351" i="3"/>
  <c r="H351" i="3"/>
  <c r="P350" i="3"/>
  <c r="L350" i="3"/>
  <c r="H350" i="3"/>
  <c r="P349" i="3"/>
  <c r="L349" i="3"/>
  <c r="H349" i="3"/>
  <c r="P348" i="3"/>
  <c r="L348" i="3"/>
  <c r="H348" i="3"/>
  <c r="P347" i="3"/>
  <c r="L347" i="3"/>
  <c r="H347" i="3"/>
  <c r="P346" i="3"/>
  <c r="L346" i="3"/>
  <c r="H346" i="3"/>
  <c r="P345" i="3"/>
  <c r="L345" i="3"/>
  <c r="H345" i="3"/>
  <c r="P344" i="3"/>
  <c r="L344" i="3"/>
  <c r="H344" i="3"/>
  <c r="P343" i="3"/>
  <c r="L343" i="3"/>
  <c r="H343" i="3"/>
  <c r="P342" i="3"/>
  <c r="L342" i="3"/>
  <c r="H342" i="3"/>
  <c r="P341" i="3"/>
  <c r="L341" i="3"/>
  <c r="H341" i="3"/>
  <c r="P340" i="3"/>
  <c r="L340" i="3"/>
  <c r="H340" i="3"/>
  <c r="P339" i="3"/>
  <c r="L339" i="3"/>
  <c r="H339" i="3"/>
  <c r="P338" i="3"/>
  <c r="L338" i="3"/>
  <c r="H338" i="3"/>
  <c r="P337" i="3"/>
  <c r="L337" i="3"/>
  <c r="H337" i="3"/>
  <c r="P336" i="3"/>
  <c r="L336" i="3"/>
  <c r="H336" i="3"/>
  <c r="P335" i="3"/>
  <c r="L335" i="3"/>
  <c r="H335" i="3"/>
  <c r="P334" i="3"/>
  <c r="L334" i="3"/>
  <c r="H334" i="3"/>
  <c r="P333" i="3"/>
  <c r="L333" i="3"/>
  <c r="H333" i="3"/>
  <c r="P332" i="3"/>
  <c r="L332" i="3"/>
  <c r="H332" i="3"/>
  <c r="P331" i="3"/>
  <c r="L331" i="3"/>
  <c r="H331" i="3"/>
  <c r="P330" i="3"/>
  <c r="L330" i="3"/>
  <c r="H330" i="3"/>
  <c r="P329" i="3"/>
  <c r="L329" i="3"/>
  <c r="H329" i="3"/>
  <c r="P328" i="3"/>
  <c r="L328" i="3"/>
  <c r="H328" i="3"/>
  <c r="P327" i="3"/>
  <c r="L327" i="3"/>
  <c r="H327" i="3"/>
  <c r="P326" i="3"/>
  <c r="L326" i="3"/>
  <c r="H326" i="3"/>
  <c r="P325" i="3"/>
  <c r="L325" i="3"/>
  <c r="H325" i="3"/>
  <c r="P324" i="3"/>
  <c r="L324" i="3"/>
  <c r="H324" i="3"/>
  <c r="P323" i="3"/>
  <c r="L323" i="3"/>
  <c r="H323" i="3"/>
  <c r="P322" i="3"/>
  <c r="L322" i="3"/>
  <c r="H322" i="3"/>
  <c r="P321" i="3"/>
  <c r="L321" i="3"/>
  <c r="H321" i="3"/>
  <c r="P320" i="3"/>
  <c r="L320" i="3"/>
  <c r="H320" i="3"/>
  <c r="P319" i="3"/>
  <c r="L319" i="3"/>
  <c r="H319" i="3"/>
  <c r="P318" i="3"/>
  <c r="L318" i="3"/>
  <c r="H318" i="3"/>
  <c r="P317" i="3"/>
  <c r="L317" i="3"/>
  <c r="H317" i="3"/>
  <c r="P316" i="3"/>
  <c r="L316" i="3"/>
  <c r="H316" i="3"/>
  <c r="P315" i="3"/>
  <c r="L315" i="3"/>
  <c r="H315" i="3"/>
  <c r="P314" i="3"/>
  <c r="L314" i="3"/>
  <c r="H314" i="3"/>
  <c r="P313" i="3"/>
  <c r="L313" i="3"/>
  <c r="H313" i="3"/>
  <c r="P312" i="3"/>
  <c r="L312" i="3"/>
  <c r="H312" i="3"/>
  <c r="P311" i="3"/>
  <c r="L311" i="3"/>
  <c r="H311" i="3"/>
  <c r="P310" i="3"/>
  <c r="L310" i="3"/>
  <c r="H310" i="3"/>
  <c r="P309" i="3"/>
  <c r="L309" i="3"/>
  <c r="H309" i="3"/>
  <c r="P308" i="3"/>
  <c r="L308" i="3"/>
  <c r="H308" i="3"/>
  <c r="P307" i="3"/>
  <c r="L307" i="3"/>
  <c r="H307" i="3"/>
  <c r="P306" i="3"/>
  <c r="L306" i="3"/>
  <c r="H306" i="3"/>
  <c r="P305" i="3"/>
  <c r="L305" i="3"/>
  <c r="H305" i="3"/>
  <c r="P304" i="3"/>
  <c r="L304" i="3"/>
  <c r="H304" i="3"/>
  <c r="P303" i="3"/>
  <c r="L303" i="3"/>
  <c r="H303" i="3"/>
  <c r="P302" i="3"/>
  <c r="L302" i="3"/>
  <c r="H302" i="3"/>
  <c r="P301" i="3"/>
  <c r="L301" i="3"/>
  <c r="H301" i="3"/>
  <c r="P300" i="3"/>
  <c r="L300" i="3"/>
  <c r="H300" i="3"/>
  <c r="P299" i="3"/>
  <c r="L299" i="3"/>
  <c r="H299" i="3"/>
  <c r="P298" i="3"/>
  <c r="L298" i="3"/>
  <c r="H298" i="3"/>
  <c r="P297" i="3"/>
  <c r="L297" i="3"/>
  <c r="H297" i="3"/>
  <c r="P296" i="3"/>
  <c r="L296" i="3"/>
  <c r="H296" i="3"/>
  <c r="P295" i="3"/>
  <c r="L295" i="3"/>
  <c r="H295" i="3"/>
  <c r="P294" i="3"/>
  <c r="L294" i="3"/>
  <c r="H294" i="3"/>
  <c r="P293" i="3"/>
  <c r="L293" i="3"/>
  <c r="H293" i="3"/>
  <c r="P292" i="3"/>
  <c r="L292" i="3"/>
  <c r="H292" i="3"/>
  <c r="P291" i="3"/>
  <c r="L291" i="3"/>
  <c r="H291" i="3"/>
  <c r="P290" i="3"/>
  <c r="L290" i="3"/>
  <c r="H290" i="3"/>
  <c r="P289" i="3"/>
  <c r="L289" i="3"/>
  <c r="H289" i="3"/>
  <c r="P288" i="3"/>
  <c r="L288" i="3"/>
  <c r="H288" i="3"/>
  <c r="P287" i="3"/>
  <c r="L287" i="3"/>
  <c r="H287" i="3"/>
  <c r="P286" i="3"/>
  <c r="L286" i="3"/>
  <c r="H286" i="3"/>
  <c r="P285" i="3"/>
  <c r="L285" i="3"/>
  <c r="H285" i="3"/>
  <c r="P284" i="3"/>
  <c r="L284" i="3"/>
  <c r="H284" i="3"/>
  <c r="P283" i="3"/>
  <c r="L283" i="3"/>
  <c r="H283" i="3"/>
  <c r="P282" i="3"/>
  <c r="L282" i="3"/>
  <c r="H282" i="3"/>
  <c r="P281" i="3"/>
  <c r="L281" i="3"/>
  <c r="H281" i="3"/>
  <c r="P280" i="3"/>
  <c r="L280" i="3"/>
  <c r="H280" i="3"/>
  <c r="P279" i="3"/>
  <c r="L279" i="3"/>
  <c r="H279" i="3"/>
  <c r="P278" i="3"/>
  <c r="L278" i="3"/>
  <c r="H278" i="3"/>
  <c r="P277" i="3"/>
  <c r="L277" i="3"/>
  <c r="H277" i="3"/>
  <c r="P276" i="3"/>
  <c r="L276" i="3"/>
  <c r="H276" i="3"/>
  <c r="P275" i="3"/>
  <c r="L275" i="3"/>
  <c r="H275" i="3"/>
  <c r="P274" i="3"/>
  <c r="L274" i="3"/>
  <c r="H274" i="3"/>
  <c r="P273" i="3"/>
  <c r="L273" i="3"/>
  <c r="H273" i="3"/>
  <c r="P272" i="3"/>
  <c r="L272" i="3"/>
  <c r="H272" i="3"/>
  <c r="P271" i="3"/>
  <c r="L271" i="3"/>
  <c r="H271" i="3"/>
  <c r="P270" i="3"/>
  <c r="L270" i="3"/>
  <c r="H270" i="3"/>
  <c r="P269" i="3"/>
  <c r="L269" i="3"/>
  <c r="H269" i="3"/>
  <c r="P268" i="3"/>
  <c r="L268" i="3"/>
  <c r="H268" i="3"/>
  <c r="P267" i="3"/>
  <c r="L267" i="3"/>
  <c r="H267" i="3"/>
  <c r="P266" i="3"/>
  <c r="L266" i="3"/>
  <c r="H266" i="3"/>
  <c r="P265" i="3"/>
  <c r="L265" i="3"/>
  <c r="H265" i="3"/>
  <c r="P264" i="3"/>
  <c r="L264" i="3"/>
  <c r="H264" i="3"/>
  <c r="P263" i="3"/>
  <c r="L263" i="3"/>
  <c r="H263" i="3"/>
  <c r="P262" i="3"/>
  <c r="L262" i="3"/>
  <c r="H262" i="3"/>
  <c r="P261" i="3"/>
  <c r="L261" i="3"/>
  <c r="H261" i="3"/>
  <c r="P260" i="3"/>
  <c r="L260" i="3"/>
  <c r="H260" i="3"/>
  <c r="P259" i="3"/>
  <c r="L259" i="3"/>
  <c r="H259" i="3"/>
  <c r="P258" i="3"/>
  <c r="L258" i="3"/>
  <c r="H258" i="3"/>
  <c r="P257" i="3"/>
  <c r="L257" i="3"/>
  <c r="H257" i="3"/>
  <c r="P256" i="3"/>
  <c r="L256" i="3"/>
  <c r="H256" i="3"/>
  <c r="P255" i="3"/>
  <c r="L255" i="3"/>
  <c r="H255" i="3"/>
  <c r="P254" i="3"/>
  <c r="L254" i="3"/>
  <c r="H254" i="3"/>
  <c r="P253" i="3"/>
  <c r="L253" i="3"/>
  <c r="H253" i="3"/>
  <c r="P252" i="3"/>
  <c r="L252" i="3"/>
  <c r="H252" i="3"/>
  <c r="P251" i="3"/>
  <c r="L251" i="3"/>
  <c r="H251" i="3"/>
  <c r="P250" i="3"/>
  <c r="L250" i="3"/>
  <c r="H250" i="3"/>
  <c r="P249" i="3"/>
  <c r="L249" i="3"/>
  <c r="H249" i="3"/>
  <c r="P248" i="3"/>
  <c r="L248" i="3"/>
  <c r="H248" i="3"/>
  <c r="P247" i="3"/>
  <c r="L247" i="3"/>
  <c r="H247" i="3"/>
  <c r="P246" i="3"/>
  <c r="L246" i="3"/>
  <c r="H246" i="3"/>
  <c r="P245" i="3"/>
  <c r="L245" i="3"/>
  <c r="H245" i="3"/>
  <c r="P244" i="3"/>
  <c r="L244" i="3"/>
  <c r="H244" i="3"/>
  <c r="P243" i="3"/>
  <c r="L243" i="3"/>
  <c r="H243" i="3"/>
  <c r="P242" i="3"/>
  <c r="L242" i="3"/>
  <c r="H242" i="3"/>
  <c r="P241" i="3"/>
  <c r="L241" i="3"/>
  <c r="H241" i="3"/>
  <c r="P240" i="3"/>
  <c r="L240" i="3"/>
  <c r="H240" i="3"/>
  <c r="P239" i="3"/>
  <c r="L239" i="3"/>
  <c r="H239" i="3"/>
  <c r="P238" i="3"/>
  <c r="L238" i="3"/>
  <c r="H238" i="3"/>
  <c r="P237" i="3"/>
  <c r="L237" i="3"/>
  <c r="H237" i="3"/>
  <c r="P236" i="3"/>
  <c r="L236" i="3"/>
  <c r="H236" i="3"/>
  <c r="P235" i="3"/>
  <c r="L235" i="3"/>
  <c r="H235" i="3"/>
  <c r="P234" i="3"/>
  <c r="L234" i="3"/>
  <c r="H234" i="3"/>
  <c r="P233" i="3"/>
  <c r="L233" i="3"/>
  <c r="H233" i="3"/>
  <c r="P232" i="3"/>
  <c r="L232" i="3"/>
  <c r="H232" i="3"/>
  <c r="P231" i="3"/>
  <c r="L231" i="3"/>
  <c r="H231" i="3"/>
  <c r="P230" i="3"/>
  <c r="L230" i="3"/>
  <c r="H230" i="3"/>
  <c r="P229" i="3"/>
  <c r="L229" i="3"/>
  <c r="H229" i="3"/>
  <c r="P228" i="3"/>
  <c r="L228" i="3"/>
  <c r="H228" i="3"/>
  <c r="P227" i="3"/>
  <c r="L227" i="3"/>
  <c r="H227" i="3"/>
  <c r="P226" i="3"/>
  <c r="L226" i="3"/>
  <c r="H226" i="3"/>
  <c r="P225" i="3"/>
  <c r="L225" i="3"/>
  <c r="H225" i="3"/>
  <c r="P224" i="3"/>
  <c r="L224" i="3"/>
  <c r="H224" i="3"/>
  <c r="P223" i="3"/>
  <c r="L223" i="3"/>
  <c r="H223" i="3"/>
  <c r="P222" i="3"/>
  <c r="L222" i="3"/>
  <c r="H222" i="3"/>
  <c r="P221" i="3"/>
  <c r="L221" i="3"/>
  <c r="H221" i="3"/>
  <c r="P220" i="3"/>
  <c r="L220" i="3"/>
  <c r="H220" i="3"/>
  <c r="P219" i="3"/>
  <c r="L219" i="3"/>
  <c r="H219" i="3"/>
  <c r="P218" i="3"/>
  <c r="L218" i="3"/>
  <c r="H218" i="3"/>
  <c r="P217" i="3"/>
  <c r="L217" i="3"/>
  <c r="H217" i="3"/>
  <c r="P216" i="3"/>
  <c r="L216" i="3"/>
  <c r="H216" i="3"/>
  <c r="P215" i="3"/>
  <c r="L215" i="3"/>
  <c r="H215" i="3"/>
  <c r="P214" i="3"/>
  <c r="L214" i="3"/>
  <c r="H214" i="3"/>
  <c r="P213" i="3"/>
  <c r="L213" i="3"/>
  <c r="H213" i="3"/>
  <c r="P212" i="3"/>
  <c r="L212" i="3"/>
  <c r="H212" i="3"/>
  <c r="P211" i="3"/>
  <c r="L211" i="3"/>
  <c r="H211" i="3"/>
  <c r="P210" i="3"/>
  <c r="L210" i="3"/>
  <c r="H210" i="3"/>
  <c r="P209" i="3"/>
  <c r="L209" i="3"/>
  <c r="H209" i="3"/>
  <c r="P208" i="3"/>
  <c r="L208" i="3"/>
  <c r="H208" i="3"/>
  <c r="P207" i="3"/>
  <c r="L207" i="3"/>
  <c r="H207" i="3"/>
  <c r="P206" i="3"/>
  <c r="L206" i="3"/>
  <c r="H206" i="3"/>
  <c r="P205" i="3"/>
  <c r="L205" i="3"/>
  <c r="H205" i="3"/>
  <c r="P204" i="3"/>
  <c r="L204" i="3"/>
  <c r="H204" i="3"/>
  <c r="P203" i="3"/>
  <c r="L203" i="3"/>
  <c r="H203" i="3"/>
  <c r="P202" i="3"/>
  <c r="L202" i="3"/>
  <c r="H202" i="3"/>
  <c r="P201" i="3"/>
  <c r="L201" i="3"/>
  <c r="H201" i="3"/>
  <c r="P200" i="3"/>
  <c r="L200" i="3"/>
  <c r="H200" i="3"/>
  <c r="P199" i="3"/>
  <c r="L199" i="3"/>
  <c r="H199" i="3"/>
  <c r="P198" i="3"/>
  <c r="L198" i="3"/>
  <c r="H198" i="3"/>
  <c r="P197" i="3"/>
  <c r="L197" i="3"/>
  <c r="H197" i="3"/>
  <c r="P196" i="3"/>
  <c r="L196" i="3"/>
  <c r="H196" i="3"/>
  <c r="P195" i="3"/>
  <c r="L195" i="3"/>
  <c r="H195" i="3"/>
  <c r="P194" i="3"/>
  <c r="L194" i="3"/>
  <c r="H194" i="3"/>
  <c r="P193" i="3"/>
  <c r="L193" i="3"/>
  <c r="H193" i="3"/>
  <c r="P192" i="3"/>
  <c r="L192" i="3"/>
  <c r="H192" i="3"/>
  <c r="P191" i="3"/>
  <c r="L191" i="3"/>
  <c r="H191" i="3"/>
  <c r="P190" i="3"/>
  <c r="L190" i="3"/>
  <c r="H190" i="3"/>
  <c r="P189" i="3"/>
  <c r="L189" i="3"/>
  <c r="H189" i="3"/>
  <c r="P188" i="3"/>
  <c r="L188" i="3"/>
  <c r="H188" i="3"/>
  <c r="P187" i="3"/>
  <c r="L187" i="3"/>
  <c r="H187" i="3"/>
  <c r="P186" i="3"/>
  <c r="L186" i="3"/>
  <c r="H186" i="3"/>
  <c r="P185" i="3"/>
  <c r="L185" i="3"/>
  <c r="H185" i="3"/>
  <c r="P184" i="3"/>
  <c r="L184" i="3"/>
  <c r="H184" i="3"/>
  <c r="P183" i="3"/>
  <c r="L183" i="3"/>
  <c r="H183" i="3"/>
  <c r="P182" i="3"/>
  <c r="L182" i="3"/>
  <c r="H182" i="3"/>
  <c r="P181" i="3"/>
  <c r="L181" i="3"/>
  <c r="H181" i="3"/>
  <c r="P180" i="3"/>
  <c r="L180" i="3"/>
  <c r="H180" i="3"/>
  <c r="P179" i="3"/>
  <c r="L179" i="3"/>
  <c r="H179" i="3"/>
  <c r="P178" i="3"/>
  <c r="L178" i="3"/>
  <c r="H178" i="3"/>
  <c r="P177" i="3"/>
  <c r="L177" i="3"/>
  <c r="H177" i="3"/>
  <c r="P176" i="3"/>
  <c r="L176" i="3"/>
  <c r="H176" i="3"/>
  <c r="P175" i="3"/>
  <c r="L175" i="3"/>
  <c r="H175" i="3"/>
  <c r="P174" i="3"/>
  <c r="L174" i="3"/>
  <c r="H174" i="3"/>
  <c r="P173" i="3"/>
  <c r="L173" i="3"/>
  <c r="H173" i="3"/>
  <c r="P172" i="3"/>
  <c r="L172" i="3"/>
  <c r="H172" i="3"/>
  <c r="P171" i="3"/>
  <c r="L171" i="3"/>
  <c r="H171" i="3"/>
  <c r="P170" i="3"/>
  <c r="L170" i="3"/>
  <c r="H170" i="3"/>
  <c r="P169" i="3"/>
  <c r="L169" i="3"/>
  <c r="H169" i="3"/>
  <c r="P168" i="3"/>
  <c r="L168" i="3"/>
  <c r="H168" i="3"/>
  <c r="P167" i="3"/>
  <c r="L167" i="3"/>
  <c r="H167" i="3"/>
  <c r="P166" i="3"/>
  <c r="L166" i="3"/>
  <c r="H166" i="3"/>
  <c r="P165" i="3"/>
  <c r="L165" i="3"/>
  <c r="H165" i="3"/>
  <c r="P164" i="3"/>
  <c r="L164" i="3"/>
  <c r="H164" i="3"/>
  <c r="P163" i="3"/>
  <c r="L163" i="3"/>
  <c r="H163" i="3"/>
  <c r="P162" i="3"/>
  <c r="L162" i="3"/>
  <c r="H162" i="3"/>
  <c r="P161" i="3"/>
  <c r="L161" i="3"/>
  <c r="H161" i="3"/>
  <c r="P160" i="3"/>
  <c r="L160" i="3"/>
  <c r="H160" i="3"/>
  <c r="P159" i="3"/>
  <c r="L159" i="3"/>
  <c r="H159" i="3"/>
  <c r="P158" i="3"/>
  <c r="L158" i="3"/>
  <c r="H158" i="3"/>
  <c r="P157" i="3"/>
  <c r="L157" i="3"/>
  <c r="H157" i="3"/>
  <c r="P156" i="3"/>
  <c r="L156" i="3"/>
  <c r="H156" i="3"/>
  <c r="P155" i="3"/>
  <c r="L155" i="3"/>
  <c r="H155" i="3"/>
  <c r="P154" i="3"/>
  <c r="L154" i="3"/>
  <c r="H154" i="3"/>
  <c r="P153" i="3"/>
  <c r="L153" i="3"/>
  <c r="H153" i="3"/>
  <c r="P152" i="3"/>
  <c r="L152" i="3"/>
  <c r="H152" i="3"/>
  <c r="P151" i="3"/>
  <c r="L151" i="3"/>
  <c r="H151" i="3"/>
  <c r="P150" i="3"/>
  <c r="L150" i="3"/>
  <c r="H150" i="3"/>
  <c r="P149" i="3"/>
  <c r="L149" i="3"/>
  <c r="H149" i="3"/>
  <c r="P148" i="3"/>
  <c r="L148" i="3"/>
  <c r="H148" i="3"/>
  <c r="P147" i="3"/>
  <c r="L147" i="3"/>
  <c r="H147" i="3"/>
  <c r="P146" i="3"/>
  <c r="L146" i="3"/>
  <c r="H146" i="3"/>
  <c r="P145" i="3"/>
  <c r="L145" i="3"/>
  <c r="H145" i="3"/>
  <c r="P144" i="3"/>
  <c r="L144" i="3"/>
  <c r="H144" i="3"/>
  <c r="P143" i="3"/>
  <c r="L143" i="3"/>
  <c r="H143" i="3"/>
  <c r="P142" i="3"/>
  <c r="L142" i="3"/>
  <c r="H142" i="3"/>
  <c r="P141" i="3"/>
  <c r="L141" i="3"/>
  <c r="H141" i="3"/>
  <c r="P140" i="3"/>
  <c r="L140" i="3"/>
  <c r="H140" i="3"/>
  <c r="P139" i="3"/>
  <c r="L139" i="3"/>
  <c r="H139" i="3"/>
  <c r="P138" i="3"/>
  <c r="L138" i="3"/>
  <c r="H138" i="3"/>
  <c r="P137" i="3"/>
  <c r="L137" i="3"/>
  <c r="H137" i="3"/>
  <c r="P136" i="3"/>
  <c r="L136" i="3"/>
  <c r="H136" i="3"/>
  <c r="P135" i="3"/>
  <c r="L135" i="3"/>
  <c r="H135" i="3"/>
  <c r="P134" i="3"/>
  <c r="L134" i="3"/>
  <c r="H134" i="3"/>
  <c r="P133" i="3"/>
  <c r="L133" i="3"/>
  <c r="H133" i="3"/>
  <c r="P132" i="3"/>
  <c r="L132" i="3"/>
  <c r="H132" i="3"/>
  <c r="P131" i="3"/>
  <c r="L131" i="3"/>
  <c r="H131" i="3"/>
  <c r="P130" i="3"/>
  <c r="L130" i="3"/>
  <c r="H130" i="3"/>
  <c r="P129" i="3"/>
  <c r="L129" i="3"/>
  <c r="H129" i="3"/>
  <c r="P128" i="3"/>
  <c r="L128" i="3"/>
  <c r="H128" i="3"/>
  <c r="P127" i="3"/>
  <c r="L127" i="3"/>
  <c r="H127" i="3"/>
  <c r="P126" i="3"/>
  <c r="L126" i="3"/>
  <c r="H126" i="3"/>
  <c r="P125" i="3"/>
  <c r="L125" i="3"/>
  <c r="H125" i="3"/>
  <c r="P124" i="3"/>
  <c r="L124" i="3"/>
  <c r="H124" i="3"/>
  <c r="P123" i="3"/>
  <c r="L123" i="3"/>
  <c r="H123" i="3"/>
  <c r="P122" i="3"/>
  <c r="L122" i="3"/>
  <c r="H122" i="3"/>
  <c r="P121" i="3"/>
  <c r="L121" i="3"/>
  <c r="H121" i="3"/>
  <c r="P120" i="3"/>
  <c r="L120" i="3"/>
  <c r="H120" i="3"/>
  <c r="P119" i="3"/>
  <c r="L119" i="3"/>
  <c r="H119" i="3"/>
  <c r="P118" i="3"/>
  <c r="L118" i="3"/>
  <c r="H118" i="3"/>
  <c r="P117" i="3"/>
  <c r="L117" i="3"/>
  <c r="H117" i="3"/>
  <c r="P116" i="3"/>
  <c r="L116" i="3"/>
  <c r="H116" i="3"/>
  <c r="P115" i="3"/>
  <c r="L115" i="3"/>
  <c r="H115" i="3"/>
  <c r="P114" i="3"/>
  <c r="L114" i="3"/>
  <c r="H114" i="3"/>
  <c r="P113" i="3"/>
  <c r="L113" i="3"/>
  <c r="H113" i="3"/>
  <c r="P112" i="3"/>
  <c r="L112" i="3"/>
  <c r="H112" i="3"/>
  <c r="P111" i="3"/>
  <c r="L111" i="3"/>
  <c r="H111" i="3"/>
  <c r="P110" i="3"/>
  <c r="L110" i="3"/>
  <c r="H110" i="3"/>
  <c r="P109" i="3"/>
  <c r="L109" i="3"/>
  <c r="H109" i="3"/>
  <c r="P108" i="3"/>
  <c r="L108" i="3"/>
  <c r="H108" i="3"/>
  <c r="P107" i="3"/>
  <c r="L107" i="3"/>
  <c r="H107" i="3"/>
  <c r="P106" i="3"/>
  <c r="L106" i="3"/>
  <c r="H106" i="3"/>
  <c r="P105" i="3"/>
  <c r="L105" i="3"/>
  <c r="H105" i="3"/>
  <c r="P104" i="3"/>
  <c r="L104" i="3"/>
  <c r="H104" i="3"/>
  <c r="P103" i="3"/>
  <c r="L103" i="3"/>
  <c r="H103" i="3"/>
  <c r="P102" i="3"/>
  <c r="L102" i="3"/>
  <c r="H102" i="3"/>
  <c r="P101" i="3"/>
  <c r="L101" i="3"/>
  <c r="H101" i="3"/>
  <c r="P100" i="3"/>
  <c r="L100" i="3"/>
  <c r="H100" i="3"/>
  <c r="P99" i="3"/>
  <c r="L99" i="3"/>
  <c r="H99" i="3"/>
  <c r="P98" i="3"/>
  <c r="L98" i="3"/>
  <c r="H98" i="3"/>
  <c r="P97" i="3"/>
  <c r="L97" i="3"/>
  <c r="H97" i="3"/>
  <c r="P96" i="3"/>
  <c r="L96" i="3"/>
  <c r="H96" i="3"/>
  <c r="P95" i="3"/>
  <c r="L95" i="3"/>
  <c r="H95" i="3"/>
  <c r="P94" i="3"/>
  <c r="L94" i="3"/>
  <c r="H94" i="3"/>
  <c r="P93" i="3"/>
  <c r="L93" i="3"/>
  <c r="H93" i="3"/>
  <c r="P92" i="3"/>
  <c r="L92" i="3"/>
  <c r="H92" i="3"/>
  <c r="P91" i="3"/>
  <c r="L91" i="3"/>
  <c r="H91" i="3"/>
  <c r="P90" i="3"/>
  <c r="L90" i="3"/>
  <c r="H90" i="3"/>
  <c r="P89" i="3"/>
  <c r="L89" i="3"/>
  <c r="H89" i="3"/>
  <c r="P88" i="3"/>
  <c r="L88" i="3"/>
  <c r="H88" i="3"/>
  <c r="P87" i="3"/>
  <c r="L87" i="3"/>
  <c r="H87" i="3"/>
  <c r="P86" i="3"/>
  <c r="L86" i="3"/>
  <c r="H86" i="3"/>
  <c r="P85" i="3"/>
  <c r="L85" i="3"/>
  <c r="H85" i="3"/>
  <c r="P84" i="3"/>
  <c r="L84" i="3"/>
  <c r="H84" i="3"/>
  <c r="P83" i="3"/>
  <c r="L83" i="3"/>
  <c r="H83" i="3"/>
  <c r="P82" i="3"/>
  <c r="L82" i="3"/>
  <c r="H82" i="3"/>
  <c r="P81" i="3"/>
  <c r="L81" i="3"/>
  <c r="H81" i="3"/>
  <c r="P80" i="3"/>
  <c r="L80" i="3"/>
  <c r="H80" i="3"/>
  <c r="P79" i="3"/>
  <c r="L79" i="3"/>
  <c r="H79" i="3"/>
  <c r="P78" i="3"/>
  <c r="L78" i="3"/>
  <c r="H78" i="3"/>
  <c r="P77" i="3"/>
  <c r="L77" i="3"/>
  <c r="H77" i="3"/>
  <c r="P76" i="3"/>
  <c r="L76" i="3"/>
  <c r="H76" i="3"/>
  <c r="P75" i="3"/>
  <c r="L75" i="3"/>
  <c r="H75" i="3"/>
  <c r="P74" i="3"/>
  <c r="L74" i="3"/>
  <c r="H74" i="3"/>
  <c r="P73" i="3"/>
  <c r="L73" i="3"/>
  <c r="H73" i="3"/>
  <c r="P72" i="3"/>
  <c r="L72" i="3"/>
  <c r="H72" i="3"/>
  <c r="P71" i="3"/>
  <c r="L71" i="3"/>
  <c r="H71" i="3"/>
  <c r="P70" i="3"/>
  <c r="L70" i="3"/>
  <c r="H70" i="3"/>
  <c r="P69" i="3"/>
  <c r="L69" i="3"/>
  <c r="H69" i="3"/>
  <c r="P68" i="3"/>
  <c r="L68" i="3"/>
  <c r="H68" i="3"/>
  <c r="P67" i="3"/>
  <c r="L67" i="3"/>
  <c r="H67" i="3"/>
  <c r="P66" i="3"/>
  <c r="L66" i="3"/>
  <c r="H66" i="3"/>
  <c r="P65" i="3"/>
  <c r="L65" i="3"/>
  <c r="H65" i="3"/>
  <c r="P64" i="3"/>
  <c r="L64" i="3"/>
  <c r="H64" i="3"/>
  <c r="P63" i="3"/>
  <c r="L63" i="3"/>
  <c r="H63" i="3"/>
  <c r="P62" i="3"/>
  <c r="L62" i="3"/>
  <c r="H62" i="3"/>
  <c r="P61" i="3"/>
  <c r="L61" i="3"/>
  <c r="H61" i="3"/>
  <c r="P60" i="3"/>
  <c r="L60" i="3"/>
  <c r="H60" i="3"/>
  <c r="P59" i="3"/>
  <c r="L59" i="3"/>
  <c r="H59" i="3"/>
  <c r="P58" i="3"/>
  <c r="L58" i="3"/>
  <c r="H58" i="3"/>
  <c r="P57" i="3"/>
  <c r="L57" i="3"/>
  <c r="H57" i="3"/>
  <c r="P56" i="3"/>
  <c r="L56" i="3"/>
  <c r="H56" i="3"/>
  <c r="P55" i="3"/>
  <c r="L55" i="3"/>
  <c r="H55" i="3"/>
  <c r="P54" i="3"/>
  <c r="L54" i="3"/>
  <c r="H54" i="3"/>
  <c r="P53" i="3"/>
  <c r="L53" i="3"/>
  <c r="H53" i="3"/>
  <c r="P52" i="3"/>
  <c r="L52" i="3"/>
  <c r="H52" i="3"/>
  <c r="P51" i="3"/>
  <c r="L51" i="3"/>
  <c r="H51" i="3"/>
  <c r="P50" i="3"/>
  <c r="L50" i="3"/>
  <c r="H50" i="3"/>
  <c r="P49" i="3"/>
  <c r="L49" i="3"/>
  <c r="H49" i="3"/>
  <c r="P48" i="3"/>
  <c r="L48" i="3"/>
  <c r="H48" i="3"/>
  <c r="P47" i="3"/>
  <c r="L47" i="3"/>
  <c r="H47" i="3"/>
  <c r="P46" i="3"/>
  <c r="L46" i="3"/>
  <c r="H46" i="3"/>
  <c r="P45" i="3"/>
  <c r="L45" i="3"/>
  <c r="H45" i="3"/>
  <c r="P44" i="3"/>
  <c r="L44" i="3"/>
  <c r="H44" i="3"/>
  <c r="P43" i="3"/>
  <c r="L43" i="3"/>
  <c r="H43" i="3"/>
  <c r="P42" i="3"/>
  <c r="L42" i="3"/>
  <c r="H42" i="3"/>
  <c r="P41" i="3"/>
  <c r="L41" i="3"/>
  <c r="H41" i="3"/>
  <c r="P40" i="3"/>
  <c r="L40" i="3"/>
  <c r="H40" i="3"/>
  <c r="P39" i="3"/>
  <c r="L39" i="3"/>
  <c r="H39" i="3"/>
  <c r="P38" i="3"/>
  <c r="L38" i="3"/>
  <c r="H38" i="3"/>
  <c r="P37" i="3"/>
  <c r="L37" i="3"/>
  <c r="H37" i="3"/>
  <c r="P36" i="3"/>
  <c r="L36" i="3"/>
  <c r="H36" i="3"/>
  <c r="P35" i="3"/>
  <c r="L35" i="3"/>
  <c r="H35" i="3"/>
  <c r="P34" i="3"/>
  <c r="L34" i="3"/>
  <c r="H34" i="3"/>
  <c r="P33" i="3"/>
  <c r="L33" i="3"/>
  <c r="H33" i="3"/>
  <c r="P32" i="3"/>
  <c r="L32" i="3"/>
  <c r="H32" i="3"/>
  <c r="P31" i="3"/>
  <c r="L31" i="3"/>
  <c r="H31" i="3"/>
  <c r="P30" i="3"/>
  <c r="L30" i="3"/>
  <c r="H30" i="3"/>
  <c r="P29" i="3"/>
  <c r="L29" i="3"/>
  <c r="H29" i="3"/>
  <c r="P28" i="3"/>
  <c r="L28" i="3"/>
  <c r="H28" i="3"/>
  <c r="P27" i="3"/>
  <c r="L27" i="3"/>
  <c r="H27" i="3"/>
  <c r="P26" i="3"/>
  <c r="L26" i="3"/>
  <c r="H26" i="3"/>
  <c r="L25" i="3"/>
  <c r="H25" i="3"/>
  <c r="P24" i="3"/>
  <c r="L24" i="3"/>
  <c r="H24" i="3"/>
  <c r="P23" i="3"/>
  <c r="L23" i="3"/>
  <c r="H23" i="3"/>
  <c r="P22" i="3"/>
  <c r="L22" i="3"/>
  <c r="H22" i="3"/>
  <c r="P21" i="3"/>
  <c r="L21" i="3"/>
  <c r="H21" i="3"/>
  <c r="P20" i="3"/>
  <c r="L20" i="3"/>
  <c r="H20" i="3"/>
  <c r="P19" i="3"/>
  <c r="L19" i="3"/>
  <c r="H19" i="3"/>
  <c r="P18" i="3"/>
  <c r="L18" i="3"/>
  <c r="H18" i="3"/>
  <c r="P17" i="3"/>
  <c r="L17" i="3"/>
  <c r="H17" i="3"/>
  <c r="P16" i="3"/>
  <c r="L16" i="3"/>
  <c r="H16" i="3"/>
  <c r="P15" i="3"/>
  <c r="L15" i="3"/>
  <c r="H15" i="3"/>
  <c r="P14" i="3"/>
  <c r="L14" i="3"/>
  <c r="H14" i="3"/>
  <c r="P13" i="3"/>
  <c r="L13" i="3"/>
  <c r="H13" i="3"/>
  <c r="P12" i="3"/>
  <c r="L12" i="3"/>
  <c r="H12" i="3"/>
  <c r="P11" i="3"/>
  <c r="L11" i="3"/>
  <c r="H11" i="3"/>
  <c r="P10" i="3"/>
  <c r="L10" i="3"/>
  <c r="H10" i="3"/>
  <c r="P9" i="3"/>
  <c r="L9" i="3"/>
  <c r="H9" i="3"/>
  <c r="P8" i="3"/>
  <c r="L8" i="3"/>
  <c r="H8" i="3"/>
  <c r="P7" i="3"/>
  <c r="L7" i="3"/>
  <c r="H7" i="3"/>
  <c r="P6" i="3"/>
  <c r="L6" i="3"/>
  <c r="P5" i="3"/>
  <c r="L5" i="3"/>
  <c r="H5" i="3"/>
  <c r="P4" i="3"/>
  <c r="L4" i="3"/>
  <c r="H4" i="3"/>
  <c r="F6" i="5"/>
  <c r="F4" i="5"/>
  <c r="F3" i="5"/>
  <c r="F9" i="5"/>
  <c r="E9" i="7" l="1"/>
  <c r="E9" i="5"/>
  <c r="E10" i="5" s="1"/>
  <c r="E5" i="5"/>
  <c r="B505" i="5"/>
  <c r="B506" i="5" s="1"/>
  <c r="B507" i="5" s="1"/>
  <c r="C2" i="4"/>
  <c r="C4" i="9"/>
  <c r="D2" i="4"/>
  <c r="D4" i="9"/>
  <c r="E2" i="4"/>
  <c r="E4" i="9"/>
  <c r="C3" i="4"/>
  <c r="C5" i="9"/>
  <c r="D3" i="4"/>
  <c r="D5" i="9"/>
  <c r="E3" i="4"/>
  <c r="E5" i="9"/>
  <c r="C4" i="4"/>
  <c r="C6" i="9"/>
  <c r="D4" i="4"/>
  <c r="D6" i="9"/>
  <c r="E4" i="4"/>
  <c r="E6" i="9"/>
  <c r="C5" i="4"/>
  <c r="C7" i="9"/>
  <c r="D5" i="4"/>
  <c r="D7" i="9"/>
  <c r="E5" i="4"/>
  <c r="E7" i="9"/>
  <c r="C6" i="4"/>
  <c r="C8" i="9"/>
  <c r="D6" i="4"/>
  <c r="D8" i="9"/>
  <c r="E6" i="4"/>
  <c r="E8" i="9"/>
  <c r="C7" i="4"/>
  <c r="C9" i="9"/>
  <c r="D7" i="4"/>
  <c r="D9" i="9"/>
  <c r="E7" i="4"/>
  <c r="E9" i="9"/>
  <c r="C8" i="4"/>
  <c r="C10" i="9"/>
  <c r="D8" i="4"/>
  <c r="D10" i="9"/>
  <c r="E8" i="4"/>
  <c r="H8" i="4" s="1"/>
  <c r="E10" i="9"/>
  <c r="C9" i="4"/>
  <c r="H9" i="4" s="1"/>
  <c r="C11" i="9"/>
  <c r="D9" i="4"/>
  <c r="D11" i="9"/>
  <c r="E9" i="4"/>
  <c r="E11" i="9"/>
  <c r="C10" i="4"/>
  <c r="C12" i="9"/>
  <c r="D10" i="4"/>
  <c r="D12" i="9"/>
  <c r="E10" i="4"/>
  <c r="E12" i="9"/>
  <c r="C11" i="4"/>
  <c r="C13" i="9"/>
  <c r="D11" i="4"/>
  <c r="D13" i="9"/>
  <c r="E11" i="4"/>
  <c r="E13" i="9"/>
  <c r="C12" i="4"/>
  <c r="C14" i="9"/>
  <c r="D12" i="4"/>
  <c r="D14" i="9"/>
  <c r="E12" i="4"/>
  <c r="E14" i="9"/>
  <c r="C13" i="4"/>
  <c r="C15" i="9"/>
  <c r="D13" i="4"/>
  <c r="D15" i="9"/>
  <c r="E13" i="4"/>
  <c r="E15" i="9"/>
  <c r="C14" i="4"/>
  <c r="C16" i="9"/>
  <c r="D14" i="4"/>
  <c r="D16" i="9"/>
  <c r="E14" i="4"/>
  <c r="E16" i="9"/>
  <c r="C15" i="4"/>
  <c r="C17" i="9"/>
  <c r="D15" i="4"/>
  <c r="D17" i="9"/>
  <c r="E15" i="4"/>
  <c r="E17" i="9"/>
  <c r="C16" i="4"/>
  <c r="C18" i="9"/>
  <c r="D16" i="4"/>
  <c r="D18" i="9"/>
  <c r="E16" i="4"/>
  <c r="E18" i="9"/>
  <c r="C17" i="4"/>
  <c r="H17" i="4" s="1"/>
  <c r="C19" i="9"/>
  <c r="D17" i="4"/>
  <c r="D19" i="9"/>
  <c r="E17" i="4"/>
  <c r="E19" i="9"/>
  <c r="C18" i="4"/>
  <c r="C20" i="9"/>
  <c r="D18" i="4"/>
  <c r="D20" i="9"/>
  <c r="E18" i="4"/>
  <c r="E20" i="9"/>
  <c r="C19" i="4"/>
  <c r="C21" i="9"/>
  <c r="D19" i="4"/>
  <c r="D21" i="9"/>
  <c r="E19" i="4"/>
  <c r="E21" i="9"/>
  <c r="C20" i="4"/>
  <c r="C22" i="9"/>
  <c r="D20" i="4"/>
  <c r="D22" i="9"/>
  <c r="E20" i="4"/>
  <c r="E22" i="9"/>
  <c r="C21" i="4"/>
  <c r="C23" i="9"/>
  <c r="D21" i="4"/>
  <c r="D23" i="9"/>
  <c r="E21" i="4"/>
  <c r="E23" i="9"/>
  <c r="C22" i="4"/>
  <c r="C24" i="9"/>
  <c r="D22" i="4"/>
  <c r="D24" i="9"/>
  <c r="E22" i="4"/>
  <c r="E24" i="9"/>
  <c r="C23" i="4"/>
  <c r="C25" i="9"/>
  <c r="D23" i="4"/>
  <c r="D25" i="9"/>
  <c r="E23" i="4"/>
  <c r="E25" i="9"/>
  <c r="C24" i="4"/>
  <c r="C26" i="9"/>
  <c r="D24" i="4"/>
  <c r="D26" i="9"/>
  <c r="E24" i="4"/>
  <c r="H24" i="4" s="1"/>
  <c r="E26" i="9"/>
  <c r="C25" i="4"/>
  <c r="H25" i="4" s="1"/>
  <c r="C27" i="9"/>
  <c r="D25" i="4"/>
  <c r="D27" i="9"/>
  <c r="E25" i="4"/>
  <c r="E27" i="9"/>
  <c r="C26" i="4"/>
  <c r="C28" i="9"/>
  <c r="D26" i="4"/>
  <c r="D28" i="9"/>
  <c r="E26" i="4"/>
  <c r="E28" i="9"/>
  <c r="C27" i="4"/>
  <c r="C29" i="9"/>
  <c r="D27" i="4"/>
  <c r="D29" i="9"/>
  <c r="E27" i="4"/>
  <c r="E29" i="9"/>
  <c r="C28" i="4"/>
  <c r="C30" i="9"/>
  <c r="D28" i="4"/>
  <c r="D30" i="9"/>
  <c r="E28" i="4"/>
  <c r="E30" i="9"/>
  <c r="C29" i="4"/>
  <c r="C31" i="9"/>
  <c r="D29" i="4"/>
  <c r="D31" i="9"/>
  <c r="E29" i="4"/>
  <c r="E31" i="9"/>
  <c r="C30" i="4"/>
  <c r="C32" i="9"/>
  <c r="D30" i="4"/>
  <c r="D32" i="9"/>
  <c r="E30" i="4"/>
  <c r="E32" i="9"/>
  <c r="C31" i="4"/>
  <c r="C33" i="9"/>
  <c r="D31" i="4"/>
  <c r="D33" i="9"/>
  <c r="E31" i="4"/>
  <c r="E33" i="9"/>
  <c r="C32" i="4"/>
  <c r="C34" i="9"/>
  <c r="D32" i="4"/>
  <c r="D34" i="9"/>
  <c r="E32" i="4"/>
  <c r="H32" i="4" s="1"/>
  <c r="E34" i="9"/>
  <c r="C33" i="4"/>
  <c r="H33" i="4" s="1"/>
  <c r="C35" i="9"/>
  <c r="D33" i="4"/>
  <c r="D35" i="9"/>
  <c r="E33" i="4"/>
  <c r="E35" i="9"/>
  <c r="C34" i="4"/>
  <c r="C36" i="9"/>
  <c r="D34" i="4"/>
  <c r="D36" i="9"/>
  <c r="E34" i="4"/>
  <c r="E36" i="9"/>
  <c r="C35" i="4"/>
  <c r="C37" i="9"/>
  <c r="D35" i="4"/>
  <c r="D37" i="9"/>
  <c r="E35" i="4"/>
  <c r="E37" i="9"/>
  <c r="C36" i="4"/>
  <c r="C38" i="9"/>
  <c r="D36" i="4"/>
  <c r="D38" i="9"/>
  <c r="E36" i="4"/>
  <c r="E38" i="9"/>
  <c r="C37" i="4"/>
  <c r="C39" i="9"/>
  <c r="D37" i="4"/>
  <c r="D39" i="9"/>
  <c r="E37" i="4"/>
  <c r="E39" i="9"/>
  <c r="C38" i="4"/>
  <c r="C40" i="9"/>
  <c r="D38" i="4"/>
  <c r="D40" i="9"/>
  <c r="E38" i="4"/>
  <c r="E40" i="9"/>
  <c r="C39" i="4"/>
  <c r="C41" i="9"/>
  <c r="D39" i="4"/>
  <c r="D41" i="9"/>
  <c r="E39" i="4"/>
  <c r="E41" i="9"/>
  <c r="C40" i="4"/>
  <c r="C42" i="9"/>
  <c r="D40" i="4"/>
  <c r="D42" i="9"/>
  <c r="E40" i="4"/>
  <c r="H40" i="4" s="1"/>
  <c r="E42" i="9"/>
  <c r="C41" i="4"/>
  <c r="H41" i="4" s="1"/>
  <c r="C43" i="9"/>
  <c r="D41" i="4"/>
  <c r="D43" i="9"/>
  <c r="E41" i="4"/>
  <c r="E43" i="9"/>
  <c r="C42" i="4"/>
  <c r="C44" i="9"/>
  <c r="D42" i="4"/>
  <c r="D44" i="9"/>
  <c r="E42" i="4"/>
  <c r="E44" i="9"/>
  <c r="C43" i="4"/>
  <c r="C45" i="9"/>
  <c r="D43" i="4"/>
  <c r="D45" i="9"/>
  <c r="E43" i="4"/>
  <c r="E45" i="9"/>
  <c r="C44" i="4"/>
  <c r="C46" i="9"/>
  <c r="D44" i="4"/>
  <c r="H44" i="4" s="1"/>
  <c r="D46" i="9"/>
  <c r="E44" i="4"/>
  <c r="E46" i="9"/>
  <c r="C45" i="4"/>
  <c r="C47" i="9"/>
  <c r="D45" i="4"/>
  <c r="D47" i="9"/>
  <c r="E45" i="4"/>
  <c r="E47" i="9"/>
  <c r="C46" i="4"/>
  <c r="C48" i="9"/>
  <c r="D46" i="4"/>
  <c r="D48" i="9"/>
  <c r="E46" i="4"/>
  <c r="E48" i="9"/>
  <c r="C47" i="4"/>
  <c r="C49" i="9"/>
  <c r="D47" i="4"/>
  <c r="D49" i="9"/>
  <c r="E47" i="4"/>
  <c r="E49" i="9"/>
  <c r="C48" i="4"/>
  <c r="C50" i="9"/>
  <c r="D48" i="4"/>
  <c r="D50" i="9"/>
  <c r="E48" i="4"/>
  <c r="H48" i="4" s="1"/>
  <c r="E50" i="9"/>
  <c r="C49" i="4"/>
  <c r="H49" i="4" s="1"/>
  <c r="C51" i="9"/>
  <c r="D49" i="4"/>
  <c r="D51" i="9"/>
  <c r="E49" i="4"/>
  <c r="E51" i="9"/>
  <c r="C50" i="4"/>
  <c r="C52" i="9"/>
  <c r="D50" i="4"/>
  <c r="D52" i="9"/>
  <c r="E50" i="4"/>
  <c r="E52" i="9"/>
  <c r="C51" i="4"/>
  <c r="C53" i="9"/>
  <c r="D51" i="4"/>
  <c r="D53" i="9"/>
  <c r="E51" i="4"/>
  <c r="E53" i="9"/>
  <c r="C52" i="4"/>
  <c r="C54" i="9"/>
  <c r="D52" i="4"/>
  <c r="D54" i="9"/>
  <c r="E52" i="4"/>
  <c r="E54" i="9"/>
  <c r="C53" i="4"/>
  <c r="C55" i="9"/>
  <c r="D53" i="4"/>
  <c r="D55" i="9"/>
  <c r="E53" i="4"/>
  <c r="E55" i="9"/>
  <c r="C54" i="4"/>
  <c r="C56" i="9"/>
  <c r="D54" i="4"/>
  <c r="D56" i="9"/>
  <c r="E54" i="4"/>
  <c r="E56" i="9"/>
  <c r="C55" i="4"/>
  <c r="C57" i="9"/>
  <c r="D55" i="4"/>
  <c r="D57" i="9"/>
  <c r="E55" i="4"/>
  <c r="E57" i="9"/>
  <c r="C56" i="4"/>
  <c r="C58" i="9"/>
  <c r="D56" i="4"/>
  <c r="D58" i="9"/>
  <c r="E56" i="4"/>
  <c r="H56" i="4" s="1"/>
  <c r="E58" i="9"/>
  <c r="C57" i="4"/>
  <c r="H57" i="4" s="1"/>
  <c r="C59" i="9"/>
  <c r="D57" i="4"/>
  <c r="D59" i="9"/>
  <c r="E57" i="4"/>
  <c r="E59" i="9"/>
  <c r="C58" i="4"/>
  <c r="C60" i="9"/>
  <c r="D58" i="4"/>
  <c r="D60" i="9"/>
  <c r="E58" i="4"/>
  <c r="E60" i="9"/>
  <c r="C59" i="4"/>
  <c r="C61" i="9"/>
  <c r="D59" i="4"/>
  <c r="D61" i="9"/>
  <c r="E59" i="4"/>
  <c r="E61" i="9"/>
  <c r="C60" i="4"/>
  <c r="C62" i="9"/>
  <c r="D60" i="4"/>
  <c r="D62" i="9"/>
  <c r="E60" i="4"/>
  <c r="E62" i="9"/>
  <c r="C61" i="4"/>
  <c r="C63" i="9"/>
  <c r="D61" i="4"/>
  <c r="D63" i="9"/>
  <c r="E61" i="4"/>
  <c r="E63" i="9"/>
  <c r="C62" i="4"/>
  <c r="C64" i="9"/>
  <c r="D62" i="4"/>
  <c r="D64" i="9"/>
  <c r="E62" i="4"/>
  <c r="E64" i="9"/>
  <c r="C63" i="4"/>
  <c r="C65" i="9"/>
  <c r="D63" i="4"/>
  <c r="D65" i="9"/>
  <c r="E63" i="4"/>
  <c r="E65" i="9"/>
  <c r="C64" i="4"/>
  <c r="C66" i="9"/>
  <c r="D64" i="4"/>
  <c r="D66" i="9"/>
  <c r="E64" i="4"/>
  <c r="H64" i="4" s="1"/>
  <c r="E66" i="9"/>
  <c r="C65" i="4"/>
  <c r="H65" i="4" s="1"/>
  <c r="C67" i="9"/>
  <c r="D65" i="4"/>
  <c r="D67" i="9"/>
  <c r="E65" i="4"/>
  <c r="E67" i="9"/>
  <c r="C66" i="4"/>
  <c r="C68" i="9"/>
  <c r="D66" i="4"/>
  <c r="D68" i="9"/>
  <c r="E66" i="4"/>
  <c r="E68" i="9"/>
  <c r="C67" i="4"/>
  <c r="C69" i="9"/>
  <c r="D67" i="4"/>
  <c r="D69" i="9"/>
  <c r="E67" i="4"/>
  <c r="E69" i="9"/>
  <c r="C68" i="4"/>
  <c r="C70" i="9"/>
  <c r="D68" i="4"/>
  <c r="D70" i="9"/>
  <c r="E68" i="4"/>
  <c r="E70" i="9"/>
  <c r="C69" i="4"/>
  <c r="C71" i="9"/>
  <c r="D69" i="4"/>
  <c r="D71" i="9"/>
  <c r="E69" i="4"/>
  <c r="E71" i="9"/>
  <c r="C70" i="4"/>
  <c r="C72" i="9"/>
  <c r="D70" i="4"/>
  <c r="D72" i="9"/>
  <c r="E70" i="4"/>
  <c r="E72" i="9"/>
  <c r="C71" i="4"/>
  <c r="C73" i="9"/>
  <c r="D71" i="4"/>
  <c r="D73" i="9"/>
  <c r="E71" i="4"/>
  <c r="E73" i="9"/>
  <c r="C72" i="4"/>
  <c r="C74" i="9"/>
  <c r="D72" i="4"/>
  <c r="D74" i="9"/>
  <c r="E72" i="4"/>
  <c r="H72" i="4" s="1"/>
  <c r="E74" i="9"/>
  <c r="C73" i="4"/>
  <c r="H73" i="4" s="1"/>
  <c r="C75" i="9"/>
  <c r="D73" i="4"/>
  <c r="D75" i="9"/>
  <c r="E73" i="4"/>
  <c r="E75" i="9"/>
  <c r="C74" i="4"/>
  <c r="C76" i="9"/>
  <c r="D74" i="4"/>
  <c r="D76" i="9"/>
  <c r="E74" i="4"/>
  <c r="E76" i="9"/>
  <c r="C75" i="4"/>
  <c r="C77" i="9"/>
  <c r="D75" i="4"/>
  <c r="D77" i="9"/>
  <c r="E75" i="4"/>
  <c r="E77" i="9"/>
  <c r="C76" i="4"/>
  <c r="C78" i="9"/>
  <c r="D76" i="4"/>
  <c r="D78" i="9"/>
  <c r="E76" i="4"/>
  <c r="E78" i="9"/>
  <c r="C77" i="4"/>
  <c r="C79" i="9"/>
  <c r="D77" i="4"/>
  <c r="D79" i="9"/>
  <c r="E77" i="4"/>
  <c r="E79" i="9"/>
  <c r="C78" i="4"/>
  <c r="C80" i="9"/>
  <c r="D78" i="4"/>
  <c r="D80" i="9"/>
  <c r="E78" i="4"/>
  <c r="E80" i="9"/>
  <c r="C79" i="4"/>
  <c r="C81" i="9"/>
  <c r="D79" i="4"/>
  <c r="D81" i="9"/>
  <c r="E79" i="4"/>
  <c r="E81" i="9"/>
  <c r="C80" i="4"/>
  <c r="C82" i="9"/>
  <c r="D80" i="4"/>
  <c r="D82" i="9"/>
  <c r="E80" i="4"/>
  <c r="H80" i="4" s="1"/>
  <c r="E82" i="9"/>
  <c r="C81" i="4"/>
  <c r="H81" i="4" s="1"/>
  <c r="C83" i="9"/>
  <c r="D81" i="4"/>
  <c r="D83" i="9"/>
  <c r="E81" i="4"/>
  <c r="E83" i="9"/>
  <c r="C82" i="4"/>
  <c r="C84" i="9"/>
  <c r="D82" i="4"/>
  <c r="D84" i="9"/>
  <c r="E82" i="4"/>
  <c r="E84" i="9"/>
  <c r="C83" i="4"/>
  <c r="C85" i="9"/>
  <c r="D83" i="4"/>
  <c r="D85" i="9"/>
  <c r="E83" i="4"/>
  <c r="E85" i="9"/>
  <c r="C84" i="4"/>
  <c r="C86" i="9"/>
  <c r="D84" i="4"/>
  <c r="D86" i="9"/>
  <c r="E84" i="4"/>
  <c r="E86" i="9"/>
  <c r="C85" i="4"/>
  <c r="C87" i="9"/>
  <c r="D85" i="4"/>
  <c r="D87" i="9"/>
  <c r="E85" i="4"/>
  <c r="E87" i="9"/>
  <c r="C86" i="4"/>
  <c r="C88" i="9"/>
  <c r="D86" i="4"/>
  <c r="D88" i="9"/>
  <c r="E86" i="4"/>
  <c r="E88" i="9"/>
  <c r="C87" i="4"/>
  <c r="C89" i="9"/>
  <c r="D87" i="4"/>
  <c r="D89" i="9"/>
  <c r="E87" i="4"/>
  <c r="E89" i="9"/>
  <c r="C88" i="4"/>
  <c r="C90" i="9"/>
  <c r="D88" i="4"/>
  <c r="D90" i="9"/>
  <c r="E88" i="4"/>
  <c r="H88" i="4" s="1"/>
  <c r="E90" i="9"/>
  <c r="C89" i="4"/>
  <c r="H89" i="4" s="1"/>
  <c r="C91" i="9"/>
  <c r="D89" i="4"/>
  <c r="D91" i="9"/>
  <c r="E89" i="4"/>
  <c r="E91" i="9"/>
  <c r="C90" i="4"/>
  <c r="C92" i="9"/>
  <c r="D90" i="4"/>
  <c r="D92" i="9"/>
  <c r="E90" i="4"/>
  <c r="E92" i="9"/>
  <c r="C91" i="4"/>
  <c r="C93" i="9"/>
  <c r="D91" i="4"/>
  <c r="D93" i="9"/>
  <c r="E91" i="4"/>
  <c r="E93" i="9"/>
  <c r="C92" i="4"/>
  <c r="C94" i="9"/>
  <c r="D92" i="4"/>
  <c r="D94" i="9"/>
  <c r="E92" i="4"/>
  <c r="E94" i="9"/>
  <c r="C93" i="4"/>
  <c r="C95" i="9"/>
  <c r="D93" i="4"/>
  <c r="D95" i="9"/>
  <c r="E93" i="4"/>
  <c r="E95" i="9"/>
  <c r="C94" i="4"/>
  <c r="C96" i="9"/>
  <c r="D94" i="4"/>
  <c r="D96" i="9"/>
  <c r="E94" i="4"/>
  <c r="E96" i="9"/>
  <c r="C95" i="4"/>
  <c r="C97" i="9"/>
  <c r="D95" i="4"/>
  <c r="D97" i="9"/>
  <c r="E95" i="4"/>
  <c r="E97" i="9"/>
  <c r="C96" i="4"/>
  <c r="C98" i="9"/>
  <c r="D96" i="4"/>
  <c r="D98" i="9"/>
  <c r="E96" i="4"/>
  <c r="H96" i="4" s="1"/>
  <c r="E98" i="9"/>
  <c r="C97" i="4"/>
  <c r="H97" i="4" s="1"/>
  <c r="C99" i="9"/>
  <c r="D97" i="4"/>
  <c r="D99" i="9"/>
  <c r="E97" i="4"/>
  <c r="E99" i="9"/>
  <c r="C98" i="4"/>
  <c r="C100" i="9"/>
  <c r="D98" i="4"/>
  <c r="D100" i="9"/>
  <c r="E98" i="4"/>
  <c r="E100" i="9"/>
  <c r="C99" i="4"/>
  <c r="C101" i="9"/>
  <c r="D99" i="4"/>
  <c r="D101" i="9"/>
  <c r="E99" i="4"/>
  <c r="E101" i="9"/>
  <c r="C100" i="4"/>
  <c r="C102" i="9"/>
  <c r="D100" i="4"/>
  <c r="D102" i="9"/>
  <c r="E100" i="4"/>
  <c r="E102" i="9"/>
  <c r="C101" i="4"/>
  <c r="C103" i="9"/>
  <c r="D101" i="4"/>
  <c r="D103" i="9"/>
  <c r="E101" i="4"/>
  <c r="E103" i="9"/>
  <c r="C102" i="4"/>
  <c r="C104" i="9"/>
  <c r="D102" i="4"/>
  <c r="D104" i="9"/>
  <c r="E102" i="4"/>
  <c r="E104" i="9"/>
  <c r="C103" i="4"/>
  <c r="C105" i="9"/>
  <c r="D103" i="4"/>
  <c r="D105" i="9"/>
  <c r="E103" i="4"/>
  <c r="E105" i="9"/>
  <c r="C104" i="4"/>
  <c r="C106" i="9"/>
  <c r="D104" i="4"/>
  <c r="D106" i="9"/>
  <c r="E104" i="4"/>
  <c r="E106" i="9"/>
  <c r="C105" i="4"/>
  <c r="H105" i="4" s="1"/>
  <c r="C107" i="9"/>
  <c r="D105" i="4"/>
  <c r="D107" i="9"/>
  <c r="E105" i="4"/>
  <c r="E107" i="9"/>
  <c r="C106" i="4"/>
  <c r="C108" i="9"/>
  <c r="D106" i="4"/>
  <c r="D108" i="9"/>
  <c r="E106" i="4"/>
  <c r="E108" i="9"/>
  <c r="C107" i="4"/>
  <c r="C109" i="9"/>
  <c r="D107" i="4"/>
  <c r="D109" i="9"/>
  <c r="E107" i="4"/>
  <c r="E109" i="9"/>
  <c r="C108" i="4"/>
  <c r="C110" i="9"/>
  <c r="D108" i="4"/>
  <c r="D110" i="9"/>
  <c r="E108" i="4"/>
  <c r="E110" i="9"/>
  <c r="C109" i="4"/>
  <c r="C111" i="9"/>
  <c r="D109" i="4"/>
  <c r="D111" i="9"/>
  <c r="E109" i="4"/>
  <c r="E111" i="9"/>
  <c r="C110" i="4"/>
  <c r="C112" i="9"/>
  <c r="D110" i="4"/>
  <c r="H110" i="4" s="1"/>
  <c r="D112" i="9"/>
  <c r="E110" i="4"/>
  <c r="E112" i="9"/>
  <c r="C111" i="4"/>
  <c r="C113" i="9"/>
  <c r="D111" i="4"/>
  <c r="D113" i="9"/>
  <c r="E111" i="4"/>
  <c r="E113" i="9"/>
  <c r="C112" i="4"/>
  <c r="C114" i="9"/>
  <c r="D112" i="4"/>
  <c r="D114" i="9"/>
  <c r="E112" i="4"/>
  <c r="H112" i="4" s="1"/>
  <c r="E114" i="9"/>
  <c r="C113" i="4"/>
  <c r="H113" i="4" s="1"/>
  <c r="C115" i="9"/>
  <c r="D113" i="4"/>
  <c r="D115" i="9"/>
  <c r="E113" i="4"/>
  <c r="E115" i="9"/>
  <c r="C114" i="4"/>
  <c r="C116" i="9"/>
  <c r="D114" i="4"/>
  <c r="D116" i="9"/>
  <c r="E114" i="4"/>
  <c r="E116" i="9"/>
  <c r="C115" i="4"/>
  <c r="C117" i="9"/>
  <c r="D115" i="4"/>
  <c r="D117" i="9"/>
  <c r="E115" i="4"/>
  <c r="E117" i="9"/>
  <c r="C116" i="4"/>
  <c r="C118" i="9"/>
  <c r="D116" i="4"/>
  <c r="D118" i="9"/>
  <c r="E116" i="4"/>
  <c r="E118" i="9"/>
  <c r="C117" i="4"/>
  <c r="C119" i="9"/>
  <c r="D117" i="4"/>
  <c r="D119" i="9"/>
  <c r="E117" i="4"/>
  <c r="E119" i="9"/>
  <c r="C118" i="4"/>
  <c r="C120" i="9"/>
  <c r="D118" i="4"/>
  <c r="D120" i="9"/>
  <c r="E118" i="4"/>
  <c r="E120" i="9"/>
  <c r="C119" i="4"/>
  <c r="C121" i="9"/>
  <c r="D119" i="4"/>
  <c r="D121" i="9"/>
  <c r="E119" i="4"/>
  <c r="E121" i="9"/>
  <c r="C120" i="4"/>
  <c r="C122" i="9"/>
  <c r="D120" i="4"/>
  <c r="D122" i="9"/>
  <c r="E120" i="4"/>
  <c r="H120" i="4" s="1"/>
  <c r="E122" i="9"/>
  <c r="C121" i="4"/>
  <c r="H121" i="4" s="1"/>
  <c r="C123" i="9"/>
  <c r="D121" i="4"/>
  <c r="D123" i="9"/>
  <c r="E121" i="4"/>
  <c r="E123" i="9"/>
  <c r="C122" i="4"/>
  <c r="C124" i="9"/>
  <c r="D122" i="4"/>
  <c r="D124" i="9"/>
  <c r="E122" i="4"/>
  <c r="E124" i="9"/>
  <c r="C123" i="4"/>
  <c r="C125" i="9"/>
  <c r="D123" i="4"/>
  <c r="D125" i="9"/>
  <c r="E123" i="4"/>
  <c r="E125" i="9"/>
  <c r="C124" i="4"/>
  <c r="C126" i="9"/>
  <c r="D124" i="4"/>
  <c r="D126" i="9"/>
  <c r="E124" i="4"/>
  <c r="E126" i="9"/>
  <c r="C125" i="4"/>
  <c r="C127" i="9"/>
  <c r="D125" i="4"/>
  <c r="D127" i="9"/>
  <c r="E125" i="4"/>
  <c r="E127" i="9"/>
  <c r="C126" i="4"/>
  <c r="C128" i="9"/>
  <c r="D126" i="4"/>
  <c r="D128" i="9"/>
  <c r="E126" i="4"/>
  <c r="E128" i="9"/>
  <c r="C127" i="4"/>
  <c r="C129" i="9"/>
  <c r="D127" i="4"/>
  <c r="D129" i="9"/>
  <c r="E127" i="4"/>
  <c r="E129" i="9"/>
  <c r="C128" i="4"/>
  <c r="C130" i="9"/>
  <c r="D128" i="4"/>
  <c r="D130" i="9"/>
  <c r="E128" i="4"/>
  <c r="H128" i="4" s="1"/>
  <c r="E130" i="9"/>
  <c r="C129" i="4"/>
  <c r="H129" i="4" s="1"/>
  <c r="C131" i="9"/>
  <c r="D129" i="4"/>
  <c r="D131" i="9"/>
  <c r="E129" i="4"/>
  <c r="E131" i="9"/>
  <c r="C130" i="4"/>
  <c r="C132" i="9"/>
  <c r="D130" i="4"/>
  <c r="D132" i="9"/>
  <c r="E130" i="4"/>
  <c r="E132" i="9"/>
  <c r="C131" i="4"/>
  <c r="C133" i="9"/>
  <c r="D131" i="4"/>
  <c r="D133" i="9"/>
  <c r="E131" i="4"/>
  <c r="E133" i="9"/>
  <c r="C132" i="4"/>
  <c r="C134" i="9"/>
  <c r="D132" i="4"/>
  <c r="H132" i="4" s="1"/>
  <c r="D134" i="9"/>
  <c r="E132" i="4"/>
  <c r="E134" i="9"/>
  <c r="C133" i="4"/>
  <c r="C135" i="9"/>
  <c r="D133" i="4"/>
  <c r="D135" i="9"/>
  <c r="E133" i="4"/>
  <c r="E135" i="9"/>
  <c r="C134" i="4"/>
  <c r="C136" i="9"/>
  <c r="D134" i="4"/>
  <c r="D136" i="9"/>
  <c r="E134" i="4"/>
  <c r="E136" i="9"/>
  <c r="C135" i="4"/>
  <c r="C137" i="9"/>
  <c r="D135" i="4"/>
  <c r="D137" i="9"/>
  <c r="E135" i="4"/>
  <c r="E137" i="9"/>
  <c r="C136" i="4"/>
  <c r="C138" i="9"/>
  <c r="D136" i="4"/>
  <c r="D138" i="9"/>
  <c r="E136" i="4"/>
  <c r="H136" i="4" s="1"/>
  <c r="E138" i="9"/>
  <c r="C137" i="4"/>
  <c r="H137" i="4" s="1"/>
  <c r="C139" i="9"/>
  <c r="D137" i="4"/>
  <c r="D139" i="9"/>
  <c r="E137" i="4"/>
  <c r="E139" i="9"/>
  <c r="C138" i="4"/>
  <c r="C140" i="9"/>
  <c r="D138" i="4"/>
  <c r="D140" i="9"/>
  <c r="E138" i="4"/>
  <c r="E140" i="9"/>
  <c r="C139" i="4"/>
  <c r="C141" i="9"/>
  <c r="D139" i="4"/>
  <c r="D141" i="9"/>
  <c r="E139" i="4"/>
  <c r="E141" i="9"/>
  <c r="C140" i="4"/>
  <c r="C142" i="9"/>
  <c r="D140" i="4"/>
  <c r="D142" i="9"/>
  <c r="E140" i="4"/>
  <c r="E142" i="9"/>
  <c r="C141" i="4"/>
  <c r="C143" i="9"/>
  <c r="D141" i="4"/>
  <c r="D143" i="9"/>
  <c r="E141" i="4"/>
  <c r="E143" i="9"/>
  <c r="C142" i="4"/>
  <c r="C144" i="9"/>
  <c r="D142" i="4"/>
  <c r="D144" i="9"/>
  <c r="E142" i="4"/>
  <c r="E144" i="9"/>
  <c r="C143" i="4"/>
  <c r="C145" i="9"/>
  <c r="D143" i="4"/>
  <c r="D145" i="9"/>
  <c r="E143" i="4"/>
  <c r="E145" i="9"/>
  <c r="C144" i="4"/>
  <c r="C146" i="9"/>
  <c r="D144" i="4"/>
  <c r="D146" i="9"/>
  <c r="E144" i="4"/>
  <c r="H144" i="4" s="1"/>
  <c r="E146" i="9"/>
  <c r="C145" i="4"/>
  <c r="H145" i="4" s="1"/>
  <c r="C147" i="9"/>
  <c r="D145" i="4"/>
  <c r="D147" i="9"/>
  <c r="E145" i="4"/>
  <c r="E147" i="9"/>
  <c r="C146" i="4"/>
  <c r="C148" i="9"/>
  <c r="D146" i="4"/>
  <c r="D148" i="9"/>
  <c r="E146" i="4"/>
  <c r="E148" i="9"/>
  <c r="C147" i="4"/>
  <c r="C149" i="9"/>
  <c r="D147" i="4"/>
  <c r="D149" i="9"/>
  <c r="E147" i="4"/>
  <c r="E149" i="9"/>
  <c r="C148" i="4"/>
  <c r="C150" i="9"/>
  <c r="D148" i="4"/>
  <c r="D150" i="9"/>
  <c r="E148" i="4"/>
  <c r="E150" i="9"/>
  <c r="C149" i="4"/>
  <c r="C151" i="9"/>
  <c r="D149" i="4"/>
  <c r="D151" i="9"/>
  <c r="E149" i="4"/>
  <c r="E151" i="9"/>
  <c r="C150" i="4"/>
  <c r="C152" i="9"/>
  <c r="D150" i="4"/>
  <c r="D152" i="9"/>
  <c r="E150" i="4"/>
  <c r="E152" i="9"/>
  <c r="C151" i="4"/>
  <c r="C153" i="9"/>
  <c r="D151" i="4"/>
  <c r="D153" i="9"/>
  <c r="E151" i="4"/>
  <c r="E153" i="9"/>
  <c r="C152" i="4"/>
  <c r="C154" i="9"/>
  <c r="D152" i="4"/>
  <c r="D154" i="9"/>
  <c r="E152" i="4"/>
  <c r="H152" i="4" s="1"/>
  <c r="E154" i="9"/>
  <c r="C153" i="4"/>
  <c r="H153" i="4" s="1"/>
  <c r="C155" i="9"/>
  <c r="D153" i="4"/>
  <c r="D155" i="9"/>
  <c r="E153" i="4"/>
  <c r="E155" i="9"/>
  <c r="C154" i="4"/>
  <c r="C156" i="9"/>
  <c r="D154" i="4"/>
  <c r="D156" i="9"/>
  <c r="E154" i="4"/>
  <c r="E156" i="9"/>
  <c r="C155" i="4"/>
  <c r="C157" i="9"/>
  <c r="D155" i="4"/>
  <c r="D157" i="9"/>
  <c r="E155" i="4"/>
  <c r="E157" i="9"/>
  <c r="C156" i="4"/>
  <c r="C158" i="9"/>
  <c r="D156" i="4"/>
  <c r="D158" i="9"/>
  <c r="E156" i="4"/>
  <c r="E158" i="9"/>
  <c r="C157" i="4"/>
  <c r="C159" i="9"/>
  <c r="D157" i="4"/>
  <c r="D159" i="9"/>
  <c r="E157" i="4"/>
  <c r="E159" i="9"/>
  <c r="C158" i="4"/>
  <c r="C160" i="9"/>
  <c r="D158" i="4"/>
  <c r="D160" i="9"/>
  <c r="E158" i="4"/>
  <c r="E160" i="9"/>
  <c r="C159" i="4"/>
  <c r="C161" i="9"/>
  <c r="D159" i="4"/>
  <c r="D161" i="9"/>
  <c r="E159" i="4"/>
  <c r="E161" i="9"/>
  <c r="C160" i="4"/>
  <c r="C162" i="9"/>
  <c r="D160" i="4"/>
  <c r="D162" i="9"/>
  <c r="E160" i="4"/>
  <c r="E162" i="9"/>
  <c r="C161" i="4"/>
  <c r="H161" i="4" s="1"/>
  <c r="C163" i="9"/>
  <c r="D161" i="4"/>
  <c r="D163" i="9"/>
  <c r="E161" i="4"/>
  <c r="E163" i="9"/>
  <c r="C162" i="4"/>
  <c r="C164" i="9"/>
  <c r="D162" i="4"/>
  <c r="D164" i="9"/>
  <c r="E162" i="4"/>
  <c r="E164" i="9"/>
  <c r="C163" i="4"/>
  <c r="C165" i="9"/>
  <c r="D163" i="4"/>
  <c r="D165" i="9"/>
  <c r="E163" i="4"/>
  <c r="E165" i="9"/>
  <c r="C164" i="4"/>
  <c r="C166" i="9"/>
  <c r="D164" i="4"/>
  <c r="H164" i="4" s="1"/>
  <c r="D166" i="9"/>
  <c r="E164" i="4"/>
  <c r="E166" i="9"/>
  <c r="C165" i="4"/>
  <c r="C167" i="9"/>
  <c r="D165" i="4"/>
  <c r="D167" i="9"/>
  <c r="E165" i="4"/>
  <c r="E167" i="9"/>
  <c r="C166" i="4"/>
  <c r="C168" i="9"/>
  <c r="D166" i="4"/>
  <c r="D168" i="9"/>
  <c r="E166" i="4"/>
  <c r="E168" i="9"/>
  <c r="C167" i="4"/>
  <c r="C169" i="9"/>
  <c r="D167" i="4"/>
  <c r="D169" i="9"/>
  <c r="E167" i="4"/>
  <c r="E169" i="9"/>
  <c r="C168" i="4"/>
  <c r="C170" i="9"/>
  <c r="D168" i="4"/>
  <c r="D170" i="9"/>
  <c r="E168" i="4"/>
  <c r="H168" i="4" s="1"/>
  <c r="E170" i="9"/>
  <c r="C169" i="4"/>
  <c r="H169" i="4" s="1"/>
  <c r="C171" i="9"/>
  <c r="D169" i="4"/>
  <c r="D171" i="9"/>
  <c r="E169" i="4"/>
  <c r="E171" i="9"/>
  <c r="C170" i="4"/>
  <c r="C172" i="9"/>
  <c r="D170" i="4"/>
  <c r="D172" i="9"/>
  <c r="E170" i="4"/>
  <c r="E172" i="9"/>
  <c r="C171" i="4"/>
  <c r="C173" i="9"/>
  <c r="D171" i="4"/>
  <c r="D173" i="9"/>
  <c r="E171" i="4"/>
  <c r="E173" i="9"/>
  <c r="C172" i="4"/>
  <c r="C174" i="9"/>
  <c r="D172" i="4"/>
  <c r="D174" i="9"/>
  <c r="E172" i="4"/>
  <c r="E174" i="9"/>
  <c r="C173" i="4"/>
  <c r="C175" i="9"/>
  <c r="D173" i="4"/>
  <c r="D175" i="9"/>
  <c r="E173" i="4"/>
  <c r="E175" i="9"/>
  <c r="C174" i="4"/>
  <c r="C176" i="9"/>
  <c r="D174" i="4"/>
  <c r="D176" i="9"/>
  <c r="E174" i="4"/>
  <c r="E176" i="9"/>
  <c r="C175" i="4"/>
  <c r="C177" i="9"/>
  <c r="D175" i="4"/>
  <c r="D177" i="9"/>
  <c r="E175" i="4"/>
  <c r="E177" i="9"/>
  <c r="C176" i="4"/>
  <c r="C178" i="9"/>
  <c r="D176" i="4"/>
  <c r="D178" i="9"/>
  <c r="E176" i="4"/>
  <c r="H176" i="4" s="1"/>
  <c r="E178" i="9"/>
  <c r="C177" i="4"/>
  <c r="H177" i="4" s="1"/>
  <c r="C179" i="9"/>
  <c r="D177" i="4"/>
  <c r="D179" i="9"/>
  <c r="E177" i="4"/>
  <c r="E179" i="9"/>
  <c r="C178" i="4"/>
  <c r="C180" i="9"/>
  <c r="D178" i="4"/>
  <c r="D180" i="9"/>
  <c r="E178" i="4"/>
  <c r="E180" i="9"/>
  <c r="C179" i="4"/>
  <c r="C181" i="9"/>
  <c r="D179" i="4"/>
  <c r="D181" i="9"/>
  <c r="E179" i="4"/>
  <c r="E181" i="9"/>
  <c r="C180" i="4"/>
  <c r="C182" i="9"/>
  <c r="D180" i="4"/>
  <c r="D182" i="9"/>
  <c r="E180" i="4"/>
  <c r="E182" i="9"/>
  <c r="C181" i="4"/>
  <c r="C183" i="9"/>
  <c r="D181" i="4"/>
  <c r="D183" i="9"/>
  <c r="E181" i="4"/>
  <c r="E183" i="9"/>
  <c r="C182" i="4"/>
  <c r="C184" i="9"/>
  <c r="D182" i="4"/>
  <c r="D184" i="9"/>
  <c r="E182" i="4"/>
  <c r="E184" i="9"/>
  <c r="C183" i="4"/>
  <c r="C185" i="9"/>
  <c r="D183" i="4"/>
  <c r="D185" i="9"/>
  <c r="E183" i="4"/>
  <c r="E185" i="9"/>
  <c r="C184" i="4"/>
  <c r="C186" i="9"/>
  <c r="D184" i="4"/>
  <c r="D186" i="9"/>
  <c r="E184" i="4"/>
  <c r="H184" i="4" s="1"/>
  <c r="E186" i="9"/>
  <c r="C185" i="4"/>
  <c r="H185" i="4" s="1"/>
  <c r="C187" i="9"/>
  <c r="D185" i="4"/>
  <c r="D187" i="9"/>
  <c r="E185" i="4"/>
  <c r="E187" i="9"/>
  <c r="C186" i="4"/>
  <c r="C188" i="9"/>
  <c r="D186" i="4"/>
  <c r="D188" i="9"/>
  <c r="E186" i="4"/>
  <c r="E188" i="9"/>
  <c r="C187" i="4"/>
  <c r="C189" i="9"/>
  <c r="D187" i="4"/>
  <c r="D189" i="9"/>
  <c r="E187" i="4"/>
  <c r="E189" i="9"/>
  <c r="C188" i="4"/>
  <c r="C190" i="9"/>
  <c r="D188" i="4"/>
  <c r="D190" i="9"/>
  <c r="E188" i="4"/>
  <c r="E190" i="9"/>
  <c r="C189" i="4"/>
  <c r="C191" i="9"/>
  <c r="D189" i="4"/>
  <c r="D191" i="9"/>
  <c r="E189" i="4"/>
  <c r="E191" i="9"/>
  <c r="C190" i="4"/>
  <c r="C192" i="9"/>
  <c r="D190" i="4"/>
  <c r="D192" i="9"/>
  <c r="E190" i="4"/>
  <c r="E192" i="9"/>
  <c r="C191" i="4"/>
  <c r="C193" i="9"/>
  <c r="D191" i="4"/>
  <c r="D193" i="9"/>
  <c r="E191" i="4"/>
  <c r="E193" i="9"/>
  <c r="C192" i="4"/>
  <c r="C194" i="9"/>
  <c r="D192" i="4"/>
  <c r="D194" i="9"/>
  <c r="E192" i="4"/>
  <c r="H192" i="4" s="1"/>
  <c r="E194" i="9"/>
  <c r="C193" i="4"/>
  <c r="H193" i="4" s="1"/>
  <c r="C195" i="9"/>
  <c r="D193" i="4"/>
  <c r="D195" i="9"/>
  <c r="E193" i="4"/>
  <c r="E195" i="9"/>
  <c r="C194" i="4"/>
  <c r="C196" i="9"/>
  <c r="D194" i="4"/>
  <c r="D196" i="9"/>
  <c r="E194" i="4"/>
  <c r="E196" i="9"/>
  <c r="C195" i="4"/>
  <c r="C197" i="9"/>
  <c r="D195" i="4"/>
  <c r="D197" i="9"/>
  <c r="E195" i="4"/>
  <c r="E197" i="9"/>
  <c r="C196" i="4"/>
  <c r="C198" i="9"/>
  <c r="D196" i="4"/>
  <c r="D198" i="9"/>
  <c r="E196" i="4"/>
  <c r="E198" i="9"/>
  <c r="C197" i="4"/>
  <c r="C199" i="9"/>
  <c r="D197" i="4"/>
  <c r="D199" i="9"/>
  <c r="E197" i="4"/>
  <c r="E199" i="9"/>
  <c r="C198" i="4"/>
  <c r="C200" i="9"/>
  <c r="D198" i="4"/>
  <c r="H198" i="4" s="1"/>
  <c r="D200" i="9"/>
  <c r="E198" i="4"/>
  <c r="E200" i="9"/>
  <c r="C199" i="4"/>
  <c r="C201" i="9"/>
  <c r="D199" i="4"/>
  <c r="D201" i="9"/>
  <c r="E199" i="4"/>
  <c r="E201" i="9"/>
  <c r="C200" i="4"/>
  <c r="C202" i="9"/>
  <c r="D200" i="4"/>
  <c r="D202" i="9"/>
  <c r="E200" i="4"/>
  <c r="H200" i="4" s="1"/>
  <c r="E202" i="9"/>
  <c r="C201" i="4"/>
  <c r="H201" i="4" s="1"/>
  <c r="C203" i="9"/>
  <c r="D201" i="4"/>
  <c r="D203" i="9"/>
  <c r="E201" i="4"/>
  <c r="E203" i="9"/>
  <c r="C202" i="4"/>
  <c r="C204" i="9"/>
  <c r="D202" i="4"/>
  <c r="D204" i="9"/>
  <c r="E202" i="4"/>
  <c r="E204" i="9"/>
  <c r="C203" i="4"/>
  <c r="C205" i="9"/>
  <c r="D203" i="4"/>
  <c r="D205" i="9"/>
  <c r="E203" i="4"/>
  <c r="E205" i="9"/>
  <c r="C204" i="4"/>
  <c r="C206" i="9"/>
  <c r="D204" i="4"/>
  <c r="D206" i="9"/>
  <c r="E204" i="4"/>
  <c r="E206" i="9"/>
  <c r="C205" i="4"/>
  <c r="C207" i="9"/>
  <c r="D205" i="4"/>
  <c r="D207" i="9"/>
  <c r="E205" i="4"/>
  <c r="E207" i="9"/>
  <c r="C206" i="4"/>
  <c r="C208" i="9"/>
  <c r="D206" i="4"/>
  <c r="D208" i="9"/>
  <c r="E206" i="4"/>
  <c r="E208" i="9"/>
  <c r="C207" i="4"/>
  <c r="C209" i="9"/>
  <c r="D207" i="4"/>
  <c r="D209" i="9"/>
  <c r="E207" i="4"/>
  <c r="E209" i="9"/>
  <c r="C208" i="4"/>
  <c r="C210" i="9"/>
  <c r="D208" i="4"/>
  <c r="D210" i="9"/>
  <c r="E208" i="4"/>
  <c r="H208" i="4" s="1"/>
  <c r="E210" i="9"/>
  <c r="C209" i="4"/>
  <c r="H209" i="4" s="1"/>
  <c r="C211" i="9"/>
  <c r="D209" i="4"/>
  <c r="D211" i="9"/>
  <c r="E209" i="4"/>
  <c r="E211" i="9"/>
  <c r="C210" i="4"/>
  <c r="C212" i="9"/>
  <c r="D210" i="4"/>
  <c r="D212" i="9"/>
  <c r="E210" i="4"/>
  <c r="E212" i="9"/>
  <c r="C211" i="4"/>
  <c r="C213" i="9"/>
  <c r="D211" i="4"/>
  <c r="D213" i="9"/>
  <c r="E211" i="4"/>
  <c r="E213" i="9"/>
  <c r="C212" i="4"/>
  <c r="C214" i="9"/>
  <c r="D212" i="4"/>
  <c r="D214" i="9"/>
  <c r="E212" i="4"/>
  <c r="E214" i="9"/>
  <c r="C213" i="4"/>
  <c r="C215" i="9"/>
  <c r="D213" i="4"/>
  <c r="D215" i="9"/>
  <c r="E213" i="4"/>
  <c r="E215" i="9"/>
  <c r="C214" i="4"/>
  <c r="C216" i="9"/>
  <c r="D214" i="4"/>
  <c r="D216" i="9"/>
  <c r="E214" i="4"/>
  <c r="E216" i="9"/>
  <c r="C215" i="4"/>
  <c r="C217" i="9"/>
  <c r="D215" i="4"/>
  <c r="D217" i="9"/>
  <c r="E215" i="4"/>
  <c r="E217" i="9"/>
  <c r="C216" i="4"/>
  <c r="C218" i="9"/>
  <c r="D216" i="4"/>
  <c r="D218" i="9"/>
  <c r="E216" i="4"/>
  <c r="H216" i="4" s="1"/>
  <c r="E218" i="9"/>
  <c r="C217" i="4"/>
  <c r="H217" i="4" s="1"/>
  <c r="C219" i="9"/>
  <c r="D217" i="4"/>
  <c r="D219" i="9"/>
  <c r="E217" i="4"/>
  <c r="E219" i="9"/>
  <c r="C218" i="4"/>
  <c r="C220" i="9"/>
  <c r="D218" i="4"/>
  <c r="D220" i="9"/>
  <c r="E218" i="4"/>
  <c r="E220" i="9"/>
  <c r="C219" i="4"/>
  <c r="C221" i="9"/>
  <c r="D219" i="4"/>
  <c r="D221" i="9"/>
  <c r="E219" i="4"/>
  <c r="E221" i="9"/>
  <c r="C220" i="4"/>
  <c r="C222" i="9"/>
  <c r="D220" i="4"/>
  <c r="H220" i="4" s="1"/>
  <c r="D222" i="9"/>
  <c r="E220" i="4"/>
  <c r="E222" i="9"/>
  <c r="C221" i="4"/>
  <c r="C223" i="9"/>
  <c r="D221" i="4"/>
  <c r="D223" i="9"/>
  <c r="E221" i="4"/>
  <c r="E223" i="9"/>
  <c r="C222" i="4"/>
  <c r="C224" i="9"/>
  <c r="D222" i="4"/>
  <c r="D224" i="9"/>
  <c r="E222" i="4"/>
  <c r="E224" i="9"/>
  <c r="C223" i="4"/>
  <c r="C225" i="9"/>
  <c r="D223" i="4"/>
  <c r="D225" i="9"/>
  <c r="E223" i="4"/>
  <c r="E225" i="9"/>
  <c r="C224" i="4"/>
  <c r="C226" i="9"/>
  <c r="D224" i="4"/>
  <c r="D226" i="9"/>
  <c r="E224" i="4"/>
  <c r="H224" i="4" s="1"/>
  <c r="E226" i="9"/>
  <c r="C225" i="4"/>
  <c r="H225" i="4" s="1"/>
  <c r="C227" i="9"/>
  <c r="D225" i="4"/>
  <c r="D227" i="9"/>
  <c r="E225" i="4"/>
  <c r="E227" i="9"/>
  <c r="C226" i="4"/>
  <c r="C228" i="9"/>
  <c r="D226" i="4"/>
  <c r="D228" i="9"/>
  <c r="E226" i="4"/>
  <c r="E228" i="9"/>
  <c r="C227" i="4"/>
  <c r="C229" i="9"/>
  <c r="D227" i="4"/>
  <c r="D229" i="9"/>
  <c r="E227" i="4"/>
  <c r="E229" i="9"/>
  <c r="C228" i="4"/>
  <c r="C230" i="9"/>
  <c r="D228" i="4"/>
  <c r="D230" i="9"/>
  <c r="E228" i="4"/>
  <c r="E230" i="9"/>
  <c r="C229" i="4"/>
  <c r="C231" i="9"/>
  <c r="D229" i="4"/>
  <c r="D231" i="9"/>
  <c r="E229" i="4"/>
  <c r="E231" i="9"/>
  <c r="C230" i="4"/>
  <c r="C232" i="9"/>
  <c r="D230" i="4"/>
  <c r="D232" i="9"/>
  <c r="E230" i="4"/>
  <c r="E232" i="9"/>
  <c r="C231" i="4"/>
  <c r="C233" i="9"/>
  <c r="D231" i="4"/>
  <c r="D233" i="9"/>
  <c r="E231" i="4"/>
  <c r="E233" i="9"/>
  <c r="C232" i="4"/>
  <c r="C234" i="9"/>
  <c r="D232" i="4"/>
  <c r="D234" i="9"/>
  <c r="E232" i="4"/>
  <c r="H232" i="4" s="1"/>
  <c r="E234" i="9"/>
  <c r="C233" i="4"/>
  <c r="H233" i="4" s="1"/>
  <c r="C235" i="9"/>
  <c r="D233" i="4"/>
  <c r="D235" i="9"/>
  <c r="E233" i="4"/>
  <c r="E235" i="9"/>
  <c r="C234" i="4"/>
  <c r="C236" i="9"/>
  <c r="D234" i="4"/>
  <c r="D236" i="9"/>
  <c r="E234" i="4"/>
  <c r="E236" i="9"/>
  <c r="C235" i="4"/>
  <c r="C237" i="9"/>
  <c r="D235" i="4"/>
  <c r="D237" i="9"/>
  <c r="E235" i="4"/>
  <c r="E237" i="9"/>
  <c r="C236" i="4"/>
  <c r="C238" i="9"/>
  <c r="D236" i="4"/>
  <c r="D238" i="9"/>
  <c r="E236" i="4"/>
  <c r="E238" i="9"/>
  <c r="C237" i="4"/>
  <c r="C239" i="9"/>
  <c r="D237" i="4"/>
  <c r="D239" i="9"/>
  <c r="E237" i="4"/>
  <c r="E239" i="9"/>
  <c r="C238" i="4"/>
  <c r="C240" i="9"/>
  <c r="D238" i="4"/>
  <c r="D240" i="9"/>
  <c r="E238" i="4"/>
  <c r="E240" i="9"/>
  <c r="C239" i="4"/>
  <c r="C241" i="9"/>
  <c r="D239" i="4"/>
  <c r="D241" i="9"/>
  <c r="E239" i="4"/>
  <c r="E241" i="9"/>
  <c r="C240" i="4"/>
  <c r="C242" i="9"/>
  <c r="D240" i="4"/>
  <c r="D242" i="9"/>
  <c r="E240" i="4"/>
  <c r="H240" i="4" s="1"/>
  <c r="E242" i="9"/>
  <c r="C241" i="4"/>
  <c r="H241" i="4" s="1"/>
  <c r="C243" i="9"/>
  <c r="D241" i="4"/>
  <c r="D243" i="9"/>
  <c r="E241" i="4"/>
  <c r="E243" i="9"/>
  <c r="C242" i="4"/>
  <c r="C244" i="9"/>
  <c r="D242" i="4"/>
  <c r="D244" i="9"/>
  <c r="E242" i="4"/>
  <c r="E244" i="9"/>
  <c r="C243" i="4"/>
  <c r="C245" i="9"/>
  <c r="D243" i="4"/>
  <c r="D245" i="9"/>
  <c r="E243" i="4"/>
  <c r="E245" i="9"/>
  <c r="C244" i="4"/>
  <c r="C246" i="9"/>
  <c r="D244" i="4"/>
  <c r="D246" i="9"/>
  <c r="E244" i="4"/>
  <c r="E246" i="9"/>
  <c r="C245" i="4"/>
  <c r="C247" i="9"/>
  <c r="D245" i="4"/>
  <c r="D247" i="9"/>
  <c r="E245" i="4"/>
  <c r="E247" i="9"/>
  <c r="C246" i="4"/>
  <c r="C248" i="9"/>
  <c r="D246" i="4"/>
  <c r="D248" i="9"/>
  <c r="E246" i="4"/>
  <c r="E248" i="9"/>
  <c r="C247" i="4"/>
  <c r="C249" i="9"/>
  <c r="D247" i="4"/>
  <c r="D249" i="9"/>
  <c r="E247" i="4"/>
  <c r="E249" i="9"/>
  <c r="C248" i="4"/>
  <c r="C250" i="9"/>
  <c r="D248" i="4"/>
  <c r="D250" i="9"/>
  <c r="E248" i="4"/>
  <c r="E250" i="9"/>
  <c r="C249" i="4"/>
  <c r="H249" i="4" s="1"/>
  <c r="C251" i="9"/>
  <c r="D249" i="4"/>
  <c r="D251" i="9"/>
  <c r="E249" i="4"/>
  <c r="E251" i="9"/>
  <c r="C250" i="4"/>
  <c r="C252" i="9"/>
  <c r="D250" i="4"/>
  <c r="D252" i="9"/>
  <c r="E250" i="4"/>
  <c r="E252" i="9"/>
  <c r="C251" i="4"/>
  <c r="C253" i="9"/>
  <c r="D251" i="4"/>
  <c r="D253" i="9"/>
  <c r="E251" i="4"/>
  <c r="E253" i="9"/>
  <c r="C252" i="4"/>
  <c r="C254" i="9"/>
  <c r="D252" i="4"/>
  <c r="D254" i="9"/>
  <c r="E252" i="4"/>
  <c r="E254" i="9"/>
  <c r="C253" i="4"/>
  <c r="C255" i="9"/>
  <c r="D253" i="4"/>
  <c r="D255" i="9"/>
  <c r="E253" i="4"/>
  <c r="E255" i="9"/>
  <c r="C254" i="4"/>
  <c r="C256" i="9"/>
  <c r="D254" i="4"/>
  <c r="D256" i="9"/>
  <c r="E254" i="4"/>
  <c r="E256" i="9"/>
  <c r="C255" i="4"/>
  <c r="C257" i="9"/>
  <c r="D255" i="4"/>
  <c r="D257" i="9"/>
  <c r="E255" i="4"/>
  <c r="E257" i="9"/>
  <c r="C256" i="4"/>
  <c r="C258" i="9"/>
  <c r="D256" i="4"/>
  <c r="D258" i="9"/>
  <c r="E256" i="4"/>
  <c r="H256" i="4" s="1"/>
  <c r="E258" i="9"/>
  <c r="C257" i="4"/>
  <c r="H257" i="4" s="1"/>
  <c r="C259" i="9"/>
  <c r="D257" i="4"/>
  <c r="D259" i="9"/>
  <c r="E257" i="4"/>
  <c r="E259" i="9"/>
  <c r="C258" i="4"/>
  <c r="C260" i="9"/>
  <c r="D258" i="4"/>
  <c r="D260" i="9"/>
  <c r="E258" i="4"/>
  <c r="E260" i="9"/>
  <c r="C259" i="4"/>
  <c r="C261" i="9"/>
  <c r="D259" i="4"/>
  <c r="D261" i="9"/>
  <c r="E259" i="4"/>
  <c r="E261" i="9"/>
  <c r="C260" i="4"/>
  <c r="C262" i="9"/>
  <c r="D260" i="4"/>
  <c r="D262" i="9"/>
  <c r="E260" i="4"/>
  <c r="E262" i="9"/>
  <c r="C261" i="4"/>
  <c r="C263" i="9"/>
  <c r="D261" i="4"/>
  <c r="D263" i="9"/>
  <c r="E261" i="4"/>
  <c r="E263" i="9"/>
  <c r="C262" i="4"/>
  <c r="C264" i="9"/>
  <c r="D262" i="4"/>
  <c r="D264" i="9"/>
  <c r="E262" i="4"/>
  <c r="E264" i="9"/>
  <c r="C263" i="4"/>
  <c r="C265" i="9"/>
  <c r="D263" i="4"/>
  <c r="D265" i="9"/>
  <c r="E263" i="4"/>
  <c r="E265" i="9"/>
  <c r="C264" i="4"/>
  <c r="C266" i="9"/>
  <c r="D264" i="4"/>
  <c r="D266" i="9"/>
  <c r="E264" i="4"/>
  <c r="E266" i="9"/>
  <c r="C265" i="4"/>
  <c r="H265" i="4" s="1"/>
  <c r="C267" i="9"/>
  <c r="D265" i="4"/>
  <c r="D267" i="9"/>
  <c r="E265" i="4"/>
  <c r="E267" i="9"/>
  <c r="C266" i="4"/>
  <c r="C268" i="9"/>
  <c r="D266" i="4"/>
  <c r="D268" i="9"/>
  <c r="E266" i="4"/>
  <c r="E268" i="9"/>
  <c r="C267" i="4"/>
  <c r="C269" i="9"/>
  <c r="D267" i="4"/>
  <c r="D269" i="9"/>
  <c r="E267" i="4"/>
  <c r="E269" i="9"/>
  <c r="C268" i="4"/>
  <c r="C270" i="9"/>
  <c r="D268" i="4"/>
  <c r="D270" i="9"/>
  <c r="E268" i="4"/>
  <c r="E270" i="9"/>
  <c r="C269" i="4"/>
  <c r="C271" i="9"/>
  <c r="D269" i="4"/>
  <c r="D271" i="9"/>
  <c r="E269" i="4"/>
  <c r="E271" i="9"/>
  <c r="C270" i="4"/>
  <c r="C272" i="9"/>
  <c r="D270" i="4"/>
  <c r="D272" i="9"/>
  <c r="E270" i="4"/>
  <c r="E272" i="9"/>
  <c r="C271" i="4"/>
  <c r="C273" i="9"/>
  <c r="D271" i="4"/>
  <c r="D273" i="9"/>
  <c r="E271" i="4"/>
  <c r="E273" i="9"/>
  <c r="C272" i="4"/>
  <c r="C274" i="9"/>
  <c r="D272" i="4"/>
  <c r="D274" i="9"/>
  <c r="E272" i="4"/>
  <c r="H272" i="4" s="1"/>
  <c r="E274" i="9"/>
  <c r="C273" i="4"/>
  <c r="H273" i="4" s="1"/>
  <c r="C275" i="9"/>
  <c r="D273" i="4"/>
  <c r="D275" i="9"/>
  <c r="E273" i="4"/>
  <c r="E275" i="9"/>
  <c r="C274" i="4"/>
  <c r="C276" i="9"/>
  <c r="D274" i="4"/>
  <c r="D276" i="9"/>
  <c r="E274" i="4"/>
  <c r="E276" i="9"/>
  <c r="C275" i="4"/>
  <c r="C277" i="9"/>
  <c r="D275" i="4"/>
  <c r="D277" i="9"/>
  <c r="E275" i="4"/>
  <c r="E277" i="9"/>
  <c r="C276" i="4"/>
  <c r="C278" i="9"/>
  <c r="D276" i="4"/>
  <c r="D278" i="9"/>
  <c r="E276" i="4"/>
  <c r="E278" i="9"/>
  <c r="C277" i="4"/>
  <c r="C279" i="9"/>
  <c r="D277" i="4"/>
  <c r="D279" i="9"/>
  <c r="E277" i="4"/>
  <c r="E279" i="9"/>
  <c r="C278" i="4"/>
  <c r="C280" i="9"/>
  <c r="D278" i="4"/>
  <c r="D280" i="9"/>
  <c r="E278" i="4"/>
  <c r="E280" i="9"/>
  <c r="C279" i="4"/>
  <c r="C281" i="9"/>
  <c r="D279" i="4"/>
  <c r="D281" i="9"/>
  <c r="E279" i="4"/>
  <c r="E281" i="9"/>
  <c r="C280" i="4"/>
  <c r="C282" i="9"/>
  <c r="D280" i="4"/>
  <c r="D282" i="9"/>
  <c r="E280" i="4"/>
  <c r="E282" i="9"/>
  <c r="C281" i="4"/>
  <c r="H281" i="4" s="1"/>
  <c r="C283" i="9"/>
  <c r="D281" i="4"/>
  <c r="D283" i="9"/>
  <c r="E281" i="4"/>
  <c r="E283" i="9"/>
  <c r="C282" i="4"/>
  <c r="C284" i="9"/>
  <c r="D282" i="4"/>
  <c r="D284" i="9"/>
  <c r="E282" i="4"/>
  <c r="E284" i="9"/>
  <c r="C283" i="4"/>
  <c r="C285" i="9"/>
  <c r="D283" i="4"/>
  <c r="D285" i="9"/>
  <c r="E283" i="4"/>
  <c r="E285" i="9"/>
  <c r="C284" i="4"/>
  <c r="C286" i="9"/>
  <c r="D284" i="4"/>
  <c r="D286" i="9"/>
  <c r="E284" i="4"/>
  <c r="E286" i="9"/>
  <c r="C285" i="4"/>
  <c r="C287" i="9"/>
  <c r="D285" i="4"/>
  <c r="D287" i="9"/>
  <c r="E285" i="4"/>
  <c r="E287" i="9"/>
  <c r="C286" i="4"/>
  <c r="C288" i="9"/>
  <c r="D286" i="4"/>
  <c r="D288" i="9"/>
  <c r="E286" i="4"/>
  <c r="E288" i="9"/>
  <c r="C287" i="4"/>
  <c r="C289" i="9"/>
  <c r="D287" i="4"/>
  <c r="D289" i="9"/>
  <c r="E287" i="4"/>
  <c r="E289" i="9"/>
  <c r="C288" i="4"/>
  <c r="C290" i="9"/>
  <c r="D288" i="4"/>
  <c r="D290" i="9"/>
  <c r="E288" i="4"/>
  <c r="E290" i="9"/>
  <c r="C289" i="4"/>
  <c r="H289" i="4" s="1"/>
  <c r="C291" i="9"/>
  <c r="D289" i="4"/>
  <c r="D291" i="9"/>
  <c r="E289" i="4"/>
  <c r="E291" i="9"/>
  <c r="C290" i="4"/>
  <c r="C292" i="9"/>
  <c r="D290" i="4"/>
  <c r="D292" i="9"/>
  <c r="E290" i="4"/>
  <c r="E292" i="9"/>
  <c r="C291" i="4"/>
  <c r="C293" i="9"/>
  <c r="D291" i="4"/>
  <c r="D293" i="9"/>
  <c r="E291" i="4"/>
  <c r="E293" i="9"/>
  <c r="C292" i="4"/>
  <c r="C294" i="9"/>
  <c r="D292" i="4"/>
  <c r="D294" i="9"/>
  <c r="E292" i="4"/>
  <c r="E294" i="9"/>
  <c r="C293" i="4"/>
  <c r="C295" i="9"/>
  <c r="D293" i="4"/>
  <c r="D295" i="9"/>
  <c r="E293" i="4"/>
  <c r="E295" i="9"/>
  <c r="C294" i="4"/>
  <c r="C296" i="9"/>
  <c r="D294" i="4"/>
  <c r="D296" i="9"/>
  <c r="E294" i="4"/>
  <c r="E296" i="9"/>
  <c r="C295" i="4"/>
  <c r="C297" i="9"/>
  <c r="D295" i="4"/>
  <c r="D297" i="9"/>
  <c r="E295" i="4"/>
  <c r="E297" i="9"/>
  <c r="C296" i="4"/>
  <c r="C298" i="9"/>
  <c r="D296" i="4"/>
  <c r="D298" i="9"/>
  <c r="E296" i="4"/>
  <c r="H296" i="4" s="1"/>
  <c r="E298" i="9"/>
  <c r="C297" i="4"/>
  <c r="H297" i="4" s="1"/>
  <c r="C299" i="9"/>
  <c r="D297" i="4"/>
  <c r="D299" i="9"/>
  <c r="E297" i="4"/>
  <c r="E299" i="9"/>
  <c r="C298" i="4"/>
  <c r="C300" i="9"/>
  <c r="D298" i="4"/>
  <c r="D300" i="9"/>
  <c r="E298" i="4"/>
  <c r="E300" i="9"/>
  <c r="C299" i="4"/>
  <c r="C301" i="9"/>
  <c r="D299" i="4"/>
  <c r="D301" i="9"/>
  <c r="E299" i="4"/>
  <c r="E301" i="9"/>
  <c r="C300" i="4"/>
  <c r="C302" i="9"/>
  <c r="D300" i="4"/>
  <c r="D302" i="9"/>
  <c r="E300" i="4"/>
  <c r="E302" i="9"/>
  <c r="C301" i="4"/>
  <c r="C303" i="9"/>
  <c r="D301" i="4"/>
  <c r="D303" i="9"/>
  <c r="E301" i="4"/>
  <c r="E303" i="9"/>
  <c r="C302" i="4"/>
  <c r="C304" i="9"/>
  <c r="D302" i="4"/>
  <c r="D304" i="9"/>
  <c r="E302" i="4"/>
  <c r="E304" i="9"/>
  <c r="C303" i="4"/>
  <c r="C305" i="9"/>
  <c r="D303" i="4"/>
  <c r="D305" i="9"/>
  <c r="E303" i="4"/>
  <c r="E305" i="9"/>
  <c r="C304" i="4"/>
  <c r="C306" i="9"/>
  <c r="D304" i="4"/>
  <c r="D306" i="9"/>
  <c r="E304" i="4"/>
  <c r="E306" i="9"/>
  <c r="C305" i="4"/>
  <c r="H305" i="4" s="1"/>
  <c r="C307" i="9"/>
  <c r="D305" i="4"/>
  <c r="D307" i="9"/>
  <c r="E305" i="4"/>
  <c r="E307" i="9"/>
  <c r="C306" i="4"/>
  <c r="C308" i="9"/>
  <c r="D306" i="4"/>
  <c r="D308" i="9"/>
  <c r="E306" i="4"/>
  <c r="E308" i="9"/>
  <c r="C307" i="4"/>
  <c r="C309" i="9"/>
  <c r="D307" i="4"/>
  <c r="D309" i="9"/>
  <c r="E307" i="4"/>
  <c r="E309" i="9"/>
  <c r="C308" i="4"/>
  <c r="C310" i="9"/>
  <c r="D308" i="4"/>
  <c r="D310" i="9"/>
  <c r="E308" i="4"/>
  <c r="E310" i="9"/>
  <c r="C309" i="4"/>
  <c r="C311" i="9"/>
  <c r="D309" i="4"/>
  <c r="D311" i="9"/>
  <c r="E309" i="4"/>
  <c r="E311" i="9"/>
  <c r="C310" i="4"/>
  <c r="C312" i="9"/>
  <c r="D310" i="4"/>
  <c r="D312" i="9"/>
  <c r="E310" i="4"/>
  <c r="E312" i="9"/>
  <c r="C311" i="4"/>
  <c r="C313" i="9"/>
  <c r="D311" i="4"/>
  <c r="D313" i="9"/>
  <c r="E311" i="4"/>
  <c r="E313" i="9"/>
  <c r="C312" i="4"/>
  <c r="C314" i="9"/>
  <c r="D312" i="4"/>
  <c r="D314" i="9"/>
  <c r="E312" i="4"/>
  <c r="E314" i="9"/>
  <c r="C313" i="4"/>
  <c r="H313" i="4" s="1"/>
  <c r="C315" i="9"/>
  <c r="D313" i="4"/>
  <c r="D315" i="9"/>
  <c r="E313" i="4"/>
  <c r="E315" i="9"/>
  <c r="C314" i="4"/>
  <c r="C316" i="9"/>
  <c r="D314" i="4"/>
  <c r="D316" i="9"/>
  <c r="E314" i="4"/>
  <c r="E316" i="9"/>
  <c r="C315" i="4"/>
  <c r="C317" i="9"/>
  <c r="D315" i="4"/>
  <c r="D317" i="9"/>
  <c r="E315" i="4"/>
  <c r="E317" i="9"/>
  <c r="C316" i="4"/>
  <c r="C318" i="9"/>
  <c r="D316" i="4"/>
  <c r="D318" i="9"/>
  <c r="E316" i="4"/>
  <c r="E318" i="9"/>
  <c r="C317" i="4"/>
  <c r="C319" i="9"/>
  <c r="D317" i="4"/>
  <c r="D319" i="9"/>
  <c r="E317" i="4"/>
  <c r="E319" i="9"/>
  <c r="C318" i="4"/>
  <c r="C320" i="9"/>
  <c r="D318" i="4"/>
  <c r="D320" i="9"/>
  <c r="E318" i="4"/>
  <c r="E320" i="9"/>
  <c r="C319" i="4"/>
  <c r="C321" i="9"/>
  <c r="D319" i="4"/>
  <c r="D321" i="9"/>
  <c r="E319" i="4"/>
  <c r="E321" i="9"/>
  <c r="C320" i="4"/>
  <c r="C322" i="9"/>
  <c r="D320" i="4"/>
  <c r="D322" i="9"/>
  <c r="E320" i="4"/>
  <c r="E322" i="9"/>
  <c r="C321" i="4"/>
  <c r="H321" i="4" s="1"/>
  <c r="C323" i="9"/>
  <c r="D321" i="4"/>
  <c r="D323" i="9"/>
  <c r="E321" i="4"/>
  <c r="E323" i="9"/>
  <c r="C322" i="4"/>
  <c r="C324" i="9"/>
  <c r="D322" i="4"/>
  <c r="D324" i="9"/>
  <c r="E322" i="4"/>
  <c r="E324" i="9"/>
  <c r="C323" i="4"/>
  <c r="C325" i="9"/>
  <c r="D323" i="4"/>
  <c r="D325" i="9"/>
  <c r="E323" i="4"/>
  <c r="E325" i="9"/>
  <c r="C324" i="4"/>
  <c r="C326" i="9"/>
  <c r="D324" i="4"/>
  <c r="D326" i="9"/>
  <c r="E324" i="4"/>
  <c r="E326" i="9"/>
  <c r="C325" i="4"/>
  <c r="C327" i="9"/>
  <c r="D325" i="4"/>
  <c r="D327" i="9"/>
  <c r="E325" i="4"/>
  <c r="E327" i="9"/>
  <c r="C326" i="4"/>
  <c r="C328" i="9"/>
  <c r="D326" i="4"/>
  <c r="D328" i="9"/>
  <c r="E326" i="4"/>
  <c r="E328" i="9"/>
  <c r="C327" i="4"/>
  <c r="C329" i="9"/>
  <c r="D327" i="4"/>
  <c r="D329" i="9"/>
  <c r="E327" i="4"/>
  <c r="E329" i="9"/>
  <c r="C328" i="4"/>
  <c r="C330" i="9"/>
  <c r="D328" i="4"/>
  <c r="D330" i="9"/>
  <c r="E328" i="4"/>
  <c r="E330" i="9"/>
  <c r="C329" i="4"/>
  <c r="H329" i="4" s="1"/>
  <c r="C331" i="9"/>
  <c r="D329" i="4"/>
  <c r="D331" i="9"/>
  <c r="E329" i="4"/>
  <c r="E331" i="9"/>
  <c r="C330" i="4"/>
  <c r="C332" i="9"/>
  <c r="D330" i="4"/>
  <c r="D332" i="9"/>
  <c r="E330" i="4"/>
  <c r="E332" i="9"/>
  <c r="C331" i="4"/>
  <c r="C333" i="9"/>
  <c r="D331" i="4"/>
  <c r="D333" i="9"/>
  <c r="E331" i="4"/>
  <c r="E333" i="9"/>
  <c r="C332" i="4"/>
  <c r="C334" i="9"/>
  <c r="D332" i="4"/>
  <c r="D334" i="9"/>
  <c r="E332" i="4"/>
  <c r="E334" i="9"/>
  <c r="C333" i="4"/>
  <c r="C335" i="9"/>
  <c r="D333" i="4"/>
  <c r="D335" i="9"/>
  <c r="E333" i="4"/>
  <c r="E335" i="9"/>
  <c r="C334" i="4"/>
  <c r="C336" i="9"/>
  <c r="D334" i="4"/>
  <c r="D336" i="9"/>
  <c r="E334" i="4"/>
  <c r="E336" i="9"/>
  <c r="C335" i="4"/>
  <c r="C337" i="9"/>
  <c r="D335" i="4"/>
  <c r="D337" i="9"/>
  <c r="E335" i="4"/>
  <c r="E337" i="9"/>
  <c r="C336" i="4"/>
  <c r="C338" i="9"/>
  <c r="D336" i="4"/>
  <c r="D338" i="9"/>
  <c r="E336" i="4"/>
  <c r="E338" i="9"/>
  <c r="C337" i="4"/>
  <c r="H337" i="4" s="1"/>
  <c r="C339" i="9"/>
  <c r="D337" i="4"/>
  <c r="D339" i="9"/>
  <c r="E337" i="4"/>
  <c r="E339" i="9"/>
  <c r="C338" i="4"/>
  <c r="C340" i="9"/>
  <c r="D338" i="4"/>
  <c r="H338" i="4" s="1"/>
  <c r="D340" i="9"/>
  <c r="E338" i="4"/>
  <c r="E340" i="9"/>
  <c r="C339" i="4"/>
  <c r="C341" i="9"/>
  <c r="D339" i="4"/>
  <c r="D341" i="9"/>
  <c r="E339" i="4"/>
  <c r="E341" i="9"/>
  <c r="C340" i="4"/>
  <c r="C342" i="9"/>
  <c r="D340" i="4"/>
  <c r="H340" i="4" s="1"/>
  <c r="D342" i="9"/>
  <c r="E342" i="9"/>
  <c r="C341" i="4"/>
  <c r="C343" i="9"/>
  <c r="D341" i="4"/>
  <c r="D343" i="9"/>
  <c r="E341" i="4"/>
  <c r="E343" i="9"/>
  <c r="C344" i="9"/>
  <c r="D342" i="4"/>
  <c r="D344" i="9"/>
  <c r="E342" i="4"/>
  <c r="E344" i="9"/>
  <c r="C343" i="4"/>
  <c r="C345" i="9"/>
  <c r="D345" i="9"/>
  <c r="E343" i="4"/>
  <c r="E345" i="9"/>
  <c r="C344" i="4"/>
  <c r="C346" i="9"/>
  <c r="D344" i="4"/>
  <c r="D346" i="9"/>
  <c r="E346" i="9"/>
  <c r="C345" i="4"/>
  <c r="C347" i="9"/>
  <c r="D345" i="4"/>
  <c r="D347" i="9"/>
  <c r="E345" i="4"/>
  <c r="E347" i="9"/>
  <c r="C348" i="9"/>
  <c r="D346" i="4"/>
  <c r="D348" i="9"/>
  <c r="E346" i="4"/>
  <c r="E348" i="9"/>
  <c r="C347" i="4"/>
  <c r="C349" i="9"/>
  <c r="D349" i="9"/>
  <c r="E347" i="4"/>
  <c r="E349" i="9"/>
  <c r="C348" i="4"/>
  <c r="C350" i="9"/>
  <c r="D348" i="4"/>
  <c r="D350" i="9"/>
  <c r="E350" i="9"/>
  <c r="C349" i="4"/>
  <c r="H349" i="4" s="1"/>
  <c r="C351" i="9"/>
  <c r="D349" i="4"/>
  <c r="D351" i="9"/>
  <c r="E349" i="4"/>
  <c r="E351" i="9"/>
  <c r="C352" i="9"/>
  <c r="D350" i="4"/>
  <c r="D352" i="9"/>
  <c r="E350" i="4"/>
  <c r="E352" i="9"/>
  <c r="C351" i="4"/>
  <c r="C353" i="9"/>
  <c r="D353" i="9"/>
  <c r="E351" i="4"/>
  <c r="E353" i="9"/>
  <c r="C352" i="4"/>
  <c r="C354" i="9"/>
  <c r="D352" i="4"/>
  <c r="D354" i="9"/>
  <c r="E354" i="9"/>
  <c r="C353" i="4"/>
  <c r="C355" i="9"/>
  <c r="D353" i="4"/>
  <c r="D355" i="9"/>
  <c r="E353" i="4"/>
  <c r="H353" i="4" s="1"/>
  <c r="E355" i="9"/>
  <c r="C356" i="9"/>
  <c r="D354" i="4"/>
  <c r="D356" i="9"/>
  <c r="E354" i="4"/>
  <c r="H354" i="4" s="1"/>
  <c r="E356" i="9"/>
  <c r="C355" i="4"/>
  <c r="C357" i="9"/>
  <c r="D357" i="9"/>
  <c r="E355" i="4"/>
  <c r="E357" i="9"/>
  <c r="C356" i="4"/>
  <c r="C358" i="9"/>
  <c r="D356" i="4"/>
  <c r="D358" i="9"/>
  <c r="E358" i="9"/>
  <c r="C357" i="4"/>
  <c r="C359" i="9"/>
  <c r="D357" i="4"/>
  <c r="D359" i="9"/>
  <c r="E357" i="4"/>
  <c r="E359" i="9"/>
  <c r="C360" i="9"/>
  <c r="D358" i="4"/>
  <c r="D360" i="9"/>
  <c r="E358" i="4"/>
  <c r="E360" i="9"/>
  <c r="C359" i="4"/>
  <c r="C361" i="9"/>
  <c r="D361" i="9"/>
  <c r="E359" i="4"/>
  <c r="E361" i="9"/>
  <c r="C360" i="4"/>
  <c r="C362" i="9"/>
  <c r="D360" i="4"/>
  <c r="D362" i="9"/>
  <c r="E362" i="9"/>
  <c r="C361" i="4"/>
  <c r="C363" i="9"/>
  <c r="D361" i="4"/>
  <c r="D363" i="9"/>
  <c r="E361" i="4"/>
  <c r="E363" i="9"/>
  <c r="C364" i="9"/>
  <c r="D362" i="4"/>
  <c r="D364" i="9"/>
  <c r="E362" i="4"/>
  <c r="E364" i="9"/>
  <c r="C363" i="4"/>
  <c r="C365" i="9"/>
  <c r="D365" i="9"/>
  <c r="E363" i="4"/>
  <c r="E365" i="9"/>
  <c r="C364" i="4"/>
  <c r="C366" i="9"/>
  <c r="D364" i="4"/>
  <c r="D366" i="9"/>
  <c r="E366" i="9"/>
  <c r="C365" i="4"/>
  <c r="C367" i="9"/>
  <c r="D365" i="4"/>
  <c r="D367" i="9"/>
  <c r="E365" i="4"/>
  <c r="E367" i="9"/>
  <c r="C368" i="9"/>
  <c r="D366" i="4"/>
  <c r="D368" i="9"/>
  <c r="E366" i="4"/>
  <c r="E368" i="9"/>
  <c r="C367" i="4"/>
  <c r="C369" i="9"/>
  <c r="D369" i="9"/>
  <c r="E367" i="4"/>
  <c r="E369" i="9"/>
  <c r="C368" i="4"/>
  <c r="C370" i="9"/>
  <c r="D368" i="4"/>
  <c r="D370" i="9"/>
  <c r="E370" i="9"/>
  <c r="C369" i="4"/>
  <c r="C371" i="9"/>
  <c r="D369" i="4"/>
  <c r="D371" i="9"/>
  <c r="E369" i="4"/>
  <c r="E371" i="9"/>
  <c r="C372" i="9"/>
  <c r="D370" i="4"/>
  <c r="D372" i="9"/>
  <c r="E370" i="4"/>
  <c r="E372" i="9"/>
  <c r="C371" i="4"/>
  <c r="C373" i="9"/>
  <c r="D373" i="9"/>
  <c r="E371" i="4"/>
  <c r="E373" i="9"/>
  <c r="C372" i="4"/>
  <c r="C374" i="9"/>
  <c r="D372" i="4"/>
  <c r="D374" i="9"/>
  <c r="E374" i="9"/>
  <c r="C373" i="4"/>
  <c r="C375" i="9"/>
  <c r="D373" i="4"/>
  <c r="D375" i="9"/>
  <c r="E373" i="4"/>
  <c r="E375" i="9"/>
  <c r="C376" i="9"/>
  <c r="D374" i="4"/>
  <c r="D376" i="9"/>
  <c r="E374" i="4"/>
  <c r="E376" i="9"/>
  <c r="C375" i="4"/>
  <c r="C377" i="9"/>
  <c r="D377" i="9"/>
  <c r="E375" i="4"/>
  <c r="E377" i="9"/>
  <c r="C376" i="4"/>
  <c r="C378" i="9"/>
  <c r="D376" i="4"/>
  <c r="D378" i="9"/>
  <c r="E378" i="9"/>
  <c r="C377" i="4"/>
  <c r="C379" i="9"/>
  <c r="D377" i="4"/>
  <c r="D379" i="9"/>
  <c r="E377" i="4"/>
  <c r="H377" i="4" s="1"/>
  <c r="E379" i="9"/>
  <c r="C380" i="9"/>
  <c r="D378" i="4"/>
  <c r="D380" i="9"/>
  <c r="E378" i="4"/>
  <c r="E380" i="9"/>
  <c r="C379" i="4"/>
  <c r="C381" i="9"/>
  <c r="D381" i="9"/>
  <c r="E379" i="4"/>
  <c r="E381" i="9"/>
  <c r="C380" i="4"/>
  <c r="C382" i="9"/>
  <c r="D380" i="4"/>
  <c r="D382" i="9"/>
  <c r="E382" i="9"/>
  <c r="C381" i="4"/>
  <c r="C383" i="9"/>
  <c r="D381" i="4"/>
  <c r="D383" i="9"/>
  <c r="E381" i="4"/>
  <c r="E383" i="9"/>
  <c r="C384" i="9"/>
  <c r="D382" i="4"/>
  <c r="D384" i="9"/>
  <c r="E382" i="4"/>
  <c r="E384" i="9"/>
  <c r="C383" i="4"/>
  <c r="C385" i="9"/>
  <c r="D385" i="9"/>
  <c r="E383" i="4"/>
  <c r="E385" i="9"/>
  <c r="C384" i="4"/>
  <c r="C386" i="9"/>
  <c r="D384" i="4"/>
  <c r="D386" i="9"/>
  <c r="E386" i="9"/>
  <c r="C385" i="4"/>
  <c r="C387" i="9"/>
  <c r="D385" i="4"/>
  <c r="H385" i="4" s="1"/>
  <c r="D387" i="9"/>
  <c r="E385" i="4"/>
  <c r="E387" i="9"/>
  <c r="C388" i="9"/>
  <c r="D386" i="4"/>
  <c r="D388" i="9"/>
  <c r="E386" i="4"/>
  <c r="E388" i="9"/>
  <c r="C387" i="4"/>
  <c r="C389" i="9"/>
  <c r="D389" i="9"/>
  <c r="E387" i="4"/>
  <c r="E389" i="9"/>
  <c r="C388" i="4"/>
  <c r="C390" i="9"/>
  <c r="D388" i="4"/>
  <c r="D390" i="9"/>
  <c r="E390" i="9"/>
  <c r="C389" i="4"/>
  <c r="C391" i="9"/>
  <c r="D389" i="4"/>
  <c r="D391" i="9"/>
  <c r="E389" i="4"/>
  <c r="E391" i="9"/>
  <c r="C392" i="9"/>
  <c r="D390" i="4"/>
  <c r="D392" i="9"/>
  <c r="E390" i="4"/>
  <c r="E392" i="9"/>
  <c r="C391" i="4"/>
  <c r="C393" i="9"/>
  <c r="D393" i="9"/>
  <c r="E391" i="4"/>
  <c r="E393" i="9"/>
  <c r="C392" i="4"/>
  <c r="C394" i="9"/>
  <c r="D392" i="4"/>
  <c r="D394" i="9"/>
  <c r="E394" i="9"/>
  <c r="C393" i="4"/>
  <c r="C395" i="9"/>
  <c r="D393" i="4"/>
  <c r="D395" i="9"/>
  <c r="E393" i="4"/>
  <c r="E395" i="9"/>
  <c r="C396" i="9"/>
  <c r="D394" i="4"/>
  <c r="D396" i="9"/>
  <c r="E394" i="4"/>
  <c r="E396" i="9"/>
  <c r="C395" i="4"/>
  <c r="C397" i="9"/>
  <c r="D397" i="9"/>
  <c r="E395" i="4"/>
  <c r="E397" i="9"/>
  <c r="C396" i="4"/>
  <c r="C398" i="9"/>
  <c r="D396" i="4"/>
  <c r="D398" i="9"/>
  <c r="E398" i="9"/>
  <c r="C397" i="4"/>
  <c r="C399" i="9"/>
  <c r="D397" i="4"/>
  <c r="D399" i="9"/>
  <c r="E397" i="4"/>
  <c r="E399" i="9"/>
  <c r="C400" i="9"/>
  <c r="D398" i="4"/>
  <c r="D400" i="9"/>
  <c r="E398" i="4"/>
  <c r="E400" i="9"/>
  <c r="C399" i="4"/>
  <c r="C401" i="9"/>
  <c r="D401" i="9"/>
  <c r="E399" i="4"/>
  <c r="E401" i="9"/>
  <c r="C400" i="4"/>
  <c r="C402" i="9"/>
  <c r="D400" i="4"/>
  <c r="D402" i="9"/>
  <c r="E402" i="9"/>
  <c r="C401" i="4"/>
  <c r="C403" i="9"/>
  <c r="D401" i="4"/>
  <c r="D403" i="9"/>
  <c r="E401" i="4"/>
  <c r="E403" i="9"/>
  <c r="C404" i="9"/>
  <c r="D402" i="4"/>
  <c r="D404" i="9"/>
  <c r="E402" i="4"/>
  <c r="E404" i="9"/>
  <c r="C403" i="4"/>
  <c r="C405" i="9"/>
  <c r="D405" i="9"/>
  <c r="E403" i="4"/>
  <c r="E405" i="9"/>
  <c r="C404" i="4"/>
  <c r="C406" i="9"/>
  <c r="D404" i="4"/>
  <c r="D406" i="9"/>
  <c r="E406" i="9"/>
  <c r="C405" i="4"/>
  <c r="C407" i="9"/>
  <c r="D405" i="4"/>
  <c r="D407" i="9"/>
  <c r="E405" i="4"/>
  <c r="E407" i="9"/>
  <c r="C408" i="9"/>
  <c r="D406" i="4"/>
  <c r="D408" i="9"/>
  <c r="E406" i="4"/>
  <c r="E408" i="9"/>
  <c r="C407" i="4"/>
  <c r="C409" i="9"/>
  <c r="D409" i="9"/>
  <c r="E407" i="4"/>
  <c r="E409" i="9"/>
  <c r="C408" i="4"/>
  <c r="C410" i="9"/>
  <c r="D408" i="4"/>
  <c r="D410" i="9"/>
  <c r="E410" i="9"/>
  <c r="C409" i="4"/>
  <c r="C411" i="9"/>
  <c r="D409" i="4"/>
  <c r="D411" i="9"/>
  <c r="E409" i="4"/>
  <c r="E411" i="9"/>
  <c r="C412" i="9"/>
  <c r="D410" i="4"/>
  <c r="D412" i="9"/>
  <c r="E410" i="4"/>
  <c r="E412" i="9"/>
  <c r="C411" i="4"/>
  <c r="C413" i="9"/>
  <c r="D413" i="9"/>
  <c r="E411" i="4"/>
  <c r="E413" i="9"/>
  <c r="C412" i="4"/>
  <c r="C414" i="9"/>
  <c r="D412" i="4"/>
  <c r="D414" i="9"/>
  <c r="E414" i="9"/>
  <c r="C413" i="4"/>
  <c r="C415" i="9"/>
  <c r="D413" i="4"/>
  <c r="D415" i="9"/>
  <c r="E413" i="4"/>
  <c r="E415" i="9"/>
  <c r="C416" i="9"/>
  <c r="D414" i="4"/>
  <c r="D416" i="9"/>
  <c r="E414" i="4"/>
  <c r="E416" i="9"/>
  <c r="C415" i="4"/>
  <c r="C417" i="9"/>
  <c r="D417" i="9"/>
  <c r="E415" i="4"/>
  <c r="E417" i="9"/>
  <c r="C416" i="4"/>
  <c r="C418" i="9"/>
  <c r="D416" i="4"/>
  <c r="D418" i="9"/>
  <c r="E418" i="9"/>
  <c r="C417" i="4"/>
  <c r="C419" i="9"/>
  <c r="D417" i="4"/>
  <c r="D419" i="9"/>
  <c r="E417" i="4"/>
  <c r="E419" i="9"/>
  <c r="C420" i="9"/>
  <c r="D418" i="4"/>
  <c r="D420" i="9"/>
  <c r="E418" i="4"/>
  <c r="E420" i="9"/>
  <c r="C419" i="4"/>
  <c r="C421" i="9"/>
  <c r="D421" i="9"/>
  <c r="E419" i="4"/>
  <c r="E421" i="9"/>
  <c r="C420" i="4"/>
  <c r="C422" i="9"/>
  <c r="D420" i="4"/>
  <c r="D422" i="9"/>
  <c r="E422" i="9"/>
  <c r="C421" i="4"/>
  <c r="C423" i="9"/>
  <c r="D421" i="4"/>
  <c r="D423" i="9"/>
  <c r="E421" i="4"/>
  <c r="E423" i="9"/>
  <c r="C424" i="9"/>
  <c r="D422" i="4"/>
  <c r="D424" i="9"/>
  <c r="E422" i="4"/>
  <c r="E424" i="9"/>
  <c r="C423" i="4"/>
  <c r="C425" i="9"/>
  <c r="D425" i="9"/>
  <c r="E423" i="4"/>
  <c r="E425" i="9"/>
  <c r="C424" i="4"/>
  <c r="C426" i="9"/>
  <c r="D424" i="4"/>
  <c r="D426" i="9"/>
  <c r="E426" i="9"/>
  <c r="C425" i="4"/>
  <c r="C427" i="9"/>
  <c r="D425" i="4"/>
  <c r="D427" i="9"/>
  <c r="E425" i="4"/>
  <c r="E427" i="9"/>
  <c r="C428" i="9"/>
  <c r="D426" i="4"/>
  <c r="D428" i="9"/>
  <c r="E426" i="4"/>
  <c r="E428" i="9"/>
  <c r="C427" i="4"/>
  <c r="C429" i="9"/>
  <c r="D429" i="9"/>
  <c r="E427" i="4"/>
  <c r="E429" i="9"/>
  <c r="C428" i="4"/>
  <c r="C430" i="9"/>
  <c r="D428" i="4"/>
  <c r="D430" i="9"/>
  <c r="E430" i="9"/>
  <c r="C429" i="4"/>
  <c r="C431" i="9"/>
  <c r="D429" i="4"/>
  <c r="D431" i="9"/>
  <c r="E429" i="4"/>
  <c r="E431" i="9"/>
  <c r="C432" i="9"/>
  <c r="D430" i="4"/>
  <c r="D432" i="9"/>
  <c r="E430" i="4"/>
  <c r="E432" i="9"/>
  <c r="C431" i="4"/>
  <c r="C433" i="9"/>
  <c r="D433" i="9"/>
  <c r="E431" i="4"/>
  <c r="E433" i="9"/>
  <c r="C432" i="4"/>
  <c r="C434" i="9"/>
  <c r="D432" i="4"/>
  <c r="D434" i="9"/>
  <c r="E434" i="9"/>
  <c r="C433" i="4"/>
  <c r="C435" i="9"/>
  <c r="D433" i="4"/>
  <c r="D435" i="9"/>
  <c r="E433" i="4"/>
  <c r="H433" i="4" s="1"/>
  <c r="E435" i="9"/>
  <c r="C436" i="9"/>
  <c r="D434" i="4"/>
  <c r="D436" i="9"/>
  <c r="E434" i="4"/>
  <c r="E436" i="9"/>
  <c r="C435" i="4"/>
  <c r="C437" i="9"/>
  <c r="D437" i="9"/>
  <c r="E435" i="4"/>
  <c r="E437" i="9"/>
  <c r="C436" i="4"/>
  <c r="C438" i="9"/>
  <c r="D436" i="4"/>
  <c r="D438" i="9"/>
  <c r="E438" i="9"/>
  <c r="C437" i="4"/>
  <c r="C439" i="9"/>
  <c r="D437" i="4"/>
  <c r="D439" i="9"/>
  <c r="E437" i="4"/>
  <c r="E439" i="9"/>
  <c r="C440" i="9"/>
  <c r="D438" i="4"/>
  <c r="D440" i="9"/>
  <c r="E438" i="4"/>
  <c r="E440" i="9"/>
  <c r="C439" i="4"/>
  <c r="C441" i="9"/>
  <c r="D441" i="9"/>
  <c r="E439" i="4"/>
  <c r="E441" i="9"/>
  <c r="C440" i="4"/>
  <c r="C442" i="9"/>
  <c r="D440" i="4"/>
  <c r="D442" i="9"/>
  <c r="E442" i="9"/>
  <c r="C441" i="4"/>
  <c r="C443" i="9"/>
  <c r="D441" i="4"/>
  <c r="D443" i="9"/>
  <c r="E441" i="4"/>
  <c r="H441" i="4" s="1"/>
  <c r="E443" i="9"/>
  <c r="C444" i="9"/>
  <c r="D442" i="4"/>
  <c r="D444" i="9"/>
  <c r="E442" i="4"/>
  <c r="E444" i="9"/>
  <c r="C443" i="4"/>
  <c r="C445" i="9"/>
  <c r="D445" i="9"/>
  <c r="E443" i="4"/>
  <c r="E445" i="9"/>
  <c r="C444" i="4"/>
  <c r="C446" i="9"/>
  <c r="D444" i="4"/>
  <c r="D446" i="9"/>
  <c r="E446" i="9"/>
  <c r="C445" i="4"/>
  <c r="C447" i="9"/>
  <c r="D445" i="4"/>
  <c r="D447" i="9"/>
  <c r="E445" i="4"/>
  <c r="E447" i="9"/>
  <c r="C448" i="9"/>
  <c r="D446" i="4"/>
  <c r="D448" i="9"/>
  <c r="E448" i="9"/>
  <c r="C447" i="4"/>
  <c r="C449" i="9"/>
  <c r="D449" i="9"/>
  <c r="E447" i="4"/>
  <c r="H447" i="4" s="1"/>
  <c r="E449" i="9"/>
  <c r="C450" i="9"/>
  <c r="D448" i="4"/>
  <c r="D450" i="9"/>
  <c r="E450" i="9"/>
  <c r="C449" i="4"/>
  <c r="C451" i="9"/>
  <c r="D451" i="9"/>
  <c r="E449" i="4"/>
  <c r="E451" i="9"/>
  <c r="C452" i="9"/>
  <c r="D450" i="4"/>
  <c r="D452" i="9"/>
  <c r="E452" i="9"/>
  <c r="C451" i="4"/>
  <c r="C453" i="9"/>
  <c r="D453" i="9"/>
  <c r="E451" i="4"/>
  <c r="E453" i="9"/>
  <c r="C454" i="9"/>
  <c r="D452" i="4"/>
  <c r="D454" i="9"/>
  <c r="E454" i="9"/>
  <c r="C453" i="4"/>
  <c r="C455" i="9"/>
  <c r="D455" i="9"/>
  <c r="E453" i="4"/>
  <c r="E455" i="9"/>
  <c r="C456" i="9"/>
  <c r="D454" i="4"/>
  <c r="D456" i="9"/>
  <c r="E456" i="9"/>
  <c r="C455" i="4"/>
  <c r="C457" i="9"/>
  <c r="D457" i="9"/>
  <c r="E455" i="4"/>
  <c r="E457" i="9"/>
  <c r="C458" i="9"/>
  <c r="D456" i="4"/>
  <c r="D458" i="9"/>
  <c r="E458" i="9"/>
  <c r="C457" i="4"/>
  <c r="H457" i="4" s="1"/>
  <c r="C459" i="9"/>
  <c r="D459" i="9"/>
  <c r="E457" i="4"/>
  <c r="E459" i="9"/>
  <c r="C460" i="9"/>
  <c r="D458" i="4"/>
  <c r="D460" i="9"/>
  <c r="E460" i="9"/>
  <c r="C459" i="4"/>
  <c r="C461" i="9"/>
  <c r="D461" i="9"/>
  <c r="E459" i="4"/>
  <c r="E461" i="9"/>
  <c r="C462" i="9"/>
  <c r="D460" i="4"/>
  <c r="D462" i="9"/>
  <c r="E462" i="9"/>
  <c r="C461" i="4"/>
  <c r="C463" i="9"/>
  <c r="D463" i="9"/>
  <c r="E461" i="4"/>
  <c r="E463" i="9"/>
  <c r="C464" i="9"/>
  <c r="D462" i="4"/>
  <c r="D464" i="9"/>
  <c r="E464" i="9"/>
  <c r="C463" i="4"/>
  <c r="C465" i="9"/>
  <c r="D465" i="9"/>
  <c r="E463" i="4"/>
  <c r="E465" i="9"/>
  <c r="C466" i="9"/>
  <c r="D464" i="4"/>
  <c r="D466" i="9"/>
  <c r="E466" i="9"/>
  <c r="C465" i="4"/>
  <c r="C467" i="9"/>
  <c r="D467" i="9"/>
  <c r="E465" i="4"/>
  <c r="E467" i="9"/>
  <c r="C468" i="9"/>
  <c r="D466" i="4"/>
  <c r="D468" i="9"/>
  <c r="E468" i="9"/>
  <c r="C467" i="4"/>
  <c r="C469" i="9"/>
  <c r="D469" i="9"/>
  <c r="E467" i="4"/>
  <c r="H467" i="4" s="1"/>
  <c r="E469" i="9"/>
  <c r="C470" i="9"/>
  <c r="D468" i="4"/>
  <c r="D470" i="9"/>
  <c r="E470" i="9"/>
  <c r="C469" i="4"/>
  <c r="C471" i="9"/>
  <c r="D471" i="9"/>
  <c r="E469" i="4"/>
  <c r="E471" i="9"/>
  <c r="C472" i="9"/>
  <c r="D470" i="4"/>
  <c r="D472" i="9"/>
  <c r="E472" i="9"/>
  <c r="C471" i="4"/>
  <c r="C473" i="9"/>
  <c r="D473" i="9"/>
  <c r="E471" i="4"/>
  <c r="E473" i="9"/>
  <c r="C474" i="9"/>
  <c r="D472" i="4"/>
  <c r="D474" i="9"/>
  <c r="E474" i="9"/>
  <c r="C473" i="4"/>
  <c r="C475" i="9"/>
  <c r="D475" i="9"/>
  <c r="E473" i="4"/>
  <c r="E475" i="9"/>
  <c r="C476" i="9"/>
  <c r="D474" i="4"/>
  <c r="D476" i="9"/>
  <c r="E476" i="9"/>
  <c r="C475" i="4"/>
  <c r="C477" i="9"/>
  <c r="D477" i="9"/>
  <c r="E475" i="4"/>
  <c r="E477" i="9"/>
  <c r="C478" i="9"/>
  <c r="D476" i="4"/>
  <c r="D478" i="9"/>
  <c r="E478" i="9"/>
  <c r="C477" i="4"/>
  <c r="C479" i="9"/>
  <c r="D479" i="9"/>
  <c r="E477" i="4"/>
  <c r="E479" i="9"/>
  <c r="C480" i="9"/>
  <c r="D478" i="4"/>
  <c r="D480" i="9"/>
  <c r="E480" i="9"/>
  <c r="C479" i="4"/>
  <c r="C481" i="9"/>
  <c r="D481" i="9"/>
  <c r="E479" i="4"/>
  <c r="E481" i="9"/>
  <c r="C482" i="9"/>
  <c r="D480" i="4"/>
  <c r="D482" i="9"/>
  <c r="E482" i="9"/>
  <c r="C481" i="4"/>
  <c r="C483" i="9"/>
  <c r="D483" i="9"/>
  <c r="E481" i="4"/>
  <c r="E483" i="9"/>
  <c r="C484" i="9"/>
  <c r="D482" i="4"/>
  <c r="D484" i="9"/>
  <c r="E484" i="9"/>
  <c r="C483" i="4"/>
  <c r="C485" i="9"/>
  <c r="D485" i="9"/>
  <c r="E483" i="4"/>
  <c r="E485" i="9"/>
  <c r="C486" i="9"/>
  <c r="D484" i="4"/>
  <c r="D486" i="9"/>
  <c r="E486" i="9"/>
  <c r="C485" i="4"/>
  <c r="C487" i="9"/>
  <c r="D487" i="9"/>
  <c r="E485" i="4"/>
  <c r="E487" i="9"/>
  <c r="C488" i="9"/>
  <c r="D486" i="4"/>
  <c r="D488" i="9"/>
  <c r="E488" i="9"/>
  <c r="C487" i="4"/>
  <c r="C489" i="9"/>
  <c r="D489" i="9"/>
  <c r="E487" i="4"/>
  <c r="E489" i="9"/>
  <c r="C490" i="9"/>
  <c r="D488" i="4"/>
  <c r="D490" i="9"/>
  <c r="E490" i="9"/>
  <c r="C489" i="4"/>
  <c r="H489" i="4" s="1"/>
  <c r="C491" i="9"/>
  <c r="D491" i="9"/>
  <c r="E489" i="4"/>
  <c r="E491" i="9"/>
  <c r="C492" i="9"/>
  <c r="D490" i="4"/>
  <c r="D492" i="9"/>
  <c r="E492" i="9"/>
  <c r="C491" i="4"/>
  <c r="C493" i="9"/>
  <c r="D493" i="9"/>
  <c r="E491" i="4"/>
  <c r="E493" i="9"/>
  <c r="C494" i="9"/>
  <c r="D492" i="4"/>
  <c r="D494" i="9"/>
  <c r="E494" i="9"/>
  <c r="C493" i="4"/>
  <c r="C495" i="9"/>
  <c r="D495" i="9"/>
  <c r="E493" i="4"/>
  <c r="E495" i="9"/>
  <c r="C496" i="9"/>
  <c r="D494" i="4"/>
  <c r="D496" i="9"/>
  <c r="E496" i="9"/>
  <c r="C495" i="4"/>
  <c r="C497" i="9"/>
  <c r="D497" i="9"/>
  <c r="E495" i="4"/>
  <c r="E497" i="9"/>
  <c r="C498" i="9"/>
  <c r="D496" i="4"/>
  <c r="D498" i="9"/>
  <c r="E498" i="9"/>
  <c r="C497" i="4"/>
  <c r="C499" i="9"/>
  <c r="D499" i="9"/>
  <c r="E497" i="4"/>
  <c r="E499" i="9"/>
  <c r="C500" i="9"/>
  <c r="D498" i="4"/>
  <c r="D500" i="9"/>
  <c r="E500" i="9"/>
  <c r="C499" i="4"/>
  <c r="H499" i="4" s="1"/>
  <c r="C501" i="9"/>
  <c r="D501" i="9"/>
  <c r="E501" i="9"/>
  <c r="C502" i="9"/>
  <c r="D500" i="4"/>
  <c r="D502" i="9"/>
  <c r="E502" i="9"/>
  <c r="C503" i="9"/>
  <c r="D503" i="9"/>
  <c r="E501" i="4"/>
  <c r="E503" i="9"/>
  <c r="D8" i="7"/>
  <c r="E8" i="7" s="1"/>
  <c r="I3" i="6"/>
  <c r="I2" i="6"/>
  <c r="I1" i="6"/>
  <c r="J3" i="6"/>
  <c r="J2" i="6"/>
  <c r="J1" i="6"/>
  <c r="K3" i="6"/>
  <c r="K2" i="6"/>
  <c r="K1" i="6"/>
  <c r="L3" i="6"/>
  <c r="L2" i="6"/>
  <c r="L1" i="6"/>
  <c r="AA10" i="6"/>
  <c r="AB10" i="6" s="1"/>
  <c r="F8" i="7"/>
  <c r="G8" i="7" s="1"/>
  <c r="AB7" i="6"/>
  <c r="AA14" i="6" s="1"/>
  <c r="AA20" i="6" s="1"/>
  <c r="AB8" i="6"/>
  <c r="F9" i="7"/>
  <c r="G9" i="7" s="1"/>
  <c r="H76" i="4"/>
  <c r="H138" i="4"/>
  <c r="H160" i="4"/>
  <c r="H162" i="4"/>
  <c r="H252" i="4"/>
  <c r="H332" i="4"/>
  <c r="E340" i="4"/>
  <c r="C342" i="4"/>
  <c r="D343" i="4"/>
  <c r="E344" i="4"/>
  <c r="C346" i="4"/>
  <c r="H346" i="4" s="1"/>
  <c r="D347" i="4"/>
  <c r="E348" i="4"/>
  <c r="C350" i="4"/>
  <c r="D351" i="4"/>
  <c r="E352" i="4"/>
  <c r="C354" i="4"/>
  <c r="D355" i="4"/>
  <c r="E356" i="4"/>
  <c r="C358" i="4"/>
  <c r="D359" i="4"/>
  <c r="E360" i="4"/>
  <c r="C362" i="4"/>
  <c r="D363" i="4"/>
  <c r="E364" i="4"/>
  <c r="C366" i="4"/>
  <c r="D367" i="4"/>
  <c r="E368" i="4"/>
  <c r="C370" i="4"/>
  <c r="D371" i="4"/>
  <c r="E372" i="4"/>
  <c r="C374" i="4"/>
  <c r="D375" i="4"/>
  <c r="E376" i="4"/>
  <c r="C378" i="4"/>
  <c r="D379" i="4"/>
  <c r="E380" i="4"/>
  <c r="C382" i="4"/>
  <c r="D383" i="4"/>
  <c r="E384" i="4"/>
  <c r="C386" i="4"/>
  <c r="D387" i="4"/>
  <c r="E388" i="4"/>
  <c r="C390" i="4"/>
  <c r="D391" i="4"/>
  <c r="E392" i="4"/>
  <c r="H392" i="4" s="1"/>
  <c r="C394" i="4"/>
  <c r="D395" i="4"/>
  <c r="E396" i="4"/>
  <c r="C398" i="4"/>
  <c r="D399" i="4"/>
  <c r="E400" i="4"/>
  <c r="C402" i="4"/>
  <c r="D403" i="4"/>
  <c r="E404" i="4"/>
  <c r="C406" i="4"/>
  <c r="D407" i="4"/>
  <c r="E408" i="4"/>
  <c r="C410" i="4"/>
  <c r="H410" i="4" s="1"/>
  <c r="D411" i="4"/>
  <c r="E412" i="4"/>
  <c r="C414" i="4"/>
  <c r="D415" i="4"/>
  <c r="E416" i="4"/>
  <c r="C418" i="4"/>
  <c r="D419" i="4"/>
  <c r="E420" i="4"/>
  <c r="C422" i="4"/>
  <c r="D423" i="4"/>
  <c r="E424" i="4"/>
  <c r="C426" i="4"/>
  <c r="D427" i="4"/>
  <c r="E428" i="4"/>
  <c r="C430" i="4"/>
  <c r="D431" i="4"/>
  <c r="E432" i="4"/>
  <c r="C434" i="4"/>
  <c r="D435" i="4"/>
  <c r="E436" i="4"/>
  <c r="C438" i="4"/>
  <c r="D439" i="4"/>
  <c r="E440" i="4"/>
  <c r="C442" i="4"/>
  <c r="D443" i="4"/>
  <c r="E444" i="4"/>
  <c r="C446" i="4"/>
  <c r="D447" i="4"/>
  <c r="E448" i="4"/>
  <c r="C450" i="4"/>
  <c r="D451" i="4"/>
  <c r="E452" i="4"/>
  <c r="C454" i="4"/>
  <c r="D455" i="4"/>
  <c r="E456" i="4"/>
  <c r="C458" i="4"/>
  <c r="D459" i="4"/>
  <c r="E460" i="4"/>
  <c r="C462" i="4"/>
  <c r="D463" i="4"/>
  <c r="E464" i="4"/>
  <c r="C466" i="4"/>
  <c r="D467" i="4"/>
  <c r="E468" i="4"/>
  <c r="C470" i="4"/>
  <c r="D471" i="4"/>
  <c r="E472" i="4"/>
  <c r="C474" i="4"/>
  <c r="D475" i="4"/>
  <c r="E476" i="4"/>
  <c r="C478" i="4"/>
  <c r="D479" i="4"/>
  <c r="E480" i="4"/>
  <c r="C482" i="4"/>
  <c r="D483" i="4"/>
  <c r="E484" i="4"/>
  <c r="C486" i="4"/>
  <c r="D487" i="4"/>
  <c r="H487" i="4" s="1"/>
  <c r="E488" i="4"/>
  <c r="C490" i="4"/>
  <c r="D491" i="4"/>
  <c r="E492" i="4"/>
  <c r="C494" i="4"/>
  <c r="D495" i="4"/>
  <c r="E496" i="4"/>
  <c r="C498" i="4"/>
  <c r="D499" i="4"/>
  <c r="E500" i="4"/>
  <c r="E499" i="4"/>
  <c r="C501" i="4"/>
  <c r="E446" i="4"/>
  <c r="C448" i="4"/>
  <c r="D449" i="4"/>
  <c r="E450" i="4"/>
  <c r="C452" i="4"/>
  <c r="D453" i="4"/>
  <c r="E454" i="4"/>
  <c r="C456" i="4"/>
  <c r="D457" i="4"/>
  <c r="E458" i="4"/>
  <c r="C460" i="4"/>
  <c r="D461" i="4"/>
  <c r="E462" i="4"/>
  <c r="C464" i="4"/>
  <c r="D465" i="4"/>
  <c r="E466" i="4"/>
  <c r="C468" i="4"/>
  <c r="D469" i="4"/>
  <c r="E470" i="4"/>
  <c r="C472" i="4"/>
  <c r="D473" i="4"/>
  <c r="E474" i="4"/>
  <c r="C476" i="4"/>
  <c r="D477" i="4"/>
  <c r="E478" i="4"/>
  <c r="C480" i="4"/>
  <c r="D481" i="4"/>
  <c r="E482" i="4"/>
  <c r="C484" i="4"/>
  <c r="D485" i="4"/>
  <c r="E486" i="4"/>
  <c r="C488" i="4"/>
  <c r="D489" i="4"/>
  <c r="E490" i="4"/>
  <c r="C492" i="4"/>
  <c r="D493" i="4"/>
  <c r="E494" i="4"/>
  <c r="C496" i="4"/>
  <c r="D497" i="4"/>
  <c r="E498" i="4"/>
  <c r="C500" i="4"/>
  <c r="D501" i="4"/>
  <c r="F13" i="5"/>
  <c r="H463" i="4" l="1"/>
  <c r="H445" i="4"/>
  <c r="H356" i="4"/>
  <c r="H314" i="4"/>
  <c r="H293" i="4"/>
  <c r="H285" i="4"/>
  <c r="H269" i="4"/>
  <c r="K269" i="4" s="1"/>
  <c r="H261" i="4"/>
  <c r="H229" i="4"/>
  <c r="H173" i="4"/>
  <c r="J173" i="4" s="1"/>
  <c r="H165" i="4"/>
  <c r="K165" i="4" s="1"/>
  <c r="H133" i="4"/>
  <c r="J133" i="4" s="1"/>
  <c r="H125" i="4"/>
  <c r="K125" i="4" s="1"/>
  <c r="H117" i="4"/>
  <c r="J117" i="4" s="1"/>
  <c r="H101" i="4"/>
  <c r="J101" i="4" s="1"/>
  <c r="H85" i="4"/>
  <c r="H77" i="4"/>
  <c r="H45" i="4"/>
  <c r="H37" i="4"/>
  <c r="H26" i="4"/>
  <c r="H21" i="4"/>
  <c r="H426" i="4"/>
  <c r="J426" i="4" s="1"/>
  <c r="H365" i="4"/>
  <c r="H408" i="4"/>
  <c r="H344" i="4"/>
  <c r="K344" i="4" s="1"/>
  <c r="H479" i="4"/>
  <c r="J479" i="4" s="1"/>
  <c r="H420" i="4"/>
  <c r="K420" i="4" s="1"/>
  <c r="H250" i="4"/>
  <c r="K250" i="4" s="1"/>
  <c r="H226" i="4"/>
  <c r="J226" i="4" s="1"/>
  <c r="H60" i="4"/>
  <c r="K60" i="4" s="1"/>
  <c r="H483" i="4"/>
  <c r="H13" i="4"/>
  <c r="H248" i="4"/>
  <c r="H455" i="4"/>
  <c r="H341" i="4"/>
  <c r="H333" i="4"/>
  <c r="K333" i="4" s="1"/>
  <c r="H317" i="4"/>
  <c r="J317" i="4" s="1"/>
  <c r="H237" i="4"/>
  <c r="K237" i="4" s="1"/>
  <c r="H221" i="4"/>
  <c r="H205" i="4"/>
  <c r="K205" i="4" s="1"/>
  <c r="H109" i="4"/>
  <c r="J109" i="4" s="1"/>
  <c r="H61" i="4"/>
  <c r="K61" i="4" s="1"/>
  <c r="H29" i="4"/>
  <c r="J29" i="4" s="1"/>
  <c r="H376" i="4"/>
  <c r="H325" i="4"/>
  <c r="J325" i="4" s="1"/>
  <c r="H309" i="4"/>
  <c r="J309" i="4" s="1"/>
  <c r="H282" i="4"/>
  <c r="H253" i="4"/>
  <c r="H213" i="4"/>
  <c r="H189" i="4"/>
  <c r="H181" i="4"/>
  <c r="H157" i="4"/>
  <c r="H149" i="4"/>
  <c r="H93" i="4"/>
  <c r="H53" i="4"/>
  <c r="H5" i="4"/>
  <c r="J5" i="4" s="1"/>
  <c r="H78" i="4"/>
  <c r="K78" i="4" s="1"/>
  <c r="H54" i="4"/>
  <c r="J54" i="4" s="1"/>
  <c r="H381" i="4"/>
  <c r="K381" i="4" s="1"/>
  <c r="H393" i="4"/>
  <c r="K393" i="4" s="1"/>
  <c r="H301" i="4"/>
  <c r="J301" i="4" s="1"/>
  <c r="H277" i="4"/>
  <c r="J277" i="4" s="1"/>
  <c r="H245" i="4"/>
  <c r="H197" i="4"/>
  <c r="H141" i="4"/>
  <c r="H69" i="4"/>
  <c r="H481" i="4"/>
  <c r="H369" i="4"/>
  <c r="H339" i="4"/>
  <c r="H323" i="4"/>
  <c r="K323" i="4" s="1"/>
  <c r="H315" i="4"/>
  <c r="H304" i="4"/>
  <c r="H275" i="4"/>
  <c r="K275" i="4" s="1"/>
  <c r="H235" i="4"/>
  <c r="J235" i="4" s="1"/>
  <c r="H211" i="4"/>
  <c r="H203" i="4"/>
  <c r="J203" i="4" s="1"/>
  <c r="H195" i="4"/>
  <c r="J195" i="4" s="1"/>
  <c r="H179" i="4"/>
  <c r="J179" i="4" s="1"/>
  <c r="H171" i="4"/>
  <c r="H163" i="4"/>
  <c r="H155" i="4"/>
  <c r="J155" i="4" s="1"/>
  <c r="H147" i="4"/>
  <c r="J147" i="4" s="1"/>
  <c r="H139" i="4"/>
  <c r="H131" i="4"/>
  <c r="H123" i="4"/>
  <c r="H115" i="4"/>
  <c r="H107" i="4"/>
  <c r="H99" i="4"/>
  <c r="J99" i="4" s="1"/>
  <c r="H91" i="4"/>
  <c r="J91" i="4" s="1"/>
  <c r="H83" i="4"/>
  <c r="K83" i="4" s="1"/>
  <c r="H75" i="4"/>
  <c r="K75" i="4" s="1"/>
  <c r="H67" i="4"/>
  <c r="J67" i="4" s="1"/>
  <c r="H59" i="4"/>
  <c r="K59" i="4" s="1"/>
  <c r="H51" i="4"/>
  <c r="J51" i="4" s="1"/>
  <c r="H43" i="4"/>
  <c r="H35" i="4"/>
  <c r="H27" i="4"/>
  <c r="J27" i="4" s="1"/>
  <c r="H19" i="4"/>
  <c r="J19" i="4" s="1"/>
  <c r="H11" i="4"/>
  <c r="H362" i="4"/>
  <c r="H471" i="4"/>
  <c r="H492" i="4"/>
  <c r="K492" i="4" s="1"/>
  <c r="H449" i="4"/>
  <c r="H331" i="4"/>
  <c r="J331" i="4" s="1"/>
  <c r="H307" i="4"/>
  <c r="K307" i="4" s="1"/>
  <c r="H299" i="4"/>
  <c r="J299" i="4" s="1"/>
  <c r="H291" i="4"/>
  <c r="J291" i="4" s="1"/>
  <c r="H283" i="4"/>
  <c r="J283" i="4" s="1"/>
  <c r="H267" i="4"/>
  <c r="K267" i="4" s="1"/>
  <c r="H259" i="4"/>
  <c r="K259" i="4" s="1"/>
  <c r="H251" i="4"/>
  <c r="K251" i="4" s="1"/>
  <c r="H243" i="4"/>
  <c r="J243" i="4" s="1"/>
  <c r="H227" i="4"/>
  <c r="H219" i="4"/>
  <c r="J219" i="4" s="1"/>
  <c r="H187" i="4"/>
  <c r="H424" i="4"/>
  <c r="H360" i="4"/>
  <c r="H417" i="4"/>
  <c r="H330" i="4"/>
  <c r="H306" i="4"/>
  <c r="H298" i="4"/>
  <c r="K298" i="4" s="1"/>
  <c r="H290" i="4"/>
  <c r="H280" i="4"/>
  <c r="J280" i="4" s="1"/>
  <c r="H274" i="4"/>
  <c r="J274" i="4" s="1"/>
  <c r="H266" i="4"/>
  <c r="K266" i="4" s="1"/>
  <c r="H258" i="4"/>
  <c r="J258" i="4" s="1"/>
  <c r="H242" i="4"/>
  <c r="J242" i="4" s="1"/>
  <c r="H234" i="4"/>
  <c r="J234" i="4" s="1"/>
  <c r="H218" i="4"/>
  <c r="K218" i="4" s="1"/>
  <c r="H210" i="4"/>
  <c r="J210" i="4" s="1"/>
  <c r="H202" i="4"/>
  <c r="H186" i="4"/>
  <c r="H178" i="4"/>
  <c r="H154" i="4"/>
  <c r="K154" i="4" s="1"/>
  <c r="H146" i="4"/>
  <c r="H130" i="4"/>
  <c r="J130" i="4" s="1"/>
  <c r="H122" i="4"/>
  <c r="J122" i="4" s="1"/>
  <c r="H114" i="4"/>
  <c r="J114" i="4" s="1"/>
  <c r="H104" i="4"/>
  <c r="J104" i="4" s="1"/>
  <c r="H98" i="4"/>
  <c r="J98" i="4" s="1"/>
  <c r="H90" i="4"/>
  <c r="J90" i="4" s="1"/>
  <c r="H74" i="4"/>
  <c r="K74" i="4" s="1"/>
  <c r="H66" i="4"/>
  <c r="J66" i="4" s="1"/>
  <c r="H58" i="4"/>
  <c r="J58" i="4" s="1"/>
  <c r="H50" i="4"/>
  <c r="K50" i="4" s="1"/>
  <c r="H42" i="4"/>
  <c r="J42" i="4" s="1"/>
  <c r="H34" i="4"/>
  <c r="H16" i="4"/>
  <c r="H10" i="4"/>
  <c r="K10" i="4" s="1"/>
  <c r="H52" i="4"/>
  <c r="K52" i="4" s="1"/>
  <c r="H36" i="4"/>
  <c r="H28" i="4"/>
  <c r="J28" i="4" s="1"/>
  <c r="H18" i="4"/>
  <c r="J18" i="4" s="1"/>
  <c r="H12" i="4"/>
  <c r="K12" i="4" s="1"/>
  <c r="H4" i="4"/>
  <c r="H278" i="4"/>
  <c r="K278" i="4" s="1"/>
  <c r="H473" i="4"/>
  <c r="J473" i="4" s="1"/>
  <c r="H386" i="4"/>
  <c r="J386" i="4" s="1"/>
  <c r="H440" i="4"/>
  <c r="J440" i="4" s="1"/>
  <c r="H401" i="4"/>
  <c r="J401" i="4" s="1"/>
  <c r="H324" i="4"/>
  <c r="K324" i="4" s="1"/>
  <c r="H308" i="4"/>
  <c r="H300" i="4"/>
  <c r="K300" i="4" s="1"/>
  <c r="H292" i="4"/>
  <c r="J292" i="4" s="1"/>
  <c r="H284" i="4"/>
  <c r="K284" i="4" s="1"/>
  <c r="H268" i="4"/>
  <c r="H260" i="4"/>
  <c r="H244" i="4"/>
  <c r="J244" i="4" s="1"/>
  <c r="H236" i="4"/>
  <c r="K236" i="4" s="1"/>
  <c r="H228" i="4"/>
  <c r="J228" i="4" s="1"/>
  <c r="H212" i="4"/>
  <c r="J212" i="4" s="1"/>
  <c r="H204" i="4"/>
  <c r="K204" i="4" s="1"/>
  <c r="H194" i="4"/>
  <c r="J194" i="4" s="1"/>
  <c r="H180" i="4"/>
  <c r="J180" i="4" s="1"/>
  <c r="H172" i="4"/>
  <c r="H170" i="4"/>
  <c r="J170" i="4" s="1"/>
  <c r="H156" i="4"/>
  <c r="J156" i="4" s="1"/>
  <c r="H148" i="4"/>
  <c r="H140" i="4"/>
  <c r="K140" i="4" s="1"/>
  <c r="H124" i="4"/>
  <c r="K124" i="4" s="1"/>
  <c r="H116" i="4"/>
  <c r="H106" i="4"/>
  <c r="H100" i="4"/>
  <c r="K100" i="4" s="1"/>
  <c r="H92" i="4"/>
  <c r="J92" i="4" s="1"/>
  <c r="H84" i="4"/>
  <c r="J84" i="4" s="1"/>
  <c r="H82" i="4"/>
  <c r="J82" i="4" s="1"/>
  <c r="H68" i="4"/>
  <c r="K68" i="4" s="1"/>
  <c r="H335" i="4"/>
  <c r="J335" i="4" s="1"/>
  <c r="H327" i="4"/>
  <c r="J327" i="4" s="1"/>
  <c r="H287" i="4"/>
  <c r="J287" i="4" s="1"/>
  <c r="H271" i="4"/>
  <c r="K271" i="4" s="1"/>
  <c r="H191" i="4"/>
  <c r="J191" i="4" s="1"/>
  <c r="H159" i="4"/>
  <c r="J159" i="4" s="1"/>
  <c r="H135" i="4"/>
  <c r="H103" i="4"/>
  <c r="H378" i="4"/>
  <c r="K378" i="4" s="1"/>
  <c r="H465" i="4"/>
  <c r="J465" i="4" s="1"/>
  <c r="H319" i="4"/>
  <c r="H311" i="4"/>
  <c r="K311" i="4" s="1"/>
  <c r="H303" i="4"/>
  <c r="J303" i="4" s="1"/>
  <c r="H255" i="4"/>
  <c r="J255" i="4" s="1"/>
  <c r="H247" i="4"/>
  <c r="K247" i="4" s="1"/>
  <c r="H239" i="4"/>
  <c r="K239" i="4" s="1"/>
  <c r="H231" i="4"/>
  <c r="J231" i="4" s="1"/>
  <c r="H215" i="4"/>
  <c r="J215" i="4" s="1"/>
  <c r="H207" i="4"/>
  <c r="J207" i="4" s="1"/>
  <c r="H199" i="4"/>
  <c r="J199" i="4" s="1"/>
  <c r="H183" i="4"/>
  <c r="J183" i="4" s="1"/>
  <c r="H175" i="4"/>
  <c r="K175" i="4" s="1"/>
  <c r="H167" i="4"/>
  <c r="H151" i="4"/>
  <c r="H143" i="4"/>
  <c r="H127" i="4"/>
  <c r="K127" i="4" s="1"/>
  <c r="H119" i="4"/>
  <c r="H111" i="4"/>
  <c r="J111" i="4" s="1"/>
  <c r="H95" i="4"/>
  <c r="J95" i="4" s="1"/>
  <c r="H87" i="4"/>
  <c r="J87" i="4" s="1"/>
  <c r="H79" i="4"/>
  <c r="J79" i="4" s="1"/>
  <c r="H71" i="4"/>
  <c r="K71" i="4" s="1"/>
  <c r="H63" i="4"/>
  <c r="J63" i="4" s="1"/>
  <c r="H55" i="4"/>
  <c r="J55" i="4" s="1"/>
  <c r="H47" i="4"/>
  <c r="K47" i="4" s="1"/>
  <c r="H39" i="4"/>
  <c r="K39" i="4" s="1"/>
  <c r="H31" i="4"/>
  <c r="J31" i="4" s="1"/>
  <c r="H23" i="4"/>
  <c r="J23" i="4" s="1"/>
  <c r="H15" i="4"/>
  <c r="H7" i="4"/>
  <c r="H394" i="4"/>
  <c r="K394" i="4" s="1"/>
  <c r="H370" i="4"/>
  <c r="H476" i="4"/>
  <c r="H254" i="4"/>
  <c r="J254" i="4" s="1"/>
  <c r="H451" i="4"/>
  <c r="J451" i="4" s="1"/>
  <c r="H442" i="4"/>
  <c r="K442" i="4" s="1"/>
  <c r="H460" i="4"/>
  <c r="J460" i="4" s="1"/>
  <c r="H497" i="4"/>
  <c r="K497" i="4" s="1"/>
  <c r="H295" i="4"/>
  <c r="J295" i="4" s="1"/>
  <c r="H279" i="4"/>
  <c r="J279" i="4" s="1"/>
  <c r="H263" i="4"/>
  <c r="H223" i="4"/>
  <c r="J223" i="4" s="1"/>
  <c r="H326" i="4"/>
  <c r="J326" i="4" s="1"/>
  <c r="H302" i="4"/>
  <c r="J302" i="4" s="1"/>
  <c r="H294" i="4"/>
  <c r="H276" i="4"/>
  <c r="H270" i="4"/>
  <c r="J270" i="4" s="1"/>
  <c r="H246" i="4"/>
  <c r="H230" i="4"/>
  <c r="H222" i="4"/>
  <c r="K222" i="4" s="1"/>
  <c r="H206" i="4"/>
  <c r="K206" i="4" s="1"/>
  <c r="H196" i="4"/>
  <c r="K196" i="4" s="1"/>
  <c r="H188" i="4"/>
  <c r="J188" i="4" s="1"/>
  <c r="H182" i="4"/>
  <c r="K182" i="4" s="1"/>
  <c r="H174" i="4"/>
  <c r="J174" i="4" s="1"/>
  <c r="H158" i="4"/>
  <c r="J158" i="4" s="1"/>
  <c r="H150" i="4"/>
  <c r="K150" i="4" s="1"/>
  <c r="H134" i="4"/>
  <c r="J134" i="4" s="1"/>
  <c r="H126" i="4"/>
  <c r="J126" i="4" s="1"/>
  <c r="H108" i="4"/>
  <c r="J108" i="4" s="1"/>
  <c r="H102" i="4"/>
  <c r="H86" i="4"/>
  <c r="K86" i="4" s="1"/>
  <c r="H62" i="4"/>
  <c r="K62" i="4" s="1"/>
  <c r="H38" i="4"/>
  <c r="H30" i="4"/>
  <c r="H20" i="4"/>
  <c r="J20" i="4" s="1"/>
  <c r="H14" i="4"/>
  <c r="K14" i="4" s="1"/>
  <c r="H6" i="4"/>
  <c r="J6" i="4" s="1"/>
  <c r="H444" i="4"/>
  <c r="K444" i="4" s="1"/>
  <c r="H428" i="4"/>
  <c r="J428" i="4" s="1"/>
  <c r="H414" i="4"/>
  <c r="J414" i="4" s="1"/>
  <c r="H412" i="4"/>
  <c r="J412" i="4" s="1"/>
  <c r="H396" i="4"/>
  <c r="K396" i="4" s="1"/>
  <c r="H380" i="4"/>
  <c r="J380" i="4" s="1"/>
  <c r="H366" i="4"/>
  <c r="J366" i="4" s="1"/>
  <c r="H364" i="4"/>
  <c r="J364" i="4" s="1"/>
  <c r="H350" i="4"/>
  <c r="H348" i="4"/>
  <c r="J348" i="4" s="1"/>
  <c r="H421" i="4"/>
  <c r="J421" i="4" s="1"/>
  <c r="H438" i="4"/>
  <c r="J438" i="4" s="1"/>
  <c r="H422" i="4"/>
  <c r="H406" i="4"/>
  <c r="K406" i="4" s="1"/>
  <c r="H390" i="4"/>
  <c r="H374" i="4"/>
  <c r="H358" i="4"/>
  <c r="J358" i="4" s="1"/>
  <c r="H342" i="4"/>
  <c r="K342" i="4" s="1"/>
  <c r="H429" i="4"/>
  <c r="K429" i="4" s="1"/>
  <c r="H413" i="4"/>
  <c r="J413" i="4" s="1"/>
  <c r="H397" i="4"/>
  <c r="J397" i="4" s="1"/>
  <c r="H493" i="4"/>
  <c r="K493" i="4" s="1"/>
  <c r="H477" i="4"/>
  <c r="K477" i="4" s="1"/>
  <c r="H436" i="4"/>
  <c r="J436" i="4" s="1"/>
  <c r="H404" i="4"/>
  <c r="H388" i="4"/>
  <c r="K388" i="4" s="1"/>
  <c r="H372" i="4"/>
  <c r="J372" i="4" s="1"/>
  <c r="H328" i="4"/>
  <c r="H322" i="4"/>
  <c r="H320" i="4"/>
  <c r="J320" i="4" s="1"/>
  <c r="H318" i="4"/>
  <c r="K318" i="4" s="1"/>
  <c r="H316" i="4"/>
  <c r="J316" i="4" s="1"/>
  <c r="H496" i="4"/>
  <c r="J496" i="4" s="1"/>
  <c r="H461" i="4"/>
  <c r="J461" i="4" s="1"/>
  <c r="H437" i="4"/>
  <c r="J437" i="4" s="1"/>
  <c r="H405" i="4"/>
  <c r="J405" i="4" s="1"/>
  <c r="H389" i="4"/>
  <c r="J389" i="4" s="1"/>
  <c r="H357" i="4"/>
  <c r="J357" i="4" s="1"/>
  <c r="H434" i="4"/>
  <c r="J434" i="4" s="1"/>
  <c r="H418" i="4"/>
  <c r="J418" i="4" s="1"/>
  <c r="H425" i="4"/>
  <c r="J425" i="4" s="1"/>
  <c r="H409" i="4"/>
  <c r="H361" i="4"/>
  <c r="J361" i="4" s="1"/>
  <c r="H345" i="4"/>
  <c r="J345" i="4" s="1"/>
  <c r="H402" i="4"/>
  <c r="J402" i="4" s="1"/>
  <c r="H430" i="4"/>
  <c r="J430" i="4" s="1"/>
  <c r="H398" i="4"/>
  <c r="J398" i="4" s="1"/>
  <c r="H439" i="4"/>
  <c r="J439" i="4" s="1"/>
  <c r="H423" i="4"/>
  <c r="K423" i="4" s="1"/>
  <c r="H407" i="4"/>
  <c r="K407" i="4" s="1"/>
  <c r="H391" i="4"/>
  <c r="J391" i="4" s="1"/>
  <c r="H375" i="4"/>
  <c r="J375" i="4" s="1"/>
  <c r="H359" i="4"/>
  <c r="J359" i="4" s="1"/>
  <c r="H343" i="4"/>
  <c r="J343" i="4" s="1"/>
  <c r="H373" i="4"/>
  <c r="J373" i="4" s="1"/>
  <c r="H490" i="4"/>
  <c r="J490" i="4" s="1"/>
  <c r="H474" i="4"/>
  <c r="J474" i="4" s="1"/>
  <c r="H458" i="4"/>
  <c r="J458" i="4" s="1"/>
  <c r="H435" i="4"/>
  <c r="J435" i="4" s="1"/>
  <c r="H419" i="4"/>
  <c r="J419" i="4" s="1"/>
  <c r="H403" i="4"/>
  <c r="H387" i="4"/>
  <c r="J387" i="4" s="1"/>
  <c r="H371" i="4"/>
  <c r="H355" i="4"/>
  <c r="J355" i="4" s="1"/>
  <c r="H472" i="4"/>
  <c r="K472" i="4" s="1"/>
  <c r="H336" i="4"/>
  <c r="K336" i="4" s="1"/>
  <c r="H334" i="4"/>
  <c r="J334" i="4" s="1"/>
  <c r="H312" i="4"/>
  <c r="J312" i="4" s="1"/>
  <c r="H310" i="4"/>
  <c r="J310" i="4" s="1"/>
  <c r="H288" i="4"/>
  <c r="J288" i="4" s="1"/>
  <c r="H286" i="4"/>
  <c r="J286" i="4" s="1"/>
  <c r="H264" i="4"/>
  <c r="J264" i="4" s="1"/>
  <c r="H262" i="4"/>
  <c r="H238" i="4"/>
  <c r="J238" i="4" s="1"/>
  <c r="H214" i="4"/>
  <c r="J214" i="4" s="1"/>
  <c r="H190" i="4"/>
  <c r="J190" i="4" s="1"/>
  <c r="H166" i="4"/>
  <c r="H142" i="4"/>
  <c r="J142" i="4" s="1"/>
  <c r="H118" i="4"/>
  <c r="J118" i="4" s="1"/>
  <c r="H94" i="4"/>
  <c r="J94" i="4" s="1"/>
  <c r="H70" i="4"/>
  <c r="J70" i="4" s="1"/>
  <c r="H46" i="4"/>
  <c r="J46" i="4" s="1"/>
  <c r="H22" i="4"/>
  <c r="K22" i="4" s="1"/>
  <c r="H456" i="4"/>
  <c r="J456" i="4" s="1"/>
  <c r="H382" i="4"/>
  <c r="K382" i="4" s="1"/>
  <c r="H488" i="4"/>
  <c r="J488" i="4" s="1"/>
  <c r="H485" i="4"/>
  <c r="J485" i="4" s="1"/>
  <c r="H453" i="4"/>
  <c r="J453" i="4" s="1"/>
  <c r="H500" i="4"/>
  <c r="J500" i="4" s="1"/>
  <c r="H484" i="4"/>
  <c r="J484" i="4" s="1"/>
  <c r="H468" i="4"/>
  <c r="J468" i="4" s="1"/>
  <c r="H452" i="4"/>
  <c r="J452" i="4" s="1"/>
  <c r="H501" i="4"/>
  <c r="J501" i="4" s="1"/>
  <c r="H469" i="4"/>
  <c r="K469" i="4" s="1"/>
  <c r="H498" i="4"/>
  <c r="K498" i="4" s="1"/>
  <c r="H482" i="4"/>
  <c r="J482" i="4" s="1"/>
  <c r="H466" i="4"/>
  <c r="K466" i="4" s="1"/>
  <c r="H450" i="4"/>
  <c r="J450" i="4" s="1"/>
  <c r="H491" i="4"/>
  <c r="K491" i="4" s="1"/>
  <c r="H475" i="4"/>
  <c r="J475" i="4" s="1"/>
  <c r="H459" i="4"/>
  <c r="J459" i="4" s="1"/>
  <c r="H443" i="4"/>
  <c r="J443" i="4" s="1"/>
  <c r="H427" i="4"/>
  <c r="J427" i="4" s="1"/>
  <c r="H411" i="4"/>
  <c r="K411" i="4" s="1"/>
  <c r="H395" i="4"/>
  <c r="J395" i="4" s="1"/>
  <c r="H379" i="4"/>
  <c r="K379" i="4" s="1"/>
  <c r="H363" i="4"/>
  <c r="J363" i="4" s="1"/>
  <c r="H347" i="4"/>
  <c r="J347" i="4" s="1"/>
  <c r="H384" i="4"/>
  <c r="H480" i="4"/>
  <c r="H464" i="4"/>
  <c r="H448" i="4"/>
  <c r="K448" i="4" s="1"/>
  <c r="H432" i="4"/>
  <c r="J432" i="4" s="1"/>
  <c r="H416" i="4"/>
  <c r="J416" i="4" s="1"/>
  <c r="H400" i="4"/>
  <c r="J400" i="4" s="1"/>
  <c r="H368" i="4"/>
  <c r="J368" i="4" s="1"/>
  <c r="H352" i="4"/>
  <c r="J352" i="4" s="1"/>
  <c r="H494" i="4"/>
  <c r="J494" i="4" s="1"/>
  <c r="H478" i="4"/>
  <c r="J478" i="4" s="1"/>
  <c r="H462" i="4"/>
  <c r="J462" i="4" s="1"/>
  <c r="H446" i="4"/>
  <c r="H431" i="4"/>
  <c r="H415" i="4"/>
  <c r="H399" i="4"/>
  <c r="H383" i="4"/>
  <c r="H367" i="4"/>
  <c r="J367" i="4" s="1"/>
  <c r="H351" i="4"/>
  <c r="J351" i="4" s="1"/>
  <c r="AA11" i="6"/>
  <c r="F11" i="7"/>
  <c r="G11" i="7" s="1"/>
  <c r="F504" i="8"/>
  <c r="F505" i="8" s="1"/>
  <c r="F506" i="8" s="1"/>
  <c r="F507" i="8" s="1"/>
  <c r="F508" i="8" s="1"/>
  <c r="F509" i="8" s="1"/>
  <c r="F510" i="8" s="1"/>
  <c r="F511" i="8" s="1"/>
  <c r="F512" i="8" s="1"/>
  <c r="F513" i="8" s="1"/>
  <c r="F514" i="8" s="1"/>
  <c r="F515" i="8" s="1"/>
  <c r="F516" i="8" s="1"/>
  <c r="F517" i="8" s="1"/>
  <c r="F518" i="8" s="1"/>
  <c r="F519" i="8" s="1"/>
  <c r="F520" i="8" s="1"/>
  <c r="F521" i="8" s="1"/>
  <c r="F522" i="8" s="1"/>
  <c r="F523" i="8" s="1"/>
  <c r="F524" i="8" s="1"/>
  <c r="F525" i="8" s="1"/>
  <c r="F526" i="8" s="1"/>
  <c r="F527" i="8" s="1"/>
  <c r="F528" i="8" s="1"/>
  <c r="F529" i="8" s="1"/>
  <c r="F530" i="8" s="1"/>
  <c r="F531" i="8" s="1"/>
  <c r="F532" i="8" s="1"/>
  <c r="F533" i="8" s="1"/>
  <c r="F534" i="8" s="1"/>
  <c r="F535" i="8" s="1"/>
  <c r="F536" i="8" s="1"/>
  <c r="F537" i="8" s="1"/>
  <c r="F538" i="8" s="1"/>
  <c r="F539" i="8" s="1"/>
  <c r="F540" i="8" s="1"/>
  <c r="F541" i="8" s="1"/>
  <c r="F542" i="8" s="1"/>
  <c r="F543" i="8" s="1"/>
  <c r="F544" i="8" s="1"/>
  <c r="F545" i="8" s="1"/>
  <c r="F546" i="8" s="1"/>
  <c r="F547" i="8" s="1"/>
  <c r="F548" i="8" s="1"/>
  <c r="F549" i="8" s="1"/>
  <c r="F550" i="8" s="1"/>
  <c r="F551" i="8" s="1"/>
  <c r="F552" i="8" s="1"/>
  <c r="F553" i="8" s="1"/>
  <c r="F554" i="8" s="1"/>
  <c r="F555" i="8" s="1"/>
  <c r="F556" i="8" s="1"/>
  <c r="F557" i="8" s="1"/>
  <c r="F558" i="8" s="1"/>
  <c r="F559" i="8" s="1"/>
  <c r="F560" i="8" s="1"/>
  <c r="F561" i="8" s="1"/>
  <c r="F562" i="8" s="1"/>
  <c r="F563" i="8" s="1"/>
  <c r="F564" i="8" s="1"/>
  <c r="F565" i="8" s="1"/>
  <c r="F566" i="8" s="1"/>
  <c r="F567" i="8" s="1"/>
  <c r="F568" i="8" s="1"/>
  <c r="F569" i="8" s="1"/>
  <c r="F570" i="8" s="1"/>
  <c r="F571" i="8" s="1"/>
  <c r="F572" i="8" s="1"/>
  <c r="F573" i="8" s="1"/>
  <c r="F574" i="8" s="1"/>
  <c r="F575" i="8" s="1"/>
  <c r="F576" i="8" s="1"/>
  <c r="F577" i="8" s="1"/>
  <c r="F578" i="8" s="1"/>
  <c r="F579" i="8" s="1"/>
  <c r="F580" i="8" s="1"/>
  <c r="F581" i="8" s="1"/>
  <c r="F582" i="8" s="1"/>
  <c r="F583" i="8" s="1"/>
  <c r="F584" i="8" s="1"/>
  <c r="F585" i="8" s="1"/>
  <c r="F586" i="8" s="1"/>
  <c r="F587" i="8" s="1"/>
  <c r="F588" i="8" s="1"/>
  <c r="F589" i="8" s="1"/>
  <c r="F590" i="8" s="1"/>
  <c r="F591" i="8" s="1"/>
  <c r="F592" i="8" s="1"/>
  <c r="F593" i="8" s="1"/>
  <c r="F594" i="8" s="1"/>
  <c r="F595" i="8" s="1"/>
  <c r="F596" i="8" s="1"/>
  <c r="F597" i="8" s="1"/>
  <c r="F598" i="8" s="1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" i="6"/>
  <c r="E504" i="8"/>
  <c r="E505" i="8" s="1"/>
  <c r="E506" i="8" s="1"/>
  <c r="E507" i="8" s="1"/>
  <c r="E508" i="8" s="1"/>
  <c r="E509" i="8" s="1"/>
  <c r="E510" i="8" s="1"/>
  <c r="E511" i="8" s="1"/>
  <c r="E512" i="8" s="1"/>
  <c r="E513" i="8" s="1"/>
  <c r="E514" i="8" s="1"/>
  <c r="E515" i="8" s="1"/>
  <c r="E516" i="8" s="1"/>
  <c r="E517" i="8" s="1"/>
  <c r="E518" i="8" s="1"/>
  <c r="E519" i="8" s="1"/>
  <c r="E520" i="8" s="1"/>
  <c r="E521" i="8" s="1"/>
  <c r="E522" i="8" s="1"/>
  <c r="E523" i="8" s="1"/>
  <c r="E524" i="8" s="1"/>
  <c r="E525" i="8" s="1"/>
  <c r="E526" i="8" s="1"/>
  <c r="E527" i="8" s="1"/>
  <c r="E528" i="8" s="1"/>
  <c r="E529" i="8" s="1"/>
  <c r="E530" i="8" s="1"/>
  <c r="E531" i="8" s="1"/>
  <c r="E532" i="8" s="1"/>
  <c r="E533" i="8" s="1"/>
  <c r="E534" i="8" s="1"/>
  <c r="E535" i="8" s="1"/>
  <c r="E536" i="8" s="1"/>
  <c r="E537" i="8" s="1"/>
  <c r="E538" i="8" s="1"/>
  <c r="E539" i="8" s="1"/>
  <c r="E540" i="8" s="1"/>
  <c r="E541" i="8" s="1"/>
  <c r="E542" i="8" s="1"/>
  <c r="E543" i="8" s="1"/>
  <c r="E544" i="8" s="1"/>
  <c r="E545" i="8" s="1"/>
  <c r="E546" i="8" s="1"/>
  <c r="E547" i="8" s="1"/>
  <c r="E548" i="8" s="1"/>
  <c r="E549" i="8" s="1"/>
  <c r="E550" i="8" s="1"/>
  <c r="E551" i="8" s="1"/>
  <c r="E552" i="8" s="1"/>
  <c r="E553" i="8" s="1"/>
  <c r="E554" i="8" s="1"/>
  <c r="E555" i="8" s="1"/>
  <c r="E556" i="8" s="1"/>
  <c r="E557" i="8" s="1"/>
  <c r="E558" i="8" s="1"/>
  <c r="E559" i="8" s="1"/>
  <c r="E560" i="8" s="1"/>
  <c r="E561" i="8" s="1"/>
  <c r="E562" i="8" s="1"/>
  <c r="E563" i="8" s="1"/>
  <c r="E564" i="8" s="1"/>
  <c r="E565" i="8" s="1"/>
  <c r="E566" i="8" s="1"/>
  <c r="E567" i="8" s="1"/>
  <c r="E568" i="8" s="1"/>
  <c r="E569" i="8" s="1"/>
  <c r="E570" i="8" s="1"/>
  <c r="E571" i="8" s="1"/>
  <c r="E572" i="8" s="1"/>
  <c r="E573" i="8" s="1"/>
  <c r="E574" i="8" s="1"/>
  <c r="E575" i="8" s="1"/>
  <c r="E576" i="8" s="1"/>
  <c r="E577" i="8" s="1"/>
  <c r="E578" i="8" s="1"/>
  <c r="E579" i="8" s="1"/>
  <c r="E580" i="8" s="1"/>
  <c r="E581" i="8" s="1"/>
  <c r="E582" i="8" s="1"/>
  <c r="E583" i="8" s="1"/>
  <c r="E584" i="8" s="1"/>
  <c r="E585" i="8" s="1"/>
  <c r="E586" i="8" s="1"/>
  <c r="E587" i="8" s="1"/>
  <c r="E588" i="8" s="1"/>
  <c r="E589" i="8" s="1"/>
  <c r="E590" i="8" s="1"/>
  <c r="E591" i="8" s="1"/>
  <c r="E592" i="8" s="1"/>
  <c r="E593" i="8" s="1"/>
  <c r="E594" i="8" s="1"/>
  <c r="E595" i="8" s="1"/>
  <c r="E596" i="8" s="1"/>
  <c r="E597" i="8" s="1"/>
  <c r="E598" i="8" s="1"/>
  <c r="E599" i="8" s="1"/>
  <c r="E600" i="8" s="1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" i="6"/>
  <c r="D504" i="8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" i="6"/>
  <c r="C504" i="8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D11" i="7"/>
  <c r="E11" i="7" s="1"/>
  <c r="E13" i="5"/>
  <c r="L19" i="9"/>
  <c r="K18" i="9"/>
  <c r="J17" i="9"/>
  <c r="J495" i="4"/>
  <c r="J422" i="4"/>
  <c r="K422" i="4"/>
  <c r="J480" i="4"/>
  <c r="K480" i="4"/>
  <c r="J464" i="4"/>
  <c r="K464" i="4"/>
  <c r="J448" i="4"/>
  <c r="J392" i="4"/>
  <c r="K392" i="4"/>
  <c r="J311" i="4"/>
  <c r="J135" i="4"/>
  <c r="K135" i="4"/>
  <c r="J15" i="4"/>
  <c r="K15" i="4"/>
  <c r="J328" i="4"/>
  <c r="K328" i="4"/>
  <c r="J304" i="4"/>
  <c r="K304" i="4"/>
  <c r="J256" i="4"/>
  <c r="K256" i="4"/>
  <c r="J232" i="4"/>
  <c r="K232" i="4"/>
  <c r="J208" i="4"/>
  <c r="K208" i="4"/>
  <c r="J192" i="4"/>
  <c r="K192" i="4"/>
  <c r="J168" i="4"/>
  <c r="K168" i="4"/>
  <c r="J152" i="4"/>
  <c r="K152" i="4"/>
  <c r="J128" i="4"/>
  <c r="K128" i="4"/>
  <c r="J120" i="4"/>
  <c r="K120" i="4"/>
  <c r="J96" i="4"/>
  <c r="K96" i="4"/>
  <c r="J88" i="4"/>
  <c r="K88" i="4"/>
  <c r="J80" i="4"/>
  <c r="K80" i="4"/>
  <c r="J72" i="4"/>
  <c r="K72" i="4"/>
  <c r="J64" i="4"/>
  <c r="K64" i="4"/>
  <c r="J56" i="4"/>
  <c r="K56" i="4"/>
  <c r="J48" i="4"/>
  <c r="K48" i="4"/>
  <c r="J40" i="4"/>
  <c r="K40" i="4"/>
  <c r="J32" i="4"/>
  <c r="K32" i="4"/>
  <c r="J24" i="4"/>
  <c r="K24" i="4"/>
  <c r="J369" i="4"/>
  <c r="K369" i="4"/>
  <c r="J354" i="4"/>
  <c r="K354" i="4"/>
  <c r="K452" i="4"/>
  <c r="J446" i="4"/>
  <c r="K446" i="4"/>
  <c r="J408" i="4"/>
  <c r="K408" i="4"/>
  <c r="J344" i="4"/>
  <c r="J356" i="4"/>
  <c r="K356" i="4"/>
  <c r="J431" i="4"/>
  <c r="K431" i="4"/>
  <c r="J415" i="4"/>
  <c r="K415" i="4"/>
  <c r="J399" i="4"/>
  <c r="K399" i="4"/>
  <c r="J383" i="4"/>
  <c r="K383" i="4"/>
  <c r="J333" i="4"/>
  <c r="J293" i="4"/>
  <c r="K293" i="4"/>
  <c r="J285" i="4"/>
  <c r="K285" i="4"/>
  <c r="J269" i="4"/>
  <c r="J261" i="4"/>
  <c r="K261" i="4"/>
  <c r="J253" i="4"/>
  <c r="K253" i="4"/>
  <c r="J245" i="4"/>
  <c r="K245" i="4"/>
  <c r="J237" i="4"/>
  <c r="J229" i="4"/>
  <c r="K229" i="4"/>
  <c r="J221" i="4"/>
  <c r="K221" i="4"/>
  <c r="J213" i="4"/>
  <c r="K213" i="4"/>
  <c r="J205" i="4"/>
  <c r="J197" i="4"/>
  <c r="K197" i="4"/>
  <c r="J189" i="4"/>
  <c r="K189" i="4"/>
  <c r="J181" i="4"/>
  <c r="K181" i="4"/>
  <c r="J157" i="4"/>
  <c r="K157" i="4"/>
  <c r="J149" i="4"/>
  <c r="K149" i="4"/>
  <c r="J141" i="4"/>
  <c r="K141" i="4"/>
  <c r="J93" i="4"/>
  <c r="K93" i="4"/>
  <c r="J85" i="4"/>
  <c r="K85" i="4"/>
  <c r="J77" i="4"/>
  <c r="K77" i="4"/>
  <c r="J69" i="4"/>
  <c r="K69" i="4"/>
  <c r="J53" i="4"/>
  <c r="K53" i="4"/>
  <c r="J45" i="4"/>
  <c r="K45" i="4"/>
  <c r="J37" i="4"/>
  <c r="K37" i="4"/>
  <c r="K29" i="4"/>
  <c r="J21" i="4"/>
  <c r="K21" i="4"/>
  <c r="J13" i="4"/>
  <c r="K13" i="4"/>
  <c r="K302" i="4"/>
  <c r="J294" i="4"/>
  <c r="K294" i="4"/>
  <c r="K270" i="4"/>
  <c r="J262" i="4"/>
  <c r="K262" i="4"/>
  <c r="K254" i="4"/>
  <c r="J246" i="4"/>
  <c r="K246" i="4"/>
  <c r="K238" i="4"/>
  <c r="J230" i="4"/>
  <c r="K230" i="4"/>
  <c r="J198" i="4"/>
  <c r="K198" i="4"/>
  <c r="J166" i="4"/>
  <c r="K166" i="4"/>
  <c r="J150" i="4"/>
  <c r="J110" i="4"/>
  <c r="K110" i="4"/>
  <c r="J102" i="4"/>
  <c r="K102" i="4"/>
  <c r="J62" i="4"/>
  <c r="J38" i="4"/>
  <c r="K38" i="4"/>
  <c r="J30" i="4"/>
  <c r="K30" i="4"/>
  <c r="J14" i="4"/>
  <c r="J483" i="4"/>
  <c r="K483" i="4"/>
  <c r="J445" i="4"/>
  <c r="K445" i="4"/>
  <c r="J406" i="4"/>
  <c r="J390" i="4"/>
  <c r="K390" i="4"/>
  <c r="J374" i="4"/>
  <c r="K374" i="4"/>
  <c r="J342" i="4"/>
  <c r="J319" i="4"/>
  <c r="K319" i="4"/>
  <c r="J151" i="4"/>
  <c r="K151" i="4"/>
  <c r="J127" i="4"/>
  <c r="J103" i="4"/>
  <c r="K103" i="4"/>
  <c r="K79" i="4"/>
  <c r="J336" i="4"/>
  <c r="J248" i="4"/>
  <c r="K248" i="4"/>
  <c r="J224" i="4"/>
  <c r="K224" i="4"/>
  <c r="J200" i="4"/>
  <c r="K200" i="4"/>
  <c r="J176" i="4"/>
  <c r="K176" i="4"/>
  <c r="J136" i="4"/>
  <c r="K136" i="4"/>
  <c r="J112" i="4"/>
  <c r="K112" i="4"/>
  <c r="J16" i="4"/>
  <c r="K16" i="4"/>
  <c r="J481" i="4"/>
  <c r="K481" i="4"/>
  <c r="J449" i="4"/>
  <c r="K449" i="4"/>
  <c r="J499" i="4"/>
  <c r="K499" i="4"/>
  <c r="J489" i="4"/>
  <c r="K489" i="4"/>
  <c r="J467" i="4"/>
  <c r="K467" i="4"/>
  <c r="J457" i="4"/>
  <c r="K457" i="4"/>
  <c r="J447" i="4"/>
  <c r="K447" i="4"/>
  <c r="J370" i="4"/>
  <c r="K370" i="4"/>
  <c r="J349" i="4"/>
  <c r="K349" i="4"/>
  <c r="J441" i="4"/>
  <c r="K441" i="4"/>
  <c r="J424" i="4"/>
  <c r="K424" i="4"/>
  <c r="J377" i="4"/>
  <c r="K377" i="4"/>
  <c r="J360" i="4"/>
  <c r="K360" i="4"/>
  <c r="J410" i="4"/>
  <c r="K410" i="4"/>
  <c r="J346" i="4"/>
  <c r="K346" i="4"/>
  <c r="J403" i="4"/>
  <c r="K403" i="4"/>
  <c r="K387" i="4"/>
  <c r="J371" i="4"/>
  <c r="K371" i="4"/>
  <c r="J339" i="4"/>
  <c r="K339" i="4"/>
  <c r="K331" i="4"/>
  <c r="J323" i="4"/>
  <c r="J315" i="4"/>
  <c r="K315" i="4"/>
  <c r="J227" i="4"/>
  <c r="K227" i="4"/>
  <c r="J211" i="4"/>
  <c r="K211" i="4"/>
  <c r="K203" i="4"/>
  <c r="J187" i="4"/>
  <c r="K187" i="4"/>
  <c r="J171" i="4"/>
  <c r="K171" i="4"/>
  <c r="J163" i="4"/>
  <c r="K163" i="4"/>
  <c r="J139" i="4"/>
  <c r="K139" i="4"/>
  <c r="J131" i="4"/>
  <c r="K131" i="4"/>
  <c r="J123" i="4"/>
  <c r="K123" i="4"/>
  <c r="J115" i="4"/>
  <c r="K115" i="4"/>
  <c r="J107" i="4"/>
  <c r="K107" i="4"/>
  <c r="J43" i="4"/>
  <c r="K43" i="4"/>
  <c r="J35" i="4"/>
  <c r="K35" i="4"/>
  <c r="J11" i="4"/>
  <c r="K11" i="4"/>
  <c r="J332" i="4"/>
  <c r="K332" i="4"/>
  <c r="J308" i="4"/>
  <c r="K308" i="4"/>
  <c r="K292" i="4"/>
  <c r="J284" i="4"/>
  <c r="J276" i="4"/>
  <c r="K276" i="4"/>
  <c r="J268" i="4"/>
  <c r="K268" i="4"/>
  <c r="J260" i="4"/>
  <c r="K260" i="4"/>
  <c r="J252" i="4"/>
  <c r="K252" i="4"/>
  <c r="J220" i="4"/>
  <c r="K220" i="4"/>
  <c r="K180" i="4"/>
  <c r="J172" i="4"/>
  <c r="K172" i="4"/>
  <c r="J164" i="4"/>
  <c r="K164" i="4"/>
  <c r="J148" i="4"/>
  <c r="K148" i="4"/>
  <c r="J132" i="4"/>
  <c r="K132" i="4"/>
  <c r="J124" i="4"/>
  <c r="J116" i="4"/>
  <c r="K116" i="4"/>
  <c r="J100" i="4"/>
  <c r="J76" i="4"/>
  <c r="K76" i="4"/>
  <c r="J68" i="4"/>
  <c r="J60" i="4"/>
  <c r="J44" i="4"/>
  <c r="K44" i="4"/>
  <c r="J36" i="4"/>
  <c r="K36" i="4"/>
  <c r="J463" i="4"/>
  <c r="K463" i="4"/>
  <c r="J384" i="4"/>
  <c r="K384" i="4"/>
  <c r="K453" i="4"/>
  <c r="J409" i="4"/>
  <c r="K409" i="4"/>
  <c r="J404" i="4"/>
  <c r="K404" i="4"/>
  <c r="J340" i="4"/>
  <c r="K340" i="4"/>
  <c r="J263" i="4"/>
  <c r="K263" i="4"/>
  <c r="J167" i="4"/>
  <c r="K167" i="4"/>
  <c r="J143" i="4"/>
  <c r="K143" i="4"/>
  <c r="J119" i="4"/>
  <c r="K119" i="4"/>
  <c r="J47" i="4"/>
  <c r="J7" i="4"/>
  <c r="K7" i="4"/>
  <c r="J296" i="4"/>
  <c r="K296" i="4"/>
  <c r="J272" i="4"/>
  <c r="K272" i="4"/>
  <c r="J240" i="4"/>
  <c r="K240" i="4"/>
  <c r="J216" i="4"/>
  <c r="K216" i="4"/>
  <c r="J184" i="4"/>
  <c r="K184" i="4"/>
  <c r="J160" i="4"/>
  <c r="K160" i="4"/>
  <c r="J144" i="4"/>
  <c r="K144" i="4"/>
  <c r="J8" i="4"/>
  <c r="K8" i="4"/>
  <c r="J471" i="4"/>
  <c r="K471" i="4"/>
  <c r="J417" i="4"/>
  <c r="K417" i="4"/>
  <c r="J444" i="4"/>
  <c r="J487" i="4"/>
  <c r="K487" i="4"/>
  <c r="J455" i="4"/>
  <c r="K455" i="4"/>
  <c r="J433" i="4"/>
  <c r="K433" i="4"/>
  <c r="J385" i="4"/>
  <c r="K385" i="4"/>
  <c r="J353" i="4"/>
  <c r="K353" i="4"/>
  <c r="J429" i="4"/>
  <c r="J365" i="4"/>
  <c r="K365" i="4"/>
  <c r="J476" i="4"/>
  <c r="K476" i="4"/>
  <c r="J376" i="4"/>
  <c r="K376" i="4"/>
  <c r="J350" i="4"/>
  <c r="K350" i="4"/>
  <c r="J362" i="4"/>
  <c r="K362" i="4"/>
  <c r="J341" i="4"/>
  <c r="K341" i="4"/>
  <c r="J337" i="4"/>
  <c r="K337" i="4"/>
  <c r="J329" i="4"/>
  <c r="K329" i="4"/>
  <c r="J321" i="4"/>
  <c r="K321" i="4"/>
  <c r="J313" i="4"/>
  <c r="K313" i="4"/>
  <c r="J305" i="4"/>
  <c r="K305" i="4"/>
  <c r="J297" i="4"/>
  <c r="K297" i="4"/>
  <c r="J289" i="4"/>
  <c r="K289" i="4"/>
  <c r="J281" i="4"/>
  <c r="K281" i="4"/>
  <c r="J273" i="4"/>
  <c r="K273" i="4"/>
  <c r="J265" i="4"/>
  <c r="K265" i="4"/>
  <c r="J257" i="4"/>
  <c r="K257" i="4"/>
  <c r="J249" i="4"/>
  <c r="K249" i="4"/>
  <c r="J241" i="4"/>
  <c r="K241" i="4"/>
  <c r="J233" i="4"/>
  <c r="K233" i="4"/>
  <c r="J225" i="4"/>
  <c r="K225" i="4"/>
  <c r="J217" i="4"/>
  <c r="K217" i="4"/>
  <c r="J209" i="4"/>
  <c r="K209" i="4"/>
  <c r="J201" i="4"/>
  <c r="K201" i="4"/>
  <c r="J193" i="4"/>
  <c r="K193" i="4"/>
  <c r="J185" i="4"/>
  <c r="K185" i="4"/>
  <c r="J177" i="4"/>
  <c r="K177" i="4"/>
  <c r="J169" i="4"/>
  <c r="K169" i="4"/>
  <c r="J161" i="4"/>
  <c r="K161" i="4"/>
  <c r="J153" i="4"/>
  <c r="K153" i="4"/>
  <c r="J145" i="4"/>
  <c r="K145" i="4"/>
  <c r="J137" i="4"/>
  <c r="K137" i="4"/>
  <c r="J129" i="4"/>
  <c r="K129" i="4"/>
  <c r="J121" i="4"/>
  <c r="K121" i="4"/>
  <c r="J113" i="4"/>
  <c r="K113" i="4"/>
  <c r="J105" i="4"/>
  <c r="K105" i="4"/>
  <c r="J97" i="4"/>
  <c r="K97" i="4"/>
  <c r="J89" i="4"/>
  <c r="K89" i="4"/>
  <c r="J81" i="4"/>
  <c r="K81" i="4"/>
  <c r="J73" i="4"/>
  <c r="K73" i="4"/>
  <c r="J65" i="4"/>
  <c r="K65" i="4"/>
  <c r="J57" i="4"/>
  <c r="K57" i="4"/>
  <c r="J49" i="4"/>
  <c r="K49" i="4"/>
  <c r="J41" i="4"/>
  <c r="K41" i="4"/>
  <c r="J33" i="4"/>
  <c r="K33" i="4"/>
  <c r="J25" i="4"/>
  <c r="K25" i="4"/>
  <c r="J17" i="4"/>
  <c r="J9" i="4"/>
  <c r="K9" i="4"/>
  <c r="J338" i="4"/>
  <c r="K338" i="4"/>
  <c r="J330" i="4"/>
  <c r="K330" i="4"/>
  <c r="J322" i="4"/>
  <c r="K322" i="4"/>
  <c r="J314" i="4"/>
  <c r="K314" i="4"/>
  <c r="J306" i="4"/>
  <c r="K306" i="4"/>
  <c r="J298" i="4"/>
  <c r="J290" i="4"/>
  <c r="K290" i="4"/>
  <c r="J282" i="4"/>
  <c r="K282" i="4"/>
  <c r="J202" i="4"/>
  <c r="K202" i="4"/>
  <c r="J186" i="4"/>
  <c r="K186" i="4"/>
  <c r="J178" i="4"/>
  <c r="K178" i="4"/>
  <c r="J162" i="4"/>
  <c r="K162" i="4"/>
  <c r="J154" i="4"/>
  <c r="J146" i="4"/>
  <c r="K146" i="4"/>
  <c r="J138" i="4"/>
  <c r="K138" i="4"/>
  <c r="J106" i="4"/>
  <c r="K106" i="4"/>
  <c r="K82" i="4"/>
  <c r="J34" i="4"/>
  <c r="K34" i="4"/>
  <c r="J26" i="4"/>
  <c r="K26" i="4"/>
  <c r="H486" i="4"/>
  <c r="H470" i="4"/>
  <c r="H454" i="4"/>
  <c r="K98" i="4" l="1"/>
  <c r="K460" i="4"/>
  <c r="K104" i="4"/>
  <c r="K320" i="4"/>
  <c r="K291" i="4"/>
  <c r="J381" i="4"/>
  <c r="K174" i="4"/>
  <c r="K109" i="4"/>
  <c r="K173" i="4"/>
  <c r="K301" i="4"/>
  <c r="J74" i="4"/>
  <c r="K414" i="4"/>
  <c r="J196" i="4"/>
  <c r="J165" i="4"/>
  <c r="K4" i="4"/>
  <c r="J182" i="4"/>
  <c r="K228" i="4"/>
  <c r="K450" i="4"/>
  <c r="K117" i="4"/>
  <c r="K309" i="4"/>
  <c r="K479" i="4"/>
  <c r="J78" i="4"/>
  <c r="K214" i="4"/>
  <c r="K317" i="4"/>
  <c r="K18" i="4"/>
  <c r="J250" i="4"/>
  <c r="J388" i="4"/>
  <c r="J492" i="4"/>
  <c r="J71" i="4"/>
  <c r="K416" i="4"/>
  <c r="J140" i="4"/>
  <c r="J236" i="4"/>
  <c r="J300" i="4"/>
  <c r="J75" i="4"/>
  <c r="J307" i="4"/>
  <c r="J466" i="4"/>
  <c r="J247" i="4"/>
  <c r="J86" i="4"/>
  <c r="J318" i="4"/>
  <c r="J61" i="4"/>
  <c r="J125" i="4"/>
  <c r="J394" i="4"/>
  <c r="J378" i="4"/>
  <c r="J393" i="4"/>
  <c r="K90" i="4"/>
  <c r="J423" i="4"/>
  <c r="K54" i="4"/>
  <c r="K101" i="4"/>
  <c r="K226" i="4"/>
  <c r="K67" i="4"/>
  <c r="K303" i="4"/>
  <c r="K419" i="4"/>
  <c r="K451" i="4"/>
  <c r="J10" i="4"/>
  <c r="K244" i="4"/>
  <c r="K133" i="4"/>
  <c r="K277" i="4"/>
  <c r="K188" i="4"/>
  <c r="J239" i="4"/>
  <c r="K235" i="4"/>
  <c r="K428" i="4"/>
  <c r="K439" i="4"/>
  <c r="K279" i="4"/>
  <c r="K465" i="4"/>
  <c r="J266" i="4"/>
  <c r="K426" i="4"/>
  <c r="K95" i="4"/>
  <c r="K99" i="4"/>
  <c r="K372" i="4"/>
  <c r="K94" i="4"/>
  <c r="K325" i="4"/>
  <c r="K274" i="4"/>
  <c r="J497" i="4"/>
  <c r="J52" i="4"/>
  <c r="J472" i="4"/>
  <c r="K6" i="4"/>
  <c r="J420" i="4"/>
  <c r="K280" i="4"/>
  <c r="J407" i="4"/>
  <c r="K158" i="4"/>
  <c r="K51" i="4"/>
  <c r="K299" i="4"/>
  <c r="K335" i="4"/>
  <c r="K179" i="4"/>
  <c r="J222" i="4"/>
  <c r="J498" i="4"/>
  <c r="K159" i="4"/>
  <c r="K427" i="4"/>
  <c r="J396" i="4"/>
  <c r="K42" i="4"/>
  <c r="K170" i="4"/>
  <c r="K234" i="4"/>
  <c r="K343" i="4"/>
  <c r="K327" i="4"/>
  <c r="J59" i="4"/>
  <c r="J251" i="4"/>
  <c r="K401" i="4"/>
  <c r="K199" i="4"/>
  <c r="K31" i="4"/>
  <c r="K231" i="4"/>
  <c r="K443" i="4"/>
  <c r="K210" i="4"/>
  <c r="K243" i="4"/>
  <c r="K207" i="4"/>
  <c r="K242" i="4"/>
  <c r="J259" i="4"/>
  <c r="J12" i="4"/>
  <c r="J493" i="4"/>
  <c r="K87" i="4"/>
  <c r="K380" i="4"/>
  <c r="K183" i="4"/>
  <c r="J491" i="4"/>
  <c r="J50" i="4"/>
  <c r="J218" i="4"/>
  <c r="K326" i="4"/>
  <c r="J411" i="4"/>
  <c r="K418" i="4"/>
  <c r="J324" i="4"/>
  <c r="J175" i="4"/>
  <c r="K195" i="4"/>
  <c r="K475" i="4"/>
  <c r="J204" i="4"/>
  <c r="K58" i="4"/>
  <c r="K375" i="4"/>
  <c r="K20" i="4"/>
  <c r="K357" i="4"/>
  <c r="K126" i="4"/>
  <c r="J382" i="4"/>
  <c r="K19" i="4"/>
  <c r="K147" i="4"/>
  <c r="J206" i="4"/>
  <c r="J271" i="4"/>
  <c r="K66" i="4"/>
  <c r="K130" i="4"/>
  <c r="K194" i="4"/>
  <c r="K258" i="4"/>
  <c r="K391" i="4"/>
  <c r="J477" i="4"/>
  <c r="K215" i="4"/>
  <c r="K28" i="4"/>
  <c r="K92" i="4"/>
  <c r="K156" i="4"/>
  <c r="J83" i="4"/>
  <c r="J275" i="4"/>
  <c r="K287" i="4"/>
  <c r="K134" i="4"/>
  <c r="J278" i="4"/>
  <c r="K111" i="4"/>
  <c r="K295" i="4"/>
  <c r="J442" i="4"/>
  <c r="K108" i="4"/>
  <c r="K485" i="4"/>
  <c r="K440" i="4"/>
  <c r="K114" i="4"/>
  <c r="K359" i="4"/>
  <c r="K223" i="4"/>
  <c r="K255" i="4"/>
  <c r="J39" i="4"/>
  <c r="K473" i="4"/>
  <c r="K191" i="4"/>
  <c r="K84" i="4"/>
  <c r="K212" i="4"/>
  <c r="J267" i="4"/>
  <c r="K63" i="4"/>
  <c r="K2" i="4"/>
  <c r="K386" i="4"/>
  <c r="K27" i="4"/>
  <c r="K91" i="4"/>
  <c r="K155" i="4"/>
  <c r="K219" i="4"/>
  <c r="K283" i="4"/>
  <c r="K355" i="4"/>
  <c r="K488" i="4"/>
  <c r="J22" i="4"/>
  <c r="K55" i="4"/>
  <c r="K122" i="4"/>
  <c r="K389" i="4"/>
  <c r="K436" i="4"/>
  <c r="K347" i="4"/>
  <c r="K435" i="4"/>
  <c r="K456" i="4"/>
  <c r="K437" i="4"/>
  <c r="K462" i="4"/>
  <c r="K348" i="4"/>
  <c r="K363" i="4"/>
  <c r="K421" i="4"/>
  <c r="K397" i="4"/>
  <c r="K478" i="4"/>
  <c r="K398" i="4"/>
  <c r="K366" i="4"/>
  <c r="K484" i="4"/>
  <c r="K405" i="4"/>
  <c r="K438" i="4"/>
  <c r="K316" i="4"/>
  <c r="K482" i="4"/>
  <c r="K413" i="4"/>
  <c r="K264" i="4"/>
  <c r="K458" i="4"/>
  <c r="K334" i="4"/>
  <c r="K358" i="4"/>
  <c r="K364" i="4"/>
  <c r="K494" i="4"/>
  <c r="K412" i="4"/>
  <c r="K459" i="4"/>
  <c r="K434" i="4"/>
  <c r="K312" i="4"/>
  <c r="K432" i="4"/>
  <c r="K142" i="4"/>
  <c r="K190" i="4"/>
  <c r="K286" i="4"/>
  <c r="K367" i="4"/>
  <c r="K425" i="4"/>
  <c r="K500" i="4"/>
  <c r="K461" i="4"/>
  <c r="K496" i="4"/>
  <c r="K490" i="4"/>
  <c r="K351" i="4"/>
  <c r="K361" i="4"/>
  <c r="J469" i="4"/>
  <c r="K373" i="4"/>
  <c r="K46" i="4"/>
  <c r="J379" i="4"/>
  <c r="K70" i="4"/>
  <c r="K118" i="4"/>
  <c r="K310" i="4"/>
  <c r="K368" i="4"/>
  <c r="K474" i="4"/>
  <c r="K501" i="4"/>
  <c r="K468" i="4"/>
  <c r="K352" i="4"/>
  <c r="K400" i="4"/>
  <c r="K345" i="4"/>
  <c r="K402" i="4"/>
  <c r="I28" i="9" a="1"/>
  <c r="I28" i="9" s="1"/>
  <c r="I34" i="9" s="1"/>
  <c r="I61" i="9" s="1"/>
  <c r="K288" i="4"/>
  <c r="K430" i="4"/>
  <c r="K395" i="4"/>
  <c r="D12" i="7"/>
  <c r="E12" i="7" s="1"/>
  <c r="E14" i="5"/>
  <c r="G504" i="8"/>
  <c r="T5" i="6"/>
  <c r="V5" i="6" s="1"/>
  <c r="C505" i="8"/>
  <c r="T502" i="6"/>
  <c r="V502" i="6" s="1"/>
  <c r="T494" i="6"/>
  <c r="V494" i="6" s="1"/>
  <c r="T486" i="6"/>
  <c r="V486" i="6" s="1"/>
  <c r="T478" i="6"/>
  <c r="V478" i="6" s="1"/>
  <c r="T470" i="6"/>
  <c r="V470" i="6" s="1"/>
  <c r="T462" i="6"/>
  <c r="V462" i="6" s="1"/>
  <c r="T454" i="6"/>
  <c r="V454" i="6" s="1"/>
  <c r="T446" i="6"/>
  <c r="V446" i="6" s="1"/>
  <c r="T438" i="6"/>
  <c r="V438" i="6" s="1"/>
  <c r="T430" i="6"/>
  <c r="V430" i="6" s="1"/>
  <c r="T422" i="6"/>
  <c r="V422" i="6" s="1"/>
  <c r="T414" i="6"/>
  <c r="V414" i="6" s="1"/>
  <c r="T406" i="6"/>
  <c r="V406" i="6" s="1"/>
  <c r="T398" i="6"/>
  <c r="V398" i="6" s="1"/>
  <c r="T390" i="6"/>
  <c r="V390" i="6" s="1"/>
  <c r="T382" i="6"/>
  <c r="V382" i="6" s="1"/>
  <c r="T374" i="6"/>
  <c r="V374" i="6" s="1"/>
  <c r="T366" i="6"/>
  <c r="V366" i="6" s="1"/>
  <c r="T358" i="6"/>
  <c r="V358" i="6" s="1"/>
  <c r="T350" i="6"/>
  <c r="V350" i="6" s="1"/>
  <c r="T342" i="6"/>
  <c r="V342" i="6" s="1"/>
  <c r="T334" i="6"/>
  <c r="V334" i="6" s="1"/>
  <c r="T326" i="6"/>
  <c r="V326" i="6" s="1"/>
  <c r="T318" i="6"/>
  <c r="V318" i="6" s="1"/>
  <c r="T310" i="6"/>
  <c r="V310" i="6" s="1"/>
  <c r="T302" i="6"/>
  <c r="V302" i="6" s="1"/>
  <c r="T294" i="6"/>
  <c r="V294" i="6" s="1"/>
  <c r="T286" i="6"/>
  <c r="V286" i="6" s="1"/>
  <c r="T278" i="6"/>
  <c r="V278" i="6" s="1"/>
  <c r="T270" i="6"/>
  <c r="V270" i="6" s="1"/>
  <c r="T262" i="6"/>
  <c r="V262" i="6" s="1"/>
  <c r="T254" i="6"/>
  <c r="V254" i="6" s="1"/>
  <c r="T246" i="6"/>
  <c r="V246" i="6" s="1"/>
  <c r="T238" i="6"/>
  <c r="V238" i="6" s="1"/>
  <c r="T230" i="6"/>
  <c r="V230" i="6" s="1"/>
  <c r="T222" i="6"/>
  <c r="V222" i="6" s="1"/>
  <c r="T214" i="6"/>
  <c r="V214" i="6" s="1"/>
  <c r="T206" i="6"/>
  <c r="V206" i="6" s="1"/>
  <c r="T198" i="6"/>
  <c r="V198" i="6" s="1"/>
  <c r="T190" i="6"/>
  <c r="V190" i="6" s="1"/>
  <c r="T182" i="6"/>
  <c r="V182" i="6" s="1"/>
  <c r="T174" i="6"/>
  <c r="V174" i="6" s="1"/>
  <c r="T166" i="6"/>
  <c r="V166" i="6" s="1"/>
  <c r="T158" i="6"/>
  <c r="V158" i="6" s="1"/>
  <c r="T150" i="6"/>
  <c r="V150" i="6" s="1"/>
  <c r="T142" i="6"/>
  <c r="V142" i="6" s="1"/>
  <c r="T134" i="6"/>
  <c r="V134" i="6" s="1"/>
  <c r="T126" i="6"/>
  <c r="V126" i="6" s="1"/>
  <c r="T118" i="6"/>
  <c r="V118" i="6" s="1"/>
  <c r="T110" i="6"/>
  <c r="V110" i="6" s="1"/>
  <c r="T102" i="6"/>
  <c r="V102" i="6" s="1"/>
  <c r="T94" i="6"/>
  <c r="V94" i="6" s="1"/>
  <c r="T86" i="6"/>
  <c r="V86" i="6" s="1"/>
  <c r="T78" i="6"/>
  <c r="V78" i="6" s="1"/>
  <c r="T70" i="6"/>
  <c r="V70" i="6" s="1"/>
  <c r="T62" i="6"/>
  <c r="V62" i="6" s="1"/>
  <c r="T54" i="6"/>
  <c r="V54" i="6" s="1"/>
  <c r="T46" i="6"/>
  <c r="V46" i="6" s="1"/>
  <c r="T38" i="6"/>
  <c r="V38" i="6" s="1"/>
  <c r="T30" i="6"/>
  <c r="V30" i="6" s="1"/>
  <c r="T22" i="6"/>
  <c r="V22" i="6" s="1"/>
  <c r="T14" i="6"/>
  <c r="V14" i="6" s="1"/>
  <c r="T6" i="6"/>
  <c r="V6" i="6" s="1"/>
  <c r="T487" i="6"/>
  <c r="V487" i="6" s="1"/>
  <c r="T447" i="6"/>
  <c r="V447" i="6" s="1"/>
  <c r="T415" i="6"/>
  <c r="V415" i="6" s="1"/>
  <c r="T399" i="6"/>
  <c r="V399" i="6" s="1"/>
  <c r="T375" i="6"/>
  <c r="V375" i="6" s="1"/>
  <c r="T359" i="6"/>
  <c r="V359" i="6" s="1"/>
  <c r="T335" i="6"/>
  <c r="V335" i="6" s="1"/>
  <c r="T303" i="6"/>
  <c r="V303" i="6" s="1"/>
  <c r="T287" i="6"/>
  <c r="V287" i="6" s="1"/>
  <c r="T271" i="6"/>
  <c r="V271" i="6" s="1"/>
  <c r="T255" i="6"/>
  <c r="V255" i="6" s="1"/>
  <c r="T239" i="6"/>
  <c r="V239" i="6" s="1"/>
  <c r="T223" i="6"/>
  <c r="V223" i="6" s="1"/>
  <c r="T199" i="6"/>
  <c r="V199" i="6" s="1"/>
  <c r="T183" i="6"/>
  <c r="V183" i="6" s="1"/>
  <c r="T167" i="6"/>
  <c r="V167" i="6" s="1"/>
  <c r="T151" i="6"/>
  <c r="V151" i="6" s="1"/>
  <c r="T135" i="6"/>
  <c r="V135" i="6" s="1"/>
  <c r="T119" i="6"/>
  <c r="V119" i="6" s="1"/>
  <c r="T95" i="6"/>
  <c r="V95" i="6" s="1"/>
  <c r="T15" i="6"/>
  <c r="V15" i="6" s="1"/>
  <c r="T495" i="6"/>
  <c r="V495" i="6" s="1"/>
  <c r="T463" i="6"/>
  <c r="V463" i="6" s="1"/>
  <c r="T439" i="6"/>
  <c r="V439" i="6" s="1"/>
  <c r="T407" i="6"/>
  <c r="V407" i="6" s="1"/>
  <c r="T391" i="6"/>
  <c r="V391" i="6" s="1"/>
  <c r="T383" i="6"/>
  <c r="V383" i="6" s="1"/>
  <c r="T367" i="6"/>
  <c r="V367" i="6" s="1"/>
  <c r="T343" i="6"/>
  <c r="V343" i="6" s="1"/>
  <c r="T311" i="6"/>
  <c r="V311" i="6" s="1"/>
  <c r="T295" i="6"/>
  <c r="V295" i="6" s="1"/>
  <c r="T279" i="6"/>
  <c r="V279" i="6" s="1"/>
  <c r="T263" i="6"/>
  <c r="V263" i="6" s="1"/>
  <c r="T247" i="6"/>
  <c r="V247" i="6" s="1"/>
  <c r="T231" i="6"/>
  <c r="V231" i="6" s="1"/>
  <c r="T215" i="6"/>
  <c r="V215" i="6" s="1"/>
  <c r="T207" i="6"/>
  <c r="V207" i="6" s="1"/>
  <c r="T191" i="6"/>
  <c r="V191" i="6" s="1"/>
  <c r="T175" i="6"/>
  <c r="V175" i="6" s="1"/>
  <c r="T159" i="6"/>
  <c r="V159" i="6" s="1"/>
  <c r="T143" i="6"/>
  <c r="V143" i="6" s="1"/>
  <c r="T127" i="6"/>
  <c r="V127" i="6" s="1"/>
  <c r="T111" i="6"/>
  <c r="V111" i="6" s="1"/>
  <c r="T103" i="6"/>
  <c r="V103" i="6" s="1"/>
  <c r="T87" i="6"/>
  <c r="V87" i="6" s="1"/>
  <c r="T79" i="6"/>
  <c r="V79" i="6" s="1"/>
  <c r="T71" i="6"/>
  <c r="V71" i="6" s="1"/>
  <c r="T63" i="6"/>
  <c r="V63" i="6" s="1"/>
  <c r="T55" i="6"/>
  <c r="V55" i="6" s="1"/>
  <c r="T47" i="6"/>
  <c r="V47" i="6" s="1"/>
  <c r="T39" i="6"/>
  <c r="V39" i="6" s="1"/>
  <c r="T31" i="6"/>
  <c r="V31" i="6" s="1"/>
  <c r="T23" i="6"/>
  <c r="V23" i="6" s="1"/>
  <c r="T7" i="6"/>
  <c r="V7" i="6" s="1"/>
  <c r="T471" i="6"/>
  <c r="V471" i="6" s="1"/>
  <c r="T431" i="6"/>
  <c r="V431" i="6" s="1"/>
  <c r="T319" i="6"/>
  <c r="V319" i="6" s="1"/>
  <c r="T503" i="6"/>
  <c r="V503" i="6" s="1"/>
  <c r="T455" i="6"/>
  <c r="V455" i="6" s="1"/>
  <c r="T351" i="6"/>
  <c r="V351" i="6" s="1"/>
  <c r="T500" i="6"/>
  <c r="V500" i="6" s="1"/>
  <c r="T492" i="6"/>
  <c r="V492" i="6" s="1"/>
  <c r="T484" i="6"/>
  <c r="V484" i="6" s="1"/>
  <c r="T476" i="6"/>
  <c r="V476" i="6" s="1"/>
  <c r="T468" i="6"/>
  <c r="V468" i="6" s="1"/>
  <c r="T460" i="6"/>
  <c r="V460" i="6" s="1"/>
  <c r="T452" i="6"/>
  <c r="V452" i="6" s="1"/>
  <c r="T444" i="6"/>
  <c r="V444" i="6" s="1"/>
  <c r="T436" i="6"/>
  <c r="V436" i="6" s="1"/>
  <c r="T428" i="6"/>
  <c r="V428" i="6" s="1"/>
  <c r="T420" i="6"/>
  <c r="V420" i="6" s="1"/>
  <c r="T412" i="6"/>
  <c r="V412" i="6" s="1"/>
  <c r="T404" i="6"/>
  <c r="V404" i="6" s="1"/>
  <c r="T396" i="6"/>
  <c r="V396" i="6" s="1"/>
  <c r="T388" i="6"/>
  <c r="V388" i="6" s="1"/>
  <c r="T380" i="6"/>
  <c r="V380" i="6" s="1"/>
  <c r="T372" i="6"/>
  <c r="V372" i="6" s="1"/>
  <c r="T364" i="6"/>
  <c r="V364" i="6" s="1"/>
  <c r="T356" i="6"/>
  <c r="V356" i="6" s="1"/>
  <c r="T348" i="6"/>
  <c r="V348" i="6" s="1"/>
  <c r="T340" i="6"/>
  <c r="V340" i="6" s="1"/>
  <c r="T332" i="6"/>
  <c r="V332" i="6" s="1"/>
  <c r="T324" i="6"/>
  <c r="V324" i="6" s="1"/>
  <c r="T316" i="6"/>
  <c r="V316" i="6" s="1"/>
  <c r="T308" i="6"/>
  <c r="V308" i="6" s="1"/>
  <c r="T300" i="6"/>
  <c r="V300" i="6" s="1"/>
  <c r="T292" i="6"/>
  <c r="V292" i="6" s="1"/>
  <c r="T284" i="6"/>
  <c r="V284" i="6" s="1"/>
  <c r="T276" i="6"/>
  <c r="V276" i="6" s="1"/>
  <c r="T268" i="6"/>
  <c r="V268" i="6" s="1"/>
  <c r="T260" i="6"/>
  <c r="V260" i="6" s="1"/>
  <c r="T252" i="6"/>
  <c r="V252" i="6" s="1"/>
  <c r="T244" i="6"/>
  <c r="V244" i="6" s="1"/>
  <c r="T236" i="6"/>
  <c r="V236" i="6" s="1"/>
  <c r="T228" i="6"/>
  <c r="V228" i="6" s="1"/>
  <c r="T220" i="6"/>
  <c r="V220" i="6" s="1"/>
  <c r="T212" i="6"/>
  <c r="V212" i="6" s="1"/>
  <c r="T204" i="6"/>
  <c r="V204" i="6" s="1"/>
  <c r="T196" i="6"/>
  <c r="V196" i="6" s="1"/>
  <c r="T188" i="6"/>
  <c r="V188" i="6" s="1"/>
  <c r="T180" i="6"/>
  <c r="V180" i="6" s="1"/>
  <c r="T172" i="6"/>
  <c r="V172" i="6" s="1"/>
  <c r="T164" i="6"/>
  <c r="V164" i="6" s="1"/>
  <c r="T156" i="6"/>
  <c r="V156" i="6" s="1"/>
  <c r="T148" i="6"/>
  <c r="V148" i="6" s="1"/>
  <c r="T140" i="6"/>
  <c r="V140" i="6" s="1"/>
  <c r="T132" i="6"/>
  <c r="V132" i="6" s="1"/>
  <c r="T124" i="6"/>
  <c r="V124" i="6" s="1"/>
  <c r="T116" i="6"/>
  <c r="V116" i="6" s="1"/>
  <c r="T108" i="6"/>
  <c r="V108" i="6" s="1"/>
  <c r="T100" i="6"/>
  <c r="V100" i="6" s="1"/>
  <c r="T92" i="6"/>
  <c r="V92" i="6" s="1"/>
  <c r="T84" i="6"/>
  <c r="V84" i="6" s="1"/>
  <c r="T76" i="6"/>
  <c r="V76" i="6" s="1"/>
  <c r="T68" i="6"/>
  <c r="V68" i="6" s="1"/>
  <c r="T60" i="6"/>
  <c r="V60" i="6" s="1"/>
  <c r="T52" i="6"/>
  <c r="V52" i="6" s="1"/>
  <c r="T44" i="6"/>
  <c r="V44" i="6" s="1"/>
  <c r="T36" i="6"/>
  <c r="V36" i="6" s="1"/>
  <c r="T28" i="6"/>
  <c r="V28" i="6" s="1"/>
  <c r="T20" i="6"/>
  <c r="V20" i="6" s="1"/>
  <c r="T12" i="6"/>
  <c r="V12" i="6" s="1"/>
  <c r="T479" i="6"/>
  <c r="V479" i="6" s="1"/>
  <c r="T423" i="6"/>
  <c r="V423" i="6" s="1"/>
  <c r="T327" i="6"/>
  <c r="V327" i="6" s="1"/>
  <c r="T501" i="6"/>
  <c r="V501" i="6" s="1"/>
  <c r="T493" i="6"/>
  <c r="V493" i="6" s="1"/>
  <c r="T485" i="6"/>
  <c r="V485" i="6" s="1"/>
  <c r="T477" i="6"/>
  <c r="V477" i="6" s="1"/>
  <c r="T469" i="6"/>
  <c r="V469" i="6" s="1"/>
  <c r="T461" i="6"/>
  <c r="V461" i="6" s="1"/>
  <c r="T453" i="6"/>
  <c r="V453" i="6" s="1"/>
  <c r="T445" i="6"/>
  <c r="V445" i="6" s="1"/>
  <c r="T437" i="6"/>
  <c r="V437" i="6" s="1"/>
  <c r="T429" i="6"/>
  <c r="V429" i="6" s="1"/>
  <c r="T421" i="6"/>
  <c r="V421" i="6" s="1"/>
  <c r="T413" i="6"/>
  <c r="V413" i="6" s="1"/>
  <c r="T405" i="6"/>
  <c r="V405" i="6" s="1"/>
  <c r="T397" i="6"/>
  <c r="V397" i="6" s="1"/>
  <c r="T389" i="6"/>
  <c r="V389" i="6" s="1"/>
  <c r="T381" i="6"/>
  <c r="V381" i="6" s="1"/>
  <c r="T373" i="6"/>
  <c r="V373" i="6" s="1"/>
  <c r="T365" i="6"/>
  <c r="V365" i="6" s="1"/>
  <c r="T357" i="6"/>
  <c r="V357" i="6" s="1"/>
  <c r="T349" i="6"/>
  <c r="V349" i="6" s="1"/>
  <c r="T341" i="6"/>
  <c r="V341" i="6" s="1"/>
  <c r="T333" i="6"/>
  <c r="V333" i="6" s="1"/>
  <c r="T325" i="6"/>
  <c r="V325" i="6" s="1"/>
  <c r="T317" i="6"/>
  <c r="V317" i="6" s="1"/>
  <c r="T309" i="6"/>
  <c r="V309" i="6" s="1"/>
  <c r="T301" i="6"/>
  <c r="V301" i="6" s="1"/>
  <c r="T293" i="6"/>
  <c r="V293" i="6" s="1"/>
  <c r="T285" i="6"/>
  <c r="V285" i="6" s="1"/>
  <c r="T277" i="6"/>
  <c r="V277" i="6" s="1"/>
  <c r="T269" i="6"/>
  <c r="V269" i="6" s="1"/>
  <c r="T261" i="6"/>
  <c r="V261" i="6" s="1"/>
  <c r="T253" i="6"/>
  <c r="V253" i="6" s="1"/>
  <c r="T245" i="6"/>
  <c r="V245" i="6" s="1"/>
  <c r="T237" i="6"/>
  <c r="V237" i="6" s="1"/>
  <c r="T229" i="6"/>
  <c r="V229" i="6" s="1"/>
  <c r="T221" i="6"/>
  <c r="V221" i="6" s="1"/>
  <c r="T213" i="6"/>
  <c r="V213" i="6" s="1"/>
  <c r="T205" i="6"/>
  <c r="V205" i="6" s="1"/>
  <c r="T197" i="6"/>
  <c r="V197" i="6" s="1"/>
  <c r="T189" i="6"/>
  <c r="V189" i="6" s="1"/>
  <c r="T181" i="6"/>
  <c r="V181" i="6" s="1"/>
  <c r="T173" i="6"/>
  <c r="V173" i="6" s="1"/>
  <c r="T165" i="6"/>
  <c r="V165" i="6" s="1"/>
  <c r="T157" i="6"/>
  <c r="V157" i="6" s="1"/>
  <c r="T149" i="6"/>
  <c r="V149" i="6" s="1"/>
  <c r="T141" i="6"/>
  <c r="V141" i="6" s="1"/>
  <c r="T133" i="6"/>
  <c r="V133" i="6" s="1"/>
  <c r="T125" i="6"/>
  <c r="V125" i="6" s="1"/>
  <c r="T117" i="6"/>
  <c r="V117" i="6" s="1"/>
  <c r="T109" i="6"/>
  <c r="V109" i="6" s="1"/>
  <c r="T101" i="6"/>
  <c r="V101" i="6" s="1"/>
  <c r="T93" i="6"/>
  <c r="V93" i="6" s="1"/>
  <c r="T85" i="6"/>
  <c r="V85" i="6" s="1"/>
  <c r="T77" i="6"/>
  <c r="V77" i="6" s="1"/>
  <c r="T69" i="6"/>
  <c r="V69" i="6" s="1"/>
  <c r="T61" i="6"/>
  <c r="V61" i="6" s="1"/>
  <c r="T53" i="6"/>
  <c r="V53" i="6" s="1"/>
  <c r="T45" i="6"/>
  <c r="V45" i="6" s="1"/>
  <c r="T37" i="6"/>
  <c r="V37" i="6" s="1"/>
  <c r="T29" i="6"/>
  <c r="V29" i="6" s="1"/>
  <c r="T21" i="6"/>
  <c r="V21" i="6" s="1"/>
  <c r="T13" i="6"/>
  <c r="V13" i="6" s="1"/>
  <c r="T499" i="6"/>
  <c r="V499" i="6" s="1"/>
  <c r="T491" i="6"/>
  <c r="V491" i="6" s="1"/>
  <c r="T483" i="6"/>
  <c r="V483" i="6" s="1"/>
  <c r="T475" i="6"/>
  <c r="V475" i="6" s="1"/>
  <c r="T467" i="6"/>
  <c r="V467" i="6" s="1"/>
  <c r="T459" i="6"/>
  <c r="V459" i="6" s="1"/>
  <c r="T451" i="6"/>
  <c r="V451" i="6" s="1"/>
  <c r="T443" i="6"/>
  <c r="V443" i="6" s="1"/>
  <c r="T435" i="6"/>
  <c r="V435" i="6" s="1"/>
  <c r="T427" i="6"/>
  <c r="V427" i="6" s="1"/>
  <c r="T419" i="6"/>
  <c r="V419" i="6" s="1"/>
  <c r="T411" i="6"/>
  <c r="V411" i="6" s="1"/>
  <c r="T403" i="6"/>
  <c r="V403" i="6" s="1"/>
  <c r="T395" i="6"/>
  <c r="V395" i="6" s="1"/>
  <c r="T387" i="6"/>
  <c r="V387" i="6" s="1"/>
  <c r="T379" i="6"/>
  <c r="V379" i="6" s="1"/>
  <c r="T371" i="6"/>
  <c r="V371" i="6" s="1"/>
  <c r="T363" i="6"/>
  <c r="V363" i="6" s="1"/>
  <c r="T355" i="6"/>
  <c r="V355" i="6" s="1"/>
  <c r="T347" i="6"/>
  <c r="V347" i="6" s="1"/>
  <c r="T339" i="6"/>
  <c r="V339" i="6" s="1"/>
  <c r="T331" i="6"/>
  <c r="V331" i="6" s="1"/>
  <c r="T323" i="6"/>
  <c r="V323" i="6" s="1"/>
  <c r="T315" i="6"/>
  <c r="V315" i="6" s="1"/>
  <c r="T307" i="6"/>
  <c r="V307" i="6" s="1"/>
  <c r="T299" i="6"/>
  <c r="V299" i="6" s="1"/>
  <c r="T291" i="6"/>
  <c r="V291" i="6" s="1"/>
  <c r="T283" i="6"/>
  <c r="V283" i="6" s="1"/>
  <c r="T275" i="6"/>
  <c r="V275" i="6" s="1"/>
  <c r="T267" i="6"/>
  <c r="V267" i="6" s="1"/>
  <c r="T259" i="6"/>
  <c r="V259" i="6" s="1"/>
  <c r="T251" i="6"/>
  <c r="V251" i="6" s="1"/>
  <c r="T490" i="6"/>
  <c r="V490" i="6" s="1"/>
  <c r="T426" i="6"/>
  <c r="V426" i="6" s="1"/>
  <c r="T482" i="6"/>
  <c r="V482" i="6" s="1"/>
  <c r="T458" i="6"/>
  <c r="V458" i="6" s="1"/>
  <c r="T498" i="6"/>
  <c r="V498" i="6" s="1"/>
  <c r="T474" i="6"/>
  <c r="V474" i="6" s="1"/>
  <c r="T466" i="6"/>
  <c r="V466" i="6" s="1"/>
  <c r="T450" i="6"/>
  <c r="V450" i="6" s="1"/>
  <c r="T386" i="6"/>
  <c r="V386" i="6" s="1"/>
  <c r="T346" i="6"/>
  <c r="V346" i="6" s="1"/>
  <c r="T306" i="6"/>
  <c r="V306" i="6" s="1"/>
  <c r="T266" i="6"/>
  <c r="V266" i="6" s="1"/>
  <c r="T226" i="6"/>
  <c r="V226" i="6" s="1"/>
  <c r="T186" i="6"/>
  <c r="V186" i="6" s="1"/>
  <c r="T146" i="6"/>
  <c r="V146" i="6" s="1"/>
  <c r="T114" i="6"/>
  <c r="V114" i="6" s="1"/>
  <c r="T74" i="6"/>
  <c r="V74" i="6" s="1"/>
  <c r="T26" i="6"/>
  <c r="V26" i="6" s="1"/>
  <c r="T442" i="6"/>
  <c r="V442" i="6" s="1"/>
  <c r="T418" i="6"/>
  <c r="V418" i="6" s="1"/>
  <c r="T402" i="6"/>
  <c r="V402" i="6" s="1"/>
  <c r="T378" i="6"/>
  <c r="V378" i="6" s="1"/>
  <c r="T362" i="6"/>
  <c r="V362" i="6" s="1"/>
  <c r="T338" i="6"/>
  <c r="V338" i="6" s="1"/>
  <c r="T322" i="6"/>
  <c r="V322" i="6" s="1"/>
  <c r="T298" i="6"/>
  <c r="V298" i="6" s="1"/>
  <c r="T282" i="6"/>
  <c r="V282" i="6" s="1"/>
  <c r="T258" i="6"/>
  <c r="V258" i="6" s="1"/>
  <c r="T234" i="6"/>
  <c r="V234" i="6" s="1"/>
  <c r="T210" i="6"/>
  <c r="V210" i="6" s="1"/>
  <c r="T194" i="6"/>
  <c r="V194" i="6" s="1"/>
  <c r="T170" i="6"/>
  <c r="V170" i="6" s="1"/>
  <c r="T154" i="6"/>
  <c r="V154" i="6" s="1"/>
  <c r="T130" i="6"/>
  <c r="V130" i="6" s="1"/>
  <c r="T106" i="6"/>
  <c r="V106" i="6" s="1"/>
  <c r="T90" i="6"/>
  <c r="V90" i="6" s="1"/>
  <c r="T66" i="6"/>
  <c r="V66" i="6" s="1"/>
  <c r="T50" i="6"/>
  <c r="V50" i="6" s="1"/>
  <c r="T34" i="6"/>
  <c r="V34" i="6" s="1"/>
  <c r="T10" i="6"/>
  <c r="V10" i="6" s="1"/>
  <c r="T497" i="6"/>
  <c r="V497" i="6" s="1"/>
  <c r="T489" i="6"/>
  <c r="V489" i="6" s="1"/>
  <c r="T481" i="6"/>
  <c r="V481" i="6" s="1"/>
  <c r="T473" i="6"/>
  <c r="V473" i="6" s="1"/>
  <c r="T465" i="6"/>
  <c r="V465" i="6" s="1"/>
  <c r="T457" i="6"/>
  <c r="V457" i="6" s="1"/>
  <c r="T449" i="6"/>
  <c r="V449" i="6" s="1"/>
  <c r="T441" i="6"/>
  <c r="V441" i="6" s="1"/>
  <c r="T433" i="6"/>
  <c r="V433" i="6" s="1"/>
  <c r="T425" i="6"/>
  <c r="V425" i="6" s="1"/>
  <c r="T417" i="6"/>
  <c r="V417" i="6" s="1"/>
  <c r="T409" i="6"/>
  <c r="V409" i="6" s="1"/>
  <c r="T401" i="6"/>
  <c r="V401" i="6" s="1"/>
  <c r="T393" i="6"/>
  <c r="V393" i="6" s="1"/>
  <c r="T385" i="6"/>
  <c r="V385" i="6" s="1"/>
  <c r="T377" i="6"/>
  <c r="V377" i="6" s="1"/>
  <c r="T369" i="6"/>
  <c r="V369" i="6" s="1"/>
  <c r="T361" i="6"/>
  <c r="V361" i="6" s="1"/>
  <c r="T353" i="6"/>
  <c r="V353" i="6" s="1"/>
  <c r="T345" i="6"/>
  <c r="V345" i="6" s="1"/>
  <c r="T337" i="6"/>
  <c r="V337" i="6" s="1"/>
  <c r="T329" i="6"/>
  <c r="V329" i="6" s="1"/>
  <c r="T321" i="6"/>
  <c r="V321" i="6" s="1"/>
  <c r="T313" i="6"/>
  <c r="V313" i="6" s="1"/>
  <c r="T305" i="6"/>
  <c r="V305" i="6" s="1"/>
  <c r="T297" i="6"/>
  <c r="V297" i="6" s="1"/>
  <c r="T289" i="6"/>
  <c r="V289" i="6" s="1"/>
  <c r="T281" i="6"/>
  <c r="V281" i="6" s="1"/>
  <c r="T273" i="6"/>
  <c r="V273" i="6" s="1"/>
  <c r="T265" i="6"/>
  <c r="V265" i="6" s="1"/>
  <c r="T257" i="6"/>
  <c r="V257" i="6" s="1"/>
  <c r="T249" i="6"/>
  <c r="V249" i="6" s="1"/>
  <c r="T241" i="6"/>
  <c r="V241" i="6" s="1"/>
  <c r="T233" i="6"/>
  <c r="V233" i="6" s="1"/>
  <c r="T225" i="6"/>
  <c r="V225" i="6" s="1"/>
  <c r="T217" i="6"/>
  <c r="V217" i="6" s="1"/>
  <c r="T209" i="6"/>
  <c r="V209" i="6" s="1"/>
  <c r="T201" i="6"/>
  <c r="V201" i="6" s="1"/>
  <c r="T193" i="6"/>
  <c r="V193" i="6" s="1"/>
  <c r="T185" i="6"/>
  <c r="V185" i="6" s="1"/>
  <c r="T177" i="6"/>
  <c r="V177" i="6" s="1"/>
  <c r="T169" i="6"/>
  <c r="V169" i="6" s="1"/>
  <c r="T161" i="6"/>
  <c r="V161" i="6" s="1"/>
  <c r="T153" i="6"/>
  <c r="V153" i="6" s="1"/>
  <c r="T145" i="6"/>
  <c r="V145" i="6" s="1"/>
  <c r="T137" i="6"/>
  <c r="V137" i="6" s="1"/>
  <c r="T129" i="6"/>
  <c r="V129" i="6" s="1"/>
  <c r="T121" i="6"/>
  <c r="V121" i="6" s="1"/>
  <c r="T113" i="6"/>
  <c r="V113" i="6" s="1"/>
  <c r="T105" i="6"/>
  <c r="V105" i="6" s="1"/>
  <c r="T97" i="6"/>
  <c r="V97" i="6" s="1"/>
  <c r="T89" i="6"/>
  <c r="V89" i="6" s="1"/>
  <c r="T81" i="6"/>
  <c r="V81" i="6" s="1"/>
  <c r="T73" i="6"/>
  <c r="V73" i="6" s="1"/>
  <c r="T65" i="6"/>
  <c r="V65" i="6" s="1"/>
  <c r="T57" i="6"/>
  <c r="V57" i="6" s="1"/>
  <c r="T49" i="6"/>
  <c r="V49" i="6" s="1"/>
  <c r="T41" i="6"/>
  <c r="V41" i="6" s="1"/>
  <c r="T33" i="6"/>
  <c r="V33" i="6" s="1"/>
  <c r="T25" i="6"/>
  <c r="V25" i="6" s="1"/>
  <c r="T17" i="6"/>
  <c r="V17" i="6" s="1"/>
  <c r="T9" i="6"/>
  <c r="V9" i="6" s="1"/>
  <c r="T434" i="6"/>
  <c r="V434" i="6" s="1"/>
  <c r="T410" i="6"/>
  <c r="V410" i="6" s="1"/>
  <c r="T394" i="6"/>
  <c r="V394" i="6" s="1"/>
  <c r="T370" i="6"/>
  <c r="V370" i="6" s="1"/>
  <c r="T354" i="6"/>
  <c r="V354" i="6" s="1"/>
  <c r="T330" i="6"/>
  <c r="V330" i="6" s="1"/>
  <c r="T314" i="6"/>
  <c r="V314" i="6" s="1"/>
  <c r="T290" i="6"/>
  <c r="V290" i="6" s="1"/>
  <c r="T274" i="6"/>
  <c r="V274" i="6" s="1"/>
  <c r="T250" i="6"/>
  <c r="V250" i="6" s="1"/>
  <c r="T242" i="6"/>
  <c r="V242" i="6" s="1"/>
  <c r="T218" i="6"/>
  <c r="V218" i="6" s="1"/>
  <c r="T202" i="6"/>
  <c r="V202" i="6" s="1"/>
  <c r="T178" i="6"/>
  <c r="V178" i="6" s="1"/>
  <c r="T162" i="6"/>
  <c r="V162" i="6" s="1"/>
  <c r="T138" i="6"/>
  <c r="V138" i="6" s="1"/>
  <c r="T122" i="6"/>
  <c r="V122" i="6" s="1"/>
  <c r="T98" i="6"/>
  <c r="V98" i="6" s="1"/>
  <c r="T82" i="6"/>
  <c r="V82" i="6" s="1"/>
  <c r="T58" i="6"/>
  <c r="V58" i="6" s="1"/>
  <c r="T42" i="6"/>
  <c r="V42" i="6" s="1"/>
  <c r="T18" i="6"/>
  <c r="V18" i="6" s="1"/>
  <c r="T504" i="6"/>
  <c r="V504" i="6" s="1"/>
  <c r="T496" i="6"/>
  <c r="V496" i="6" s="1"/>
  <c r="T488" i="6"/>
  <c r="V488" i="6" s="1"/>
  <c r="T480" i="6"/>
  <c r="V480" i="6" s="1"/>
  <c r="T472" i="6"/>
  <c r="V472" i="6" s="1"/>
  <c r="T464" i="6"/>
  <c r="V464" i="6" s="1"/>
  <c r="T456" i="6"/>
  <c r="V456" i="6" s="1"/>
  <c r="T448" i="6"/>
  <c r="V448" i="6" s="1"/>
  <c r="T440" i="6"/>
  <c r="V440" i="6" s="1"/>
  <c r="T432" i="6"/>
  <c r="V432" i="6" s="1"/>
  <c r="T424" i="6"/>
  <c r="V424" i="6" s="1"/>
  <c r="T416" i="6"/>
  <c r="V416" i="6" s="1"/>
  <c r="T408" i="6"/>
  <c r="V408" i="6" s="1"/>
  <c r="T400" i="6"/>
  <c r="V400" i="6" s="1"/>
  <c r="T392" i="6"/>
  <c r="V392" i="6" s="1"/>
  <c r="T384" i="6"/>
  <c r="V384" i="6" s="1"/>
  <c r="T376" i="6"/>
  <c r="V376" i="6" s="1"/>
  <c r="T368" i="6"/>
  <c r="V368" i="6" s="1"/>
  <c r="T360" i="6"/>
  <c r="V360" i="6" s="1"/>
  <c r="T352" i="6"/>
  <c r="V352" i="6" s="1"/>
  <c r="T344" i="6"/>
  <c r="V344" i="6" s="1"/>
  <c r="T336" i="6"/>
  <c r="V336" i="6" s="1"/>
  <c r="T328" i="6"/>
  <c r="V328" i="6" s="1"/>
  <c r="T320" i="6"/>
  <c r="V320" i="6" s="1"/>
  <c r="T312" i="6"/>
  <c r="V312" i="6" s="1"/>
  <c r="T304" i="6"/>
  <c r="V304" i="6" s="1"/>
  <c r="T296" i="6"/>
  <c r="V296" i="6" s="1"/>
  <c r="T288" i="6"/>
  <c r="V288" i="6" s="1"/>
  <c r="T280" i="6"/>
  <c r="V280" i="6" s="1"/>
  <c r="T272" i="6"/>
  <c r="V272" i="6" s="1"/>
  <c r="T264" i="6"/>
  <c r="V264" i="6" s="1"/>
  <c r="T256" i="6"/>
  <c r="V256" i="6" s="1"/>
  <c r="T248" i="6"/>
  <c r="V248" i="6" s="1"/>
  <c r="T240" i="6"/>
  <c r="V240" i="6" s="1"/>
  <c r="T232" i="6"/>
  <c r="V232" i="6" s="1"/>
  <c r="T224" i="6"/>
  <c r="V224" i="6" s="1"/>
  <c r="T216" i="6"/>
  <c r="V216" i="6" s="1"/>
  <c r="T208" i="6"/>
  <c r="V208" i="6" s="1"/>
  <c r="T200" i="6"/>
  <c r="V200" i="6" s="1"/>
  <c r="T192" i="6"/>
  <c r="V192" i="6" s="1"/>
  <c r="T184" i="6"/>
  <c r="V184" i="6" s="1"/>
  <c r="T176" i="6"/>
  <c r="V176" i="6" s="1"/>
  <c r="T168" i="6"/>
  <c r="V168" i="6" s="1"/>
  <c r="T160" i="6"/>
  <c r="V160" i="6" s="1"/>
  <c r="T152" i="6"/>
  <c r="V152" i="6" s="1"/>
  <c r="T144" i="6"/>
  <c r="V144" i="6" s="1"/>
  <c r="T136" i="6"/>
  <c r="V136" i="6" s="1"/>
  <c r="T128" i="6"/>
  <c r="V128" i="6" s="1"/>
  <c r="T120" i="6"/>
  <c r="V120" i="6" s="1"/>
  <c r="T112" i="6"/>
  <c r="V112" i="6" s="1"/>
  <c r="T104" i="6"/>
  <c r="V104" i="6" s="1"/>
  <c r="T96" i="6"/>
  <c r="V96" i="6" s="1"/>
  <c r="T88" i="6"/>
  <c r="V88" i="6" s="1"/>
  <c r="T80" i="6"/>
  <c r="V80" i="6" s="1"/>
  <c r="T72" i="6"/>
  <c r="V72" i="6" s="1"/>
  <c r="T64" i="6"/>
  <c r="V64" i="6" s="1"/>
  <c r="T56" i="6"/>
  <c r="V56" i="6" s="1"/>
  <c r="T48" i="6"/>
  <c r="V48" i="6" s="1"/>
  <c r="T40" i="6"/>
  <c r="V40" i="6" s="1"/>
  <c r="T32" i="6"/>
  <c r="V32" i="6" s="1"/>
  <c r="T24" i="6"/>
  <c r="V24" i="6" s="1"/>
  <c r="T16" i="6"/>
  <c r="V16" i="6" s="1"/>
  <c r="T8" i="6"/>
  <c r="V8" i="6" s="1"/>
  <c r="T243" i="6"/>
  <c r="V243" i="6" s="1"/>
  <c r="T235" i="6"/>
  <c r="V235" i="6" s="1"/>
  <c r="T227" i="6"/>
  <c r="V227" i="6" s="1"/>
  <c r="T219" i="6"/>
  <c r="V219" i="6" s="1"/>
  <c r="T211" i="6"/>
  <c r="V211" i="6" s="1"/>
  <c r="T203" i="6"/>
  <c r="V203" i="6" s="1"/>
  <c r="T195" i="6"/>
  <c r="V195" i="6" s="1"/>
  <c r="T187" i="6"/>
  <c r="V187" i="6" s="1"/>
  <c r="T179" i="6"/>
  <c r="V179" i="6" s="1"/>
  <c r="T171" i="6"/>
  <c r="V171" i="6" s="1"/>
  <c r="T163" i="6"/>
  <c r="V163" i="6" s="1"/>
  <c r="T155" i="6"/>
  <c r="V155" i="6" s="1"/>
  <c r="T147" i="6"/>
  <c r="V147" i="6" s="1"/>
  <c r="T139" i="6"/>
  <c r="V139" i="6" s="1"/>
  <c r="T131" i="6"/>
  <c r="V131" i="6" s="1"/>
  <c r="T123" i="6"/>
  <c r="V123" i="6" s="1"/>
  <c r="T115" i="6"/>
  <c r="V115" i="6" s="1"/>
  <c r="T107" i="6"/>
  <c r="V107" i="6" s="1"/>
  <c r="T99" i="6"/>
  <c r="V99" i="6" s="1"/>
  <c r="T91" i="6"/>
  <c r="V91" i="6" s="1"/>
  <c r="T83" i="6"/>
  <c r="V83" i="6" s="1"/>
  <c r="T75" i="6"/>
  <c r="V75" i="6" s="1"/>
  <c r="T67" i="6"/>
  <c r="V67" i="6" s="1"/>
  <c r="T59" i="6"/>
  <c r="V59" i="6" s="1"/>
  <c r="T51" i="6"/>
  <c r="V51" i="6" s="1"/>
  <c r="T43" i="6"/>
  <c r="V43" i="6" s="1"/>
  <c r="T35" i="6"/>
  <c r="V35" i="6" s="1"/>
  <c r="T27" i="6"/>
  <c r="V27" i="6" s="1"/>
  <c r="T19" i="6"/>
  <c r="V19" i="6" s="1"/>
  <c r="T11" i="6"/>
  <c r="V11" i="6" s="1"/>
  <c r="AB11" i="6"/>
  <c r="F12" i="7"/>
  <c r="G12" i="7" s="1"/>
  <c r="F599" i="8"/>
  <c r="F600" i="8" s="1"/>
  <c r="J486" i="4"/>
  <c r="K486" i="4"/>
  <c r="J470" i="4"/>
  <c r="K470" i="4"/>
  <c r="J454" i="4"/>
  <c r="K454" i="4"/>
  <c r="I49" i="9" l="1"/>
  <c r="I54" i="9" s="1"/>
  <c r="I65" i="9" s="1"/>
  <c r="C506" i="8"/>
  <c r="G505" i="8"/>
  <c r="L506" i="4"/>
  <c r="L505" i="4"/>
  <c r="L503" i="4"/>
  <c r="L504" i="4"/>
  <c r="C507" i="8" l="1"/>
  <c r="G506" i="8"/>
  <c r="L508" i="4"/>
  <c r="L509" i="4" s="1"/>
  <c r="L510" i="4" s="1"/>
  <c r="C508" i="8" l="1"/>
  <c r="G507" i="8"/>
  <c r="C509" i="8" l="1"/>
  <c r="G508" i="8"/>
  <c r="C510" i="8" l="1"/>
  <c r="G509" i="8"/>
  <c r="C511" i="8" l="1"/>
  <c r="G510" i="8"/>
  <c r="C512" i="8" l="1"/>
  <c r="G511" i="8"/>
  <c r="C513" i="8" l="1"/>
  <c r="G512" i="8"/>
  <c r="C514" i="8" l="1"/>
  <c r="G513" i="8"/>
  <c r="C515" i="8" l="1"/>
  <c r="G514" i="8"/>
  <c r="C516" i="8" l="1"/>
  <c r="G515" i="8"/>
  <c r="C517" i="8" l="1"/>
  <c r="G516" i="8"/>
  <c r="C518" i="8" l="1"/>
  <c r="G517" i="8"/>
  <c r="C519" i="8" l="1"/>
  <c r="G518" i="8"/>
  <c r="C520" i="8" l="1"/>
  <c r="G519" i="8"/>
  <c r="C521" i="8" l="1"/>
  <c r="G520" i="8"/>
  <c r="C522" i="8" l="1"/>
  <c r="G521" i="8"/>
  <c r="C523" i="8" l="1"/>
  <c r="G522" i="8"/>
  <c r="C524" i="8" l="1"/>
  <c r="G523" i="8"/>
  <c r="C525" i="8" l="1"/>
  <c r="G524" i="8"/>
  <c r="C526" i="8" l="1"/>
  <c r="G525" i="8"/>
  <c r="C527" i="8" l="1"/>
  <c r="G526" i="8"/>
  <c r="C528" i="8" l="1"/>
  <c r="G527" i="8"/>
  <c r="C529" i="8" l="1"/>
  <c r="G528" i="8"/>
  <c r="C530" i="8" l="1"/>
  <c r="G529" i="8"/>
  <c r="C531" i="8" l="1"/>
  <c r="G530" i="8"/>
  <c r="C532" i="8" l="1"/>
  <c r="G531" i="8"/>
  <c r="C533" i="8" l="1"/>
  <c r="G532" i="8"/>
  <c r="C534" i="8" l="1"/>
  <c r="G533" i="8"/>
  <c r="C535" i="8" l="1"/>
  <c r="G534" i="8"/>
  <c r="C536" i="8" l="1"/>
  <c r="G535" i="8"/>
  <c r="C537" i="8" l="1"/>
  <c r="G536" i="8"/>
  <c r="C538" i="8" l="1"/>
  <c r="G537" i="8"/>
  <c r="C539" i="8" l="1"/>
  <c r="G538" i="8"/>
  <c r="C540" i="8" l="1"/>
  <c r="G539" i="8"/>
  <c r="C541" i="8" l="1"/>
  <c r="G540" i="8"/>
  <c r="C542" i="8" l="1"/>
  <c r="G541" i="8"/>
  <c r="C543" i="8" l="1"/>
  <c r="G542" i="8"/>
  <c r="C544" i="8" l="1"/>
  <c r="G543" i="8"/>
  <c r="C545" i="8" l="1"/>
  <c r="G544" i="8"/>
  <c r="C546" i="8" l="1"/>
  <c r="G545" i="8"/>
  <c r="C547" i="8" l="1"/>
  <c r="G546" i="8"/>
  <c r="C548" i="8" l="1"/>
  <c r="G547" i="8"/>
  <c r="C549" i="8" l="1"/>
  <c r="G548" i="8"/>
  <c r="C550" i="8" l="1"/>
  <c r="G549" i="8"/>
  <c r="C551" i="8" l="1"/>
  <c r="G550" i="8"/>
  <c r="C552" i="8" l="1"/>
  <c r="G551" i="8"/>
  <c r="C553" i="8" l="1"/>
  <c r="G552" i="8"/>
  <c r="C554" i="8" l="1"/>
  <c r="G553" i="8"/>
  <c r="C555" i="8" l="1"/>
  <c r="G554" i="8"/>
  <c r="C556" i="8" l="1"/>
  <c r="G555" i="8"/>
  <c r="C557" i="8" l="1"/>
  <c r="G556" i="8"/>
  <c r="C558" i="8" l="1"/>
  <c r="G557" i="8"/>
  <c r="C559" i="8" l="1"/>
  <c r="G558" i="8"/>
  <c r="C560" i="8" l="1"/>
  <c r="G559" i="8"/>
  <c r="C561" i="8" l="1"/>
  <c r="G560" i="8"/>
  <c r="C562" i="8" l="1"/>
  <c r="G561" i="8"/>
  <c r="C563" i="8" l="1"/>
  <c r="G562" i="8"/>
  <c r="C564" i="8" l="1"/>
  <c r="G563" i="8"/>
  <c r="C565" i="8" l="1"/>
  <c r="G564" i="8"/>
  <c r="C566" i="8" l="1"/>
  <c r="G565" i="8"/>
  <c r="C567" i="8" l="1"/>
  <c r="G566" i="8"/>
  <c r="C568" i="8" l="1"/>
  <c r="G567" i="8"/>
  <c r="C569" i="8" l="1"/>
  <c r="G568" i="8"/>
  <c r="C570" i="8" l="1"/>
  <c r="G569" i="8"/>
  <c r="C571" i="8" l="1"/>
  <c r="G570" i="8"/>
  <c r="C572" i="8" l="1"/>
  <c r="G571" i="8"/>
  <c r="C573" i="8" l="1"/>
  <c r="G572" i="8"/>
  <c r="C574" i="8" l="1"/>
  <c r="G573" i="8"/>
  <c r="C575" i="8" l="1"/>
  <c r="G574" i="8"/>
  <c r="C576" i="8" l="1"/>
  <c r="G575" i="8"/>
  <c r="C577" i="8" l="1"/>
  <c r="G576" i="8"/>
  <c r="C578" i="8" l="1"/>
  <c r="G577" i="8"/>
  <c r="C579" i="8" l="1"/>
  <c r="G578" i="8"/>
  <c r="C580" i="8" l="1"/>
  <c r="G579" i="8"/>
  <c r="C581" i="8" l="1"/>
  <c r="G580" i="8"/>
  <c r="C582" i="8" l="1"/>
  <c r="G581" i="8"/>
  <c r="C583" i="8" l="1"/>
  <c r="G582" i="8"/>
  <c r="C584" i="8" l="1"/>
  <c r="G583" i="8"/>
  <c r="C585" i="8" l="1"/>
  <c r="G584" i="8"/>
  <c r="C586" i="8" l="1"/>
  <c r="G585" i="8"/>
  <c r="C587" i="8" l="1"/>
  <c r="G586" i="8"/>
  <c r="C588" i="8" l="1"/>
  <c r="G587" i="8"/>
  <c r="C589" i="8" l="1"/>
  <c r="G588" i="8"/>
  <c r="C590" i="8" l="1"/>
  <c r="G589" i="8"/>
  <c r="C591" i="8" l="1"/>
  <c r="G590" i="8"/>
  <c r="C592" i="8" l="1"/>
  <c r="G591" i="8"/>
  <c r="C593" i="8" l="1"/>
  <c r="G592" i="8"/>
  <c r="C594" i="8" l="1"/>
  <c r="G593" i="8"/>
  <c r="C595" i="8" l="1"/>
  <c r="G594" i="8"/>
  <c r="C596" i="8" l="1"/>
  <c r="G595" i="8"/>
  <c r="C597" i="8" l="1"/>
  <c r="G596" i="8"/>
  <c r="C598" i="8" l="1"/>
  <c r="G597" i="8"/>
  <c r="C599" i="8" l="1"/>
  <c r="G599" i="8" s="1"/>
  <c r="G598" i="8"/>
  <c r="C600" i="8" l="1"/>
  <c r="G600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<sst xmlns="http://schemas.openxmlformats.org/spreadsheetml/2006/main" count="201" uniqueCount="102">
  <si>
    <t>Exch Rate</t>
  </si>
  <si>
    <t>Adjusted</t>
  </si>
  <si>
    <t>Consecutivo</t>
  </si>
  <si>
    <t>Fecha</t>
  </si>
  <si>
    <t>DJIA</t>
  </si>
  <si>
    <t>FTSE-100</t>
  </si>
  <si>
    <t>USD/GBP</t>
  </si>
  <si>
    <t>FTSE-500</t>
  </si>
  <si>
    <t>CAC-40</t>
  </si>
  <si>
    <t>EUR/USD</t>
  </si>
  <si>
    <t>Nikkei</t>
  </si>
  <si>
    <t>YEN/USD</t>
  </si>
  <si>
    <t>Scenario</t>
  </si>
  <si>
    <t>FTSE 100</t>
  </si>
  <si>
    <t>CAC 40</t>
  </si>
  <si>
    <t>Nikkei 225</t>
  </si>
  <si>
    <r>
      <rPr>
        <b/>
        <sz val="11"/>
        <color theme="1"/>
        <rFont val="Symbol"/>
        <family val="1"/>
        <charset val="2"/>
      </rPr>
      <t xml:space="preserve">P </t>
    </r>
    <r>
      <rPr>
        <b/>
        <vertAlign val="subscript"/>
        <sz val="11"/>
        <color theme="1"/>
        <rFont val="Calibri"/>
        <family val="2"/>
        <scheme val="minor"/>
      </rPr>
      <t>t+1</t>
    </r>
    <r>
      <rPr>
        <b/>
        <sz val="11"/>
        <color theme="1"/>
        <rFont val="Calibri"/>
        <family val="1"/>
        <charset val="2"/>
        <scheme val="minor"/>
      </rPr>
      <t xml:space="preserve"> </t>
    </r>
  </si>
  <si>
    <r>
      <rPr>
        <sz val="11"/>
        <color theme="1"/>
        <rFont val="Symbol"/>
        <family val="1"/>
        <charset val="2"/>
      </rPr>
      <t>DP</t>
    </r>
    <r>
      <rPr>
        <sz val="11"/>
        <color theme="1"/>
        <rFont val="Calibri"/>
        <family val="2"/>
        <scheme val="minor"/>
      </rPr>
      <t xml:space="preserve"> al 26/09/08</t>
    </r>
  </si>
  <si>
    <r>
      <rPr>
        <sz val="11"/>
        <color theme="1"/>
        <rFont val="Symbol"/>
        <family val="1"/>
        <charset val="2"/>
      </rPr>
      <t>DP%</t>
    </r>
    <r>
      <rPr>
        <sz val="11"/>
        <color theme="1"/>
        <rFont val="Calibri"/>
        <family val="2"/>
        <scheme val="minor"/>
      </rPr>
      <t xml:space="preserve"> al 26/09/08</t>
    </r>
  </si>
  <si>
    <r>
      <rPr>
        <b/>
        <sz val="11"/>
        <color theme="1"/>
        <rFont val="Symbol"/>
        <family val="1"/>
        <charset val="2"/>
      </rPr>
      <t xml:space="preserve">P </t>
    </r>
    <r>
      <rPr>
        <b/>
        <vertAlign val="subscript"/>
        <sz val="11"/>
        <color theme="1"/>
        <rFont val="Calibri"/>
        <family val="2"/>
        <scheme val="minor"/>
      </rPr>
      <t xml:space="preserve">t </t>
    </r>
    <r>
      <rPr>
        <b/>
        <sz val="11"/>
        <color theme="1"/>
        <rFont val="Calibri"/>
        <family val="1"/>
        <charset val="2"/>
        <scheme val="minor"/>
      </rPr>
      <t xml:space="preserve"> </t>
    </r>
  </si>
  <si>
    <t>CAC40</t>
  </si>
  <si>
    <t>Investments</t>
  </si>
  <si>
    <t xml:space="preserve">  </t>
  </si>
  <si>
    <t>Clase</t>
  </si>
  <si>
    <t>Frecuencia</t>
  </si>
  <si>
    <t>y mayor...</t>
  </si>
  <si>
    <t>Mean</t>
  </si>
  <si>
    <t>SD</t>
  </si>
  <si>
    <t>Skewness</t>
  </si>
  <si>
    <t>Kurtosis</t>
  </si>
  <si>
    <t>x</t>
  </si>
  <si>
    <t>f(x)</t>
  </si>
  <si>
    <t>Std Error</t>
  </si>
  <si>
    <r>
      <t xml:space="preserve">Ganancias/Pérdidas del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 xml:space="preserve"> al 26/09/08</t>
    </r>
  </si>
  <si>
    <t>Confianza =</t>
  </si>
  <si>
    <t>Cuantil =</t>
  </si>
  <si>
    <r>
      <t>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(USD) =</t>
    </r>
  </si>
  <si>
    <r>
      <t>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) =</t>
    </r>
  </si>
  <si>
    <r>
      <t>CVaR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(USD) =</t>
    </r>
  </si>
  <si>
    <r>
      <t>CVaR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) =</t>
    </r>
  </si>
  <si>
    <t>N =</t>
  </si>
  <si>
    <r>
      <t>VaR</t>
    </r>
    <r>
      <rPr>
        <vertAlign val="subscript"/>
        <sz val="11"/>
        <color theme="1"/>
        <rFont val="Calibri"/>
        <family val="2"/>
        <scheme val="minor"/>
      </rPr>
      <t>99%, 10 días</t>
    </r>
    <r>
      <rPr>
        <sz val="11"/>
        <color theme="1"/>
        <rFont val="Calibri"/>
        <family val="2"/>
        <scheme val="minor"/>
      </rPr>
      <t xml:space="preserve"> =</t>
    </r>
  </si>
  <si>
    <r>
      <t>VaR</t>
    </r>
    <r>
      <rPr>
        <vertAlign val="subscript"/>
        <sz val="11"/>
        <color theme="1"/>
        <rFont val="Calibri"/>
        <family val="2"/>
        <scheme val="minor"/>
      </rPr>
      <t>99%, 10 días</t>
    </r>
    <r>
      <rPr>
        <sz val="11"/>
        <color theme="1"/>
        <rFont val="Calibri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) =</t>
    </r>
  </si>
  <si>
    <t>Aplicación regulatoria:</t>
  </si>
  <si>
    <r>
      <t>Capital</t>
    </r>
    <r>
      <rPr>
        <vertAlign val="subscript"/>
        <sz val="11"/>
        <color theme="1"/>
        <rFont val="Calibri"/>
        <family val="2"/>
        <scheme val="minor"/>
      </rPr>
      <t>Riesgo de mercado</t>
    </r>
    <r>
      <rPr>
        <sz val="11"/>
        <color theme="1"/>
        <rFont val="Calibri"/>
        <family val="2"/>
        <scheme val="minor"/>
      </rPr>
      <t xml:space="preserve"> (USD) =</t>
    </r>
  </si>
  <si>
    <r>
      <t>Capital</t>
    </r>
    <r>
      <rPr>
        <vertAlign val="subscript"/>
        <sz val="11"/>
        <color theme="1"/>
        <rFont val="Calibri"/>
        <family val="2"/>
        <scheme val="minor"/>
      </rPr>
      <t>Riesgo de mercado</t>
    </r>
    <r>
      <rPr>
        <sz val="11"/>
        <color theme="1"/>
        <rFont val="Calibri"/>
        <family val="2"/>
        <scheme val="minor"/>
      </rPr>
      <t xml:space="preserve"> (%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scheme val="minor"/>
      </rPr>
      <t>) =</t>
    </r>
  </si>
  <si>
    <t>Ojo: solo faltaría la ponderación por calidad crediticia de los activos en los que se invierten.</t>
  </si>
  <si>
    <t>m =</t>
  </si>
  <si>
    <t>Precios en t+1 simulados por MC</t>
  </si>
  <si>
    <t xml:space="preserve">Portfolio </t>
  </si>
  <si>
    <r>
      <t>s</t>
    </r>
    <r>
      <rPr>
        <b/>
        <vertAlign val="superscript"/>
        <sz val="11"/>
        <color rgb="FF000000"/>
        <rFont val="Symbol"/>
        <family val="1"/>
        <charset val="2"/>
      </rPr>
      <t>2</t>
    </r>
    <r>
      <rPr>
        <b/>
        <sz val="11"/>
        <color rgb="FF000000"/>
        <rFont val="Symbol"/>
        <family val="1"/>
        <charset val="2"/>
      </rPr>
      <t xml:space="preserve"> =</t>
    </r>
  </si>
  <si>
    <t>s =</t>
  </si>
  <si>
    <r>
      <rPr>
        <sz val="11"/>
        <color theme="1"/>
        <rFont val="Symbol"/>
        <family val="1"/>
        <charset val="2"/>
      </rPr>
      <t>P</t>
    </r>
    <r>
      <rPr>
        <vertAlign val="subscript"/>
        <sz val="11"/>
        <color theme="1"/>
        <rFont val="Calibri"/>
        <family val="2"/>
        <scheme val="minor"/>
      </rPr>
      <t>t+1</t>
    </r>
  </si>
  <si>
    <r>
      <rPr>
        <sz val="11"/>
        <color theme="1"/>
        <rFont val="Symbol"/>
        <family val="1"/>
        <charset val="2"/>
      </rPr>
      <t>DP</t>
    </r>
    <r>
      <rPr>
        <vertAlign val="subscript"/>
        <sz val="11"/>
        <color theme="1"/>
        <rFont val="Calibri"/>
        <family val="2"/>
        <scheme val="minor"/>
      </rPr>
      <t>t+1</t>
    </r>
  </si>
  <si>
    <r>
      <rPr>
        <sz val="11"/>
        <color theme="1"/>
        <rFont val="Symbol"/>
        <family val="1"/>
        <charset val="2"/>
      </rPr>
      <t>DP</t>
    </r>
    <r>
      <rPr>
        <vertAlign val="subscript"/>
        <sz val="11"/>
        <color theme="1"/>
        <rFont val="Calibri"/>
        <family val="2"/>
        <scheme val="minor"/>
      </rPr>
      <t>t+1</t>
    </r>
    <r>
      <rPr>
        <sz val="11"/>
        <color theme="1"/>
        <rFont val="Calibri"/>
        <family val="1"/>
        <charset val="2"/>
        <scheme val="minor"/>
      </rPr>
      <t xml:space="preserve"> (Ordenado)</t>
    </r>
  </si>
  <si>
    <r>
      <t>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=</t>
    </r>
  </si>
  <si>
    <r>
      <t>CVaR</t>
    </r>
    <r>
      <rPr>
        <vertAlign val="subscript"/>
        <sz val="11"/>
        <color theme="1"/>
        <rFont val="Calibri"/>
        <family val="2"/>
        <scheme val="minor"/>
      </rPr>
      <t>99%, 1 día</t>
    </r>
    <r>
      <rPr>
        <sz val="11"/>
        <color theme="1"/>
        <rFont val="Calibri"/>
        <family val="2"/>
        <scheme val="minor"/>
      </rPr>
      <t xml:space="preserve"> =</t>
    </r>
  </si>
  <si>
    <r>
      <t>Capital</t>
    </r>
    <r>
      <rPr>
        <vertAlign val="subscript"/>
        <sz val="11"/>
        <color theme="1"/>
        <rFont val="Calibri"/>
        <family val="2"/>
        <scheme val="minor"/>
      </rPr>
      <t>Riesgo de mercado</t>
    </r>
    <r>
      <rPr>
        <sz val="11"/>
        <color theme="1"/>
        <rFont val="Calibri"/>
        <family val="2"/>
        <scheme val="minor"/>
      </rPr>
      <t xml:space="preserve"> =</t>
    </r>
  </si>
  <si>
    <t>Yo</t>
  </si>
  <si>
    <t>P =</t>
  </si>
  <si>
    <t>Concepto</t>
  </si>
  <si>
    <t>Simulación Histórica
USD $</t>
  </si>
  <si>
    <r>
      <t>Simulación Histórica
%</t>
    </r>
    <r>
      <rPr>
        <sz val="11"/>
        <color theme="1"/>
        <rFont val="Symbol"/>
        <family val="1"/>
        <charset val="2"/>
      </rPr>
      <t>P</t>
    </r>
  </si>
  <si>
    <t>Monte Carlo
USD $</t>
  </si>
  <si>
    <r>
      <t>Monte Carlo
%</t>
    </r>
    <r>
      <rPr>
        <sz val="11"/>
        <color theme="1"/>
        <rFont val="Symbol"/>
        <family val="1"/>
        <charset val="2"/>
      </rPr>
      <t>P</t>
    </r>
  </si>
  <si>
    <t>.</t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</si>
  <si>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</si>
  <si>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Rendimientos diarios de los activos</t>
  </si>
  <si>
    <t>Matriz de correlaciones de los rendimientos de los activos</t>
  </si>
  <si>
    <r>
      <rPr>
        <sz val="11"/>
        <color theme="1"/>
        <rFont val="Symbol"/>
        <family val="1"/>
        <charset val="2"/>
      </rPr>
      <t>a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</si>
  <si>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t>Matriz de varianza-covarianza</t>
  </si>
  <si>
    <t>a</t>
  </si>
  <si>
    <t>1. Determinar el valor de la varianza del portafolio</t>
  </si>
  <si>
    <r>
      <rPr>
        <sz val="11"/>
        <color theme="1"/>
        <rFont val="Symbol"/>
        <family val="1"/>
        <charset val="2"/>
      </rPr>
      <t>s</t>
    </r>
    <r>
      <rPr>
        <vertAlign val="superscript"/>
        <sz val="11"/>
        <color theme="1"/>
        <rFont val="Calibri"/>
        <family val="2"/>
        <scheme val="minor"/>
      </rPr>
      <t>2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</t>
    </r>
  </si>
  <si>
    <t>2. Determinar la volatilidad del portafolio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</si>
  <si>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=</t>
    </r>
  </si>
  <si>
    <t>3. Determinar el cuantil bajo normalidad al alfa% de confianza:</t>
  </si>
  <si>
    <t xml:space="preserve">  =</t>
  </si>
  <si>
    <t>a =</t>
  </si>
  <si>
    <r>
      <t>Z</t>
    </r>
    <r>
      <rPr>
        <vertAlign val="subscript"/>
        <sz val="11"/>
        <color theme="1"/>
        <rFont val="Calibri"/>
        <family val="2"/>
        <scheme val="minor"/>
      </rPr>
      <t>1-</t>
    </r>
    <r>
      <rPr>
        <vertAlign val="subscript"/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 xml:space="preserve"> = </t>
    </r>
  </si>
  <si>
    <t>4. Determinar el VaR a 1 día al nivel alfa% de confianza:</t>
  </si>
  <si>
    <r>
      <t>VaR</t>
    </r>
    <r>
      <rPr>
        <vertAlign val="subscript"/>
        <sz val="11"/>
        <color theme="1"/>
        <rFont val="Calibri"/>
        <family val="2"/>
        <scheme val="minor"/>
      </rPr>
      <t>1 día</t>
    </r>
    <r>
      <rPr>
        <sz val="11"/>
        <color theme="1"/>
        <rFont val="Calibri"/>
        <family val="2"/>
        <scheme val="minor"/>
      </rPr>
      <t xml:space="preserve"> =</t>
    </r>
  </si>
  <si>
    <t>5. Determinar el VaR a 10 días al nivel alfa% de confianza:</t>
  </si>
  <si>
    <r>
      <t>VaR</t>
    </r>
    <r>
      <rPr>
        <vertAlign val="subscript"/>
        <sz val="11"/>
        <color theme="1"/>
        <rFont val="Calibri"/>
        <family val="2"/>
        <scheme val="minor"/>
      </rPr>
      <t>10 días</t>
    </r>
    <r>
      <rPr>
        <sz val="11"/>
        <color theme="1"/>
        <rFont val="Calibri"/>
        <family val="2"/>
        <scheme val="minor"/>
      </rPr>
      <t xml:space="preserve"> =</t>
    </r>
  </si>
  <si>
    <t>6. Determinar el CVaR a 1 día al nivel alfa% de confianza:</t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</si>
  <si>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(z*) =</t>
    </r>
  </si>
  <si>
    <r>
      <rPr>
        <sz val="11"/>
        <color theme="1"/>
        <rFont val="Symbol"/>
        <family val="1"/>
        <charset val="2"/>
      </rPr>
      <t>F</t>
    </r>
    <r>
      <rPr>
        <sz val="11"/>
        <color theme="1"/>
        <rFont val="Calibri"/>
        <family val="2"/>
        <scheme val="minor"/>
      </rPr>
      <t>(z*) =</t>
    </r>
  </si>
  <si>
    <r>
      <t>CVaR</t>
    </r>
    <r>
      <rPr>
        <vertAlign val="subscript"/>
        <sz val="11"/>
        <color theme="1"/>
        <rFont val="Calibri"/>
        <family val="2"/>
        <scheme val="minor"/>
      </rPr>
      <t>1 día</t>
    </r>
    <r>
      <rPr>
        <sz val="11"/>
        <color theme="1"/>
        <rFont val="Calibri"/>
        <family val="2"/>
        <scheme val="minor"/>
      </rPr>
      <t xml:space="preserve"> =</t>
    </r>
  </si>
  <si>
    <t>7. Determinar el nivel de capital de este portafolio, previo a su ponderación de riesgo</t>
  </si>
  <si>
    <t>Capital =</t>
  </si>
  <si>
    <t>8. Completar el cuadro de reporte</t>
  </si>
  <si>
    <t>Bin</t>
  </si>
  <si>
    <t>More</t>
  </si>
  <si>
    <t>Frequency</t>
  </si>
  <si>
    <t>Ochoa</t>
  </si>
  <si>
    <t>Jimenez</t>
  </si>
  <si>
    <t>Rafa</t>
  </si>
  <si>
    <t>Palomares</t>
  </si>
  <si>
    <t>Paramétrico
USD $</t>
  </si>
  <si>
    <r>
      <t>Paramétricio
%</t>
    </r>
    <r>
      <rPr>
        <sz val="11"/>
        <color theme="1"/>
        <rFont val="Symbol"/>
        <family val="1"/>
        <charset val="2"/>
      </rPr>
      <t>P</t>
    </r>
  </si>
  <si>
    <t>Valor en Riesgo, al 25 de septiembre de 2008</t>
  </si>
  <si>
    <r>
      <t xml:space="preserve">Lambda = </t>
    </r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</si>
</sst>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_-;\-* #,##0.0_-;_-* &quot;-&quot;??_-;_-@_-"/>
    <numFmt numFmtId="167" formatCode="_-* #,##0_-;\-* #,##0_-;_-* &quot;-&quot;??_-;_-@_-"/>
    <numFmt numFmtId="168" formatCode="0.000"/>
    <numFmt numFmtId="169" formatCode="0.0000000"/>
    <numFmt numFmtId="170" formatCode="0.0000%"/>
    <numFmt numFmtId="171" formatCode="_-* #,##0.000000_-;\-* #,##0.000000_-;_-* &quot;-&quot;??_-;_-@_-"/>
    <numFmt numFmtId="172" formatCode="_-&quot;$&quot;* #,##0_-;\-&quot;$&quot;* #,##0_-;_-&quot;$&quot;* &quot;-&quot;??_-;_-@_-"/>
    <numFmt numFmtId="173" formatCode="_-* #,##0.00000000_-;\-* #,##0.00000000_-;_-* &quot;-&quot;??_-;_-@_-"/>
    <numFmt numFmtId="174" formatCode="_-* #,##0.0000000000_-;\-* #,##0.0000000000_-;_-* &quot;-&quot;??_-;_-@_-"/>
    <numFmt numFmtId="175" formatCode="_-* #,##0.0000_-;\-* #,##0.0000_-;_-* &quot;-&quot;??_-;_-@_-"/>
    <numFmt numFmtId="176" formatCode="0.000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ymbol"/>
      <family val="1"/>
      <charset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rgb="FF000000"/>
      <name val="Symbol"/>
      <family val="1"/>
      <charset val="2"/>
    </font>
    <font>
      <b/>
      <vertAlign val="superscript"/>
      <sz val="11"/>
      <color rgb="FF000000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Symbol"/>
      <family val="1"/>
      <charset val="2"/>
    </font>
    <font>
      <b/>
      <sz val="11"/>
      <color theme="1"/>
      <name val="Calibri"/>
      <family val="1"/>
      <charset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6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2" fontId="18" fillId="33" borderId="0" xfId="0" applyNumberFormat="1" applyFont="1" applyFill="1" applyAlignment="1">
      <alignment horizontal="center"/>
    </xf>
    <xf numFmtId="0" fontId="19" fillId="0" borderId="0" xfId="0" applyFont="1"/>
    <xf numFmtId="0" fontId="0" fillId="33" borderId="0" xfId="0" applyFill="1"/>
    <xf numFmtId="2" fontId="19" fillId="33" borderId="0" xfId="0" applyNumberFormat="1" applyFont="1" applyFill="1"/>
    <xf numFmtId="15" fontId="0" fillId="0" borderId="0" xfId="0" applyNumberFormat="1" applyAlignment="1">
      <alignment horizontal="right"/>
    </xf>
    <xf numFmtId="0" fontId="1" fillId="0" borderId="0" xfId="43" applyAlignment="1">
      <alignment horizontal="right" wrapText="1"/>
    </xf>
    <xf numFmtId="0" fontId="0" fillId="0" borderId="0" xfId="0" applyAlignment="1">
      <alignment horizontal="right" wrapText="1"/>
    </xf>
    <xf numFmtId="166" fontId="0" fillId="33" borderId="0" xfId="1" applyNumberFormat="1" applyFont="1" applyFill="1"/>
    <xf numFmtId="166" fontId="0" fillId="0" borderId="0" xfId="1" applyNumberFormat="1" applyFont="1"/>
    <xf numFmtId="167" fontId="0" fillId="0" borderId="0" xfId="1" applyNumberFormat="1" applyFont="1"/>
    <xf numFmtId="166" fontId="19" fillId="33" borderId="0" xfId="1" applyNumberFormat="1" applyFont="1" applyFill="1"/>
    <xf numFmtId="168" fontId="0" fillId="0" borderId="0" xfId="0" applyNumberFormat="1" applyAlignment="1">
      <alignment horizontal="center"/>
    </xf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0" fontId="0" fillId="33" borderId="11" xfId="0" applyFill="1" applyBorder="1"/>
    <xf numFmtId="166" fontId="0" fillId="33" borderId="0" xfId="1" applyNumberFormat="1" applyFont="1" applyFill="1" applyBorder="1"/>
    <xf numFmtId="166" fontId="0" fillId="0" borderId="0" xfId="1" applyNumberFormat="1" applyFont="1" applyBorder="1"/>
    <xf numFmtId="0" fontId="0" fillId="0" borderId="13" xfId="0" applyBorder="1"/>
    <xf numFmtId="0" fontId="21" fillId="0" borderId="14" xfId="0" applyFont="1" applyBorder="1" applyAlignment="1">
      <alignment horizontal="center"/>
    </xf>
    <xf numFmtId="167" fontId="0" fillId="0" borderId="0" xfId="0" applyNumberFormat="1"/>
    <xf numFmtId="0" fontId="16" fillId="0" borderId="0" xfId="0" applyFont="1" applyAlignment="1">
      <alignment horizontal="center"/>
    </xf>
    <xf numFmtId="165" fontId="0" fillId="0" borderId="0" xfId="0" applyNumberFormat="1"/>
    <xf numFmtId="10" fontId="0" fillId="0" borderId="0" xfId="44" applyNumberFormat="1" applyFont="1"/>
    <xf numFmtId="168" fontId="22" fillId="0" borderId="0" xfId="0" applyNumberFormat="1" applyFont="1" applyAlignment="1">
      <alignment horizontal="center"/>
    </xf>
    <xf numFmtId="10" fontId="0" fillId="0" borderId="0" xfId="44" applyNumberFormat="1" applyFont="1" applyFill="1" applyBorder="1" applyAlignment="1"/>
    <xf numFmtId="2" fontId="16" fillId="0" borderId="0" xfId="0" applyNumberFormat="1" applyFont="1" applyAlignment="1">
      <alignment horizontal="center"/>
    </xf>
    <xf numFmtId="167" fontId="0" fillId="33" borderId="0" xfId="1" applyNumberFormat="1" applyFont="1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18" fillId="0" borderId="0" xfId="0" applyNumberFormat="1" applyFont="1" applyAlignment="1">
      <alignment horizontal="center"/>
    </xf>
    <xf numFmtId="2" fontId="19" fillId="0" borderId="0" xfId="0" applyNumberFormat="1" applyFont="1"/>
    <xf numFmtId="166" fontId="0" fillId="0" borderId="0" xfId="1" applyNumberFormat="1" applyFont="1" applyFill="1"/>
    <xf numFmtId="166" fontId="19" fillId="0" borderId="0" xfId="1" applyNumberFormat="1" applyFont="1" applyFill="1"/>
    <xf numFmtId="0" fontId="16" fillId="33" borderId="10" xfId="0" applyFont="1" applyFill="1" applyBorder="1" applyAlignment="1">
      <alignment horizontal="center"/>
    </xf>
    <xf numFmtId="15" fontId="16" fillId="33" borderId="11" xfId="0" applyNumberFormat="1" applyFont="1" applyFill="1" applyBorder="1" applyAlignment="1">
      <alignment horizontal="right"/>
    </xf>
    <xf numFmtId="166" fontId="16" fillId="33" borderId="11" xfId="1" applyNumberFormat="1" applyFont="1" applyFill="1" applyBorder="1"/>
    <xf numFmtId="166" fontId="18" fillId="33" borderId="11" xfId="1" applyNumberFormat="1" applyFont="1" applyFill="1" applyBorder="1"/>
    <xf numFmtId="166" fontId="18" fillId="33" borderId="12" xfId="1" applyNumberFormat="1" applyFont="1" applyFill="1" applyBorder="1"/>
    <xf numFmtId="0" fontId="22" fillId="0" borderId="0" xfId="0" applyFont="1" applyAlignment="1">
      <alignment horizontal="center"/>
    </xf>
    <xf numFmtId="167" fontId="0" fillId="0" borderId="0" xfId="1" applyNumberFormat="1" applyFont="1" applyFill="1"/>
    <xf numFmtId="10" fontId="0" fillId="0" borderId="0" xfId="0" applyNumberFormat="1"/>
    <xf numFmtId="0" fontId="24" fillId="0" borderId="15" xfId="0" applyFont="1" applyBorder="1" applyAlignment="1">
      <alignment horizontal="center"/>
    </xf>
    <xf numFmtId="170" fontId="0" fillId="0" borderId="16" xfId="0" applyNumberFormat="1" applyBorder="1" applyAlignment="1">
      <alignment horizontal="center"/>
    </xf>
    <xf numFmtId="170" fontId="0" fillId="0" borderId="17" xfId="0" applyNumberFormat="1" applyBorder="1" applyAlignment="1">
      <alignment horizontal="center"/>
    </xf>
    <xf numFmtId="2" fontId="25" fillId="0" borderId="18" xfId="0" applyNumberFormat="1" applyFont="1" applyBorder="1" applyAlignment="1">
      <alignment horizontal="center"/>
    </xf>
    <xf numFmtId="0" fontId="0" fillId="0" borderId="19" xfId="0" applyBorder="1"/>
    <xf numFmtId="0" fontId="24" fillId="0" borderId="20" xfId="0" applyFont="1" applyBorder="1" applyAlignment="1">
      <alignment horizontal="center"/>
    </xf>
    <xf numFmtId="0" fontId="0" fillId="0" borderId="21" xfId="0" applyBorder="1"/>
    <xf numFmtId="0" fontId="0" fillId="0" borderId="18" xfId="0" applyBorder="1" applyAlignment="1">
      <alignment horizontal="right"/>
    </xf>
    <xf numFmtId="167" fontId="0" fillId="0" borderId="0" xfId="1" applyNumberFormat="1" applyFont="1" applyBorder="1"/>
    <xf numFmtId="10" fontId="0" fillId="0" borderId="0" xfId="44" applyNumberFormat="1" applyFont="1" applyBorder="1"/>
    <xf numFmtId="10" fontId="0" fillId="0" borderId="19" xfId="44" applyNumberFormat="1" applyFont="1" applyBorder="1"/>
    <xf numFmtId="0" fontId="0" fillId="0" borderId="20" xfId="0" applyBorder="1" applyAlignment="1">
      <alignment horizontal="right"/>
    </xf>
    <xf numFmtId="167" fontId="0" fillId="0" borderId="13" xfId="1" applyNumberFormat="1" applyFont="1" applyBorder="1"/>
    <xf numFmtId="10" fontId="0" fillId="0" borderId="13" xfId="44" applyNumberFormat="1" applyFont="1" applyBorder="1"/>
    <xf numFmtId="10" fontId="0" fillId="0" borderId="21" xfId="44" applyNumberFormat="1" applyFont="1" applyBorder="1"/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10" fontId="0" fillId="0" borderId="0" xfId="44" applyNumberFormat="1" applyFont="1" applyFill="1"/>
    <xf numFmtId="171" fontId="0" fillId="0" borderId="0" xfId="1" applyNumberFormat="1" applyFont="1" applyFill="1" applyBorder="1" applyAlignment="1"/>
    <xf numFmtId="171" fontId="0" fillId="0" borderId="13" xfId="1" applyNumberFormat="1" applyFont="1" applyFill="1" applyBorder="1" applyAlignment="1"/>
    <xf numFmtId="0" fontId="2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2" fillId="33" borderId="0" xfId="0" applyFont="1" applyFill="1" applyAlignment="1">
      <alignment horizontal="right"/>
    </xf>
    <xf numFmtId="0" fontId="21" fillId="33" borderId="14" xfId="0" applyFont="1" applyFill="1" applyBorder="1" applyAlignment="1">
      <alignment horizontal="center"/>
    </xf>
    <xf numFmtId="0" fontId="0" fillId="33" borderId="13" xfId="0" applyFill="1" applyBorder="1"/>
    <xf numFmtId="0" fontId="20" fillId="33" borderId="0" xfId="0" applyFont="1" applyFill="1" applyAlignment="1">
      <alignment horizontal="right"/>
    </xf>
    <xf numFmtId="9" fontId="0" fillId="0" borderId="0" xfId="0" applyNumberFormat="1"/>
    <xf numFmtId="0" fontId="0" fillId="33" borderId="10" xfId="0" applyFill="1" applyBorder="1"/>
    <xf numFmtId="0" fontId="0" fillId="33" borderId="12" xfId="0" applyFill="1" applyBorder="1"/>
    <xf numFmtId="167" fontId="0" fillId="33" borderId="11" xfId="1" applyNumberFormat="1" applyFont="1" applyFill="1" applyBorder="1" applyAlignment="1">
      <alignment horizontal="right"/>
    </xf>
    <xf numFmtId="14" fontId="0" fillId="0" borderId="0" xfId="0" applyNumberFormat="1"/>
    <xf numFmtId="165" fontId="0" fillId="33" borderId="11" xfId="1" applyFont="1" applyFill="1" applyBorder="1" applyAlignment="1">
      <alignment horizontal="right"/>
    </xf>
    <xf numFmtId="165" fontId="0" fillId="0" borderId="0" xfId="1" applyFont="1"/>
    <xf numFmtId="167" fontId="0" fillId="33" borderId="11" xfId="0" applyNumberFormat="1" applyFill="1" applyBorder="1"/>
    <xf numFmtId="165" fontId="0" fillId="33" borderId="11" xfId="0" applyNumberFormat="1" applyFill="1" applyBorder="1"/>
    <xf numFmtId="168" fontId="29" fillId="0" borderId="0" xfId="0" applyNumberFormat="1" applyFont="1" applyAlignment="1">
      <alignment horizontal="center"/>
    </xf>
    <xf numFmtId="168" fontId="29" fillId="0" borderId="15" xfId="0" applyNumberFormat="1" applyFont="1" applyBorder="1" applyAlignment="1">
      <alignment horizontal="center"/>
    </xf>
    <xf numFmtId="0" fontId="0" fillId="0" borderId="17" xfId="0" applyBorder="1"/>
    <xf numFmtId="0" fontId="0" fillId="0" borderId="20" xfId="0" applyBorder="1"/>
    <xf numFmtId="167" fontId="0" fillId="0" borderId="21" xfId="0" applyNumberFormat="1" applyBorder="1"/>
    <xf numFmtId="0" fontId="0" fillId="0" borderId="16" xfId="0" applyBorder="1" applyAlignment="1">
      <alignment horizontal="center"/>
    </xf>
    <xf numFmtId="166" fontId="0" fillId="0" borderId="0" xfId="1" applyNumberFormat="1" applyFont="1" applyFill="1" applyBorder="1"/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right"/>
    </xf>
    <xf numFmtId="10" fontId="0" fillId="0" borderId="17" xfId="44" applyNumberFormat="1" applyFont="1" applyBorder="1"/>
    <xf numFmtId="165" fontId="0" fillId="0" borderId="19" xfId="0" applyNumberFormat="1" applyBorder="1"/>
    <xf numFmtId="0" fontId="0" fillId="0" borderId="15" xfId="0" applyBorder="1" applyAlignment="1">
      <alignment horizontal="left"/>
    </xf>
    <xf numFmtId="167" fontId="0" fillId="0" borderId="0" xfId="1" applyNumberFormat="1" applyFont="1" applyFill="1" applyBorder="1" applyAlignment="1"/>
    <xf numFmtId="173" fontId="0" fillId="33" borderId="0" xfId="1" applyNumberFormat="1" applyFont="1" applyFill="1" applyBorder="1" applyAlignment="1"/>
    <xf numFmtId="173" fontId="0" fillId="33" borderId="13" xfId="1" applyNumberFormat="1" applyFont="1" applyFill="1" applyBorder="1" applyAlignment="1"/>
    <xf numFmtId="174" fontId="21" fillId="0" borderId="14" xfId="1" applyNumberFormat="1" applyFont="1" applyFill="1" applyBorder="1" applyAlignment="1">
      <alignment horizontal="center"/>
    </xf>
    <xf numFmtId="174" fontId="0" fillId="0" borderId="0" xfId="1" applyNumberFormat="1" applyFont="1" applyFill="1" applyBorder="1" applyAlignment="1"/>
    <xf numFmtId="174" fontId="0" fillId="0" borderId="13" xfId="1" applyNumberFormat="1" applyFont="1" applyFill="1" applyBorder="1" applyAlignment="1"/>
    <xf numFmtId="0" fontId="0" fillId="33" borderId="18" xfId="0" applyFill="1" applyBorder="1" applyAlignment="1">
      <alignment horizontal="right"/>
    </xf>
    <xf numFmtId="172" fontId="0" fillId="33" borderId="19" xfId="45" applyNumberFormat="1" applyFont="1" applyFill="1" applyBorder="1"/>
    <xf numFmtId="2" fontId="0" fillId="0" borderId="0" xfId="0" applyNumberFormat="1" applyAlignment="1">
      <alignment horizontal="right"/>
    </xf>
    <xf numFmtId="175" fontId="0" fillId="0" borderId="0" xfId="1" applyNumberFormat="1" applyFont="1"/>
    <xf numFmtId="176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" xfId="45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00000000-0005-0000-0000-000026000000}"/>
    <cellStyle name="Note" xfId="16" builtinId="10" customBuiltin="1"/>
    <cellStyle name="Output" xfId="11" builtinId="21" customBuiltin="1"/>
    <cellStyle name="Percent" xfId="44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solidFill>
              <a:schemeClr val="tx1"/>
            </a:solidFill>
            <a:ln>
              <a:noFill/>
            </a:ln>
          </c:spPr>
          <c:invertIfNegative val="0"/>
          <c:cat>
            <c:strRef>
              <c:f>Escenarios!$N$16:$N$38</c:f>
              <c:strCache>
                <c:ptCount val="23"/>
                <c:pt idx="0">
                  <c:v>-4.78%</c:v>
                </c:pt>
                <c:pt idx="1">
                  <c:v>-4.31%</c:v>
                </c:pt>
                <c:pt idx="2">
                  <c:v>-3.84%</c:v>
                </c:pt>
                <c:pt idx="3">
                  <c:v>-3.37%</c:v>
                </c:pt>
                <c:pt idx="4">
                  <c:v>-2.90%</c:v>
                </c:pt>
                <c:pt idx="5">
                  <c:v>-2.43%</c:v>
                </c:pt>
                <c:pt idx="6">
                  <c:v>-1.96%</c:v>
                </c:pt>
                <c:pt idx="7">
                  <c:v>-1.49%</c:v>
                </c:pt>
                <c:pt idx="8">
                  <c:v>-1.02%</c:v>
                </c:pt>
                <c:pt idx="9">
                  <c:v>-0.55%</c:v>
                </c:pt>
                <c:pt idx="10">
                  <c:v>-0.08%</c:v>
                </c:pt>
                <c:pt idx="11">
                  <c:v>0.39%</c:v>
                </c:pt>
                <c:pt idx="12">
                  <c:v>0.86%</c:v>
                </c:pt>
                <c:pt idx="13">
                  <c:v>1.33%</c:v>
                </c:pt>
                <c:pt idx="14">
                  <c:v>1.80%</c:v>
                </c:pt>
                <c:pt idx="15">
                  <c:v>2.27%</c:v>
                </c:pt>
                <c:pt idx="16">
                  <c:v>2.74%</c:v>
                </c:pt>
                <c:pt idx="17">
                  <c:v>3.21%</c:v>
                </c:pt>
                <c:pt idx="18">
                  <c:v>3.68%</c:v>
                </c:pt>
                <c:pt idx="19">
                  <c:v>4.15%</c:v>
                </c:pt>
                <c:pt idx="20">
                  <c:v>4.62%</c:v>
                </c:pt>
                <c:pt idx="21">
                  <c:v>5.09%</c:v>
                </c:pt>
                <c:pt idx="22">
                  <c:v>y mayor...</c:v>
                </c:pt>
              </c:strCache>
            </c:strRef>
          </c:cat>
          <c:val>
            <c:numRef>
              <c:f>Escenarios!$O$16:$O$38</c:f>
              <c:numCache>
                <c:formatCode>General</c:formatCode>
                <c:ptCount val="2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20</c:v>
                </c:pt>
                <c:pt idx="8">
                  <c:v>40</c:v>
                </c:pt>
                <c:pt idx="9">
                  <c:v>52</c:v>
                </c:pt>
                <c:pt idx="10">
                  <c:v>89</c:v>
                </c:pt>
                <c:pt idx="11">
                  <c:v>133</c:v>
                </c:pt>
                <c:pt idx="12">
                  <c:v>92</c:v>
                </c:pt>
                <c:pt idx="13">
                  <c:v>43</c:v>
                </c:pt>
                <c:pt idx="14">
                  <c:v>12</c:v>
                </c:pt>
                <c:pt idx="15">
                  <c:v>6</c:v>
                </c:pt>
                <c:pt idx="16">
                  <c:v>0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9-4C52-9B44-29187DD1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4080960"/>
        <c:axId val="1104064320"/>
      </c:barChart>
      <c:catAx>
        <c:axId val="110408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4064320"/>
        <c:crosses val="autoZero"/>
        <c:auto val="1"/>
        <c:lblAlgn val="ctr"/>
        <c:lblOffset val="100"/>
        <c:noMultiLvlLbl val="0"/>
      </c:catAx>
      <c:valAx>
        <c:axId val="1104064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40809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noFill/>
    </a:ln>
  </c:spPr>
  <c:txPr>
    <a:bodyPr/>
    <a:lstStyle/>
    <a:p>
      <a:pPr>
        <a:defRPr sz="8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tx1"/>
            </a:solidFill>
            <a:ln>
              <a:noFill/>
            </a:ln>
          </c:spPr>
          <c:invertIfNegative val="0"/>
          <c:cat>
            <c:strRef>
              <c:f>Escenarios!$N$49:$N$71</c:f>
              <c:strCache>
                <c:ptCount val="23"/>
                <c:pt idx="0">
                  <c:v>-477,841 </c:v>
                </c:pt>
                <c:pt idx="1">
                  <c:v>-430,858 </c:v>
                </c:pt>
                <c:pt idx="2">
                  <c:v>-383,874 </c:v>
                </c:pt>
                <c:pt idx="3">
                  <c:v>-336,891 </c:v>
                </c:pt>
                <c:pt idx="4">
                  <c:v>-289,907 </c:v>
                </c:pt>
                <c:pt idx="5">
                  <c:v>-242,924 </c:v>
                </c:pt>
                <c:pt idx="6">
                  <c:v>-195,940 </c:v>
                </c:pt>
                <c:pt idx="7">
                  <c:v>-148,957 </c:v>
                </c:pt>
                <c:pt idx="8">
                  <c:v>-101,973 </c:v>
                </c:pt>
                <c:pt idx="9">
                  <c:v>-54,990 </c:v>
                </c:pt>
                <c:pt idx="10">
                  <c:v>-8,006 </c:v>
                </c:pt>
                <c:pt idx="11">
                  <c:v> 38,977 </c:v>
                </c:pt>
                <c:pt idx="12">
                  <c:v> 85,961 </c:v>
                </c:pt>
                <c:pt idx="13">
                  <c:v> 132,944 </c:v>
                </c:pt>
                <c:pt idx="14">
                  <c:v> 179,928 </c:v>
                </c:pt>
                <c:pt idx="15">
                  <c:v> 226,911 </c:v>
                </c:pt>
                <c:pt idx="16">
                  <c:v> 273,895 </c:v>
                </c:pt>
                <c:pt idx="17">
                  <c:v> 320,878 </c:v>
                </c:pt>
                <c:pt idx="18">
                  <c:v> 367,862 </c:v>
                </c:pt>
                <c:pt idx="19">
                  <c:v> 414,845 </c:v>
                </c:pt>
                <c:pt idx="20">
                  <c:v> 461,828 </c:v>
                </c:pt>
                <c:pt idx="21">
                  <c:v> 508,812 </c:v>
                </c:pt>
                <c:pt idx="22">
                  <c:v>More</c:v>
                </c:pt>
              </c:strCache>
            </c:strRef>
          </c:cat>
          <c:val>
            <c:numRef>
              <c:f>Escenarios!$O$49:$O$71</c:f>
              <c:numCache>
                <c:formatCode>General</c:formatCode>
                <c:ptCount val="2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3</c:v>
                </c:pt>
                <c:pt idx="7">
                  <c:v>20</c:v>
                </c:pt>
                <c:pt idx="8">
                  <c:v>40</c:v>
                </c:pt>
                <c:pt idx="9">
                  <c:v>52</c:v>
                </c:pt>
                <c:pt idx="10">
                  <c:v>89</c:v>
                </c:pt>
                <c:pt idx="11">
                  <c:v>133</c:v>
                </c:pt>
                <c:pt idx="12">
                  <c:v>92</c:v>
                </c:pt>
                <c:pt idx="13">
                  <c:v>43</c:v>
                </c:pt>
                <c:pt idx="14">
                  <c:v>12</c:v>
                </c:pt>
                <c:pt idx="15">
                  <c:v>6</c:v>
                </c:pt>
                <c:pt idx="16">
                  <c:v>0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E-4E50-AE93-F2D6AE6D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685599"/>
        <c:axId val="1298085455"/>
      </c:barChart>
      <c:catAx>
        <c:axId val="876685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98085455"/>
        <c:crosses val="autoZero"/>
        <c:auto val="1"/>
        <c:lblAlgn val="ctr"/>
        <c:lblOffset val="100"/>
        <c:noMultiLvlLbl val="0"/>
      </c:catAx>
      <c:valAx>
        <c:axId val="12980854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76685599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 sz="8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'Simulación ST'!$C$2</c:f>
              <c:strCache>
                <c:ptCount val="1"/>
                <c:pt idx="0">
                  <c:v>DJIA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'Simulación ST'!$B$3:$B$600</c:f>
              <c:numCache>
                <c:formatCode>d\-mmm\-yy</c:formatCode>
                <c:ptCount val="598"/>
                <c:pt idx="0">
                  <c:v>38936</c:v>
                </c:pt>
                <c:pt idx="1">
                  <c:v>38937</c:v>
                </c:pt>
                <c:pt idx="2">
                  <c:v>38938</c:v>
                </c:pt>
                <c:pt idx="3">
                  <c:v>38939</c:v>
                </c:pt>
                <c:pt idx="4">
                  <c:v>38940</c:v>
                </c:pt>
                <c:pt idx="5">
                  <c:v>38943</c:v>
                </c:pt>
                <c:pt idx="6">
                  <c:v>38944</c:v>
                </c:pt>
                <c:pt idx="7">
                  <c:v>38945</c:v>
                </c:pt>
                <c:pt idx="8">
                  <c:v>38946</c:v>
                </c:pt>
                <c:pt idx="9">
                  <c:v>38947</c:v>
                </c:pt>
                <c:pt idx="10">
                  <c:v>38950</c:v>
                </c:pt>
                <c:pt idx="11">
                  <c:v>38951</c:v>
                </c:pt>
                <c:pt idx="12">
                  <c:v>38952</c:v>
                </c:pt>
                <c:pt idx="13">
                  <c:v>38953</c:v>
                </c:pt>
                <c:pt idx="14">
                  <c:v>38954</c:v>
                </c:pt>
                <c:pt idx="15">
                  <c:v>38958</c:v>
                </c:pt>
                <c:pt idx="16">
                  <c:v>38959</c:v>
                </c:pt>
                <c:pt idx="17">
                  <c:v>38960</c:v>
                </c:pt>
                <c:pt idx="18">
                  <c:v>38961</c:v>
                </c:pt>
                <c:pt idx="19">
                  <c:v>38965</c:v>
                </c:pt>
                <c:pt idx="20">
                  <c:v>38966</c:v>
                </c:pt>
                <c:pt idx="21">
                  <c:v>38967</c:v>
                </c:pt>
                <c:pt idx="22">
                  <c:v>38968</c:v>
                </c:pt>
                <c:pt idx="23">
                  <c:v>38971</c:v>
                </c:pt>
                <c:pt idx="24">
                  <c:v>38972</c:v>
                </c:pt>
                <c:pt idx="25">
                  <c:v>38973</c:v>
                </c:pt>
                <c:pt idx="26">
                  <c:v>38974</c:v>
                </c:pt>
                <c:pt idx="27">
                  <c:v>38975</c:v>
                </c:pt>
                <c:pt idx="28">
                  <c:v>38979</c:v>
                </c:pt>
                <c:pt idx="29">
                  <c:v>38980</c:v>
                </c:pt>
                <c:pt idx="30">
                  <c:v>38981</c:v>
                </c:pt>
                <c:pt idx="31">
                  <c:v>38982</c:v>
                </c:pt>
                <c:pt idx="32">
                  <c:v>38985</c:v>
                </c:pt>
                <c:pt idx="33">
                  <c:v>38986</c:v>
                </c:pt>
                <c:pt idx="34">
                  <c:v>38987</c:v>
                </c:pt>
                <c:pt idx="35">
                  <c:v>38988</c:v>
                </c:pt>
                <c:pt idx="36">
                  <c:v>38989</c:v>
                </c:pt>
                <c:pt idx="37">
                  <c:v>38992</c:v>
                </c:pt>
                <c:pt idx="38">
                  <c:v>38993</c:v>
                </c:pt>
                <c:pt idx="39">
                  <c:v>38994</c:v>
                </c:pt>
                <c:pt idx="40">
                  <c:v>38995</c:v>
                </c:pt>
                <c:pt idx="41">
                  <c:v>38996</c:v>
                </c:pt>
                <c:pt idx="42">
                  <c:v>39000</c:v>
                </c:pt>
                <c:pt idx="43">
                  <c:v>39001</c:v>
                </c:pt>
                <c:pt idx="44">
                  <c:v>39002</c:v>
                </c:pt>
                <c:pt idx="45">
                  <c:v>39003</c:v>
                </c:pt>
                <c:pt idx="46">
                  <c:v>39006</c:v>
                </c:pt>
                <c:pt idx="47">
                  <c:v>39007</c:v>
                </c:pt>
                <c:pt idx="48">
                  <c:v>39008</c:v>
                </c:pt>
                <c:pt idx="49">
                  <c:v>39009</c:v>
                </c:pt>
                <c:pt idx="50">
                  <c:v>39010</c:v>
                </c:pt>
                <c:pt idx="51">
                  <c:v>39013</c:v>
                </c:pt>
                <c:pt idx="52">
                  <c:v>39014</c:v>
                </c:pt>
                <c:pt idx="53">
                  <c:v>39015</c:v>
                </c:pt>
                <c:pt idx="54">
                  <c:v>39016</c:v>
                </c:pt>
                <c:pt idx="55">
                  <c:v>39017</c:v>
                </c:pt>
                <c:pt idx="56">
                  <c:v>39020</c:v>
                </c:pt>
                <c:pt idx="57">
                  <c:v>39021</c:v>
                </c:pt>
                <c:pt idx="58">
                  <c:v>39022</c:v>
                </c:pt>
                <c:pt idx="59">
                  <c:v>39023</c:v>
                </c:pt>
                <c:pt idx="60">
                  <c:v>39027</c:v>
                </c:pt>
                <c:pt idx="61">
                  <c:v>39028</c:v>
                </c:pt>
                <c:pt idx="62">
                  <c:v>39029</c:v>
                </c:pt>
                <c:pt idx="63">
                  <c:v>39030</c:v>
                </c:pt>
                <c:pt idx="64">
                  <c:v>39031</c:v>
                </c:pt>
                <c:pt idx="65">
                  <c:v>39034</c:v>
                </c:pt>
                <c:pt idx="66">
                  <c:v>39035</c:v>
                </c:pt>
                <c:pt idx="67">
                  <c:v>39036</c:v>
                </c:pt>
                <c:pt idx="68">
                  <c:v>39037</c:v>
                </c:pt>
                <c:pt idx="69">
                  <c:v>39038</c:v>
                </c:pt>
                <c:pt idx="70">
                  <c:v>39041</c:v>
                </c:pt>
                <c:pt idx="71">
                  <c:v>39042</c:v>
                </c:pt>
                <c:pt idx="72">
                  <c:v>39043</c:v>
                </c:pt>
                <c:pt idx="73">
                  <c:v>39045</c:v>
                </c:pt>
                <c:pt idx="74">
                  <c:v>39048</c:v>
                </c:pt>
                <c:pt idx="75">
                  <c:v>39049</c:v>
                </c:pt>
                <c:pt idx="76">
                  <c:v>39050</c:v>
                </c:pt>
                <c:pt idx="77">
                  <c:v>39051</c:v>
                </c:pt>
                <c:pt idx="78">
                  <c:v>39052</c:v>
                </c:pt>
                <c:pt idx="79">
                  <c:v>39055</c:v>
                </c:pt>
                <c:pt idx="80">
                  <c:v>39056</c:v>
                </c:pt>
                <c:pt idx="81">
                  <c:v>39057</c:v>
                </c:pt>
                <c:pt idx="82">
                  <c:v>39058</c:v>
                </c:pt>
                <c:pt idx="83">
                  <c:v>39059</c:v>
                </c:pt>
                <c:pt idx="84">
                  <c:v>39062</c:v>
                </c:pt>
                <c:pt idx="85">
                  <c:v>39063</c:v>
                </c:pt>
                <c:pt idx="86">
                  <c:v>39064</c:v>
                </c:pt>
                <c:pt idx="87">
                  <c:v>39065</c:v>
                </c:pt>
                <c:pt idx="88">
                  <c:v>39066</c:v>
                </c:pt>
                <c:pt idx="89">
                  <c:v>39069</c:v>
                </c:pt>
                <c:pt idx="90">
                  <c:v>39070</c:v>
                </c:pt>
                <c:pt idx="91">
                  <c:v>39071</c:v>
                </c:pt>
                <c:pt idx="92">
                  <c:v>39072</c:v>
                </c:pt>
                <c:pt idx="93">
                  <c:v>39073</c:v>
                </c:pt>
                <c:pt idx="94">
                  <c:v>39078</c:v>
                </c:pt>
                <c:pt idx="95">
                  <c:v>39079</c:v>
                </c:pt>
                <c:pt idx="96">
                  <c:v>39080</c:v>
                </c:pt>
                <c:pt idx="97">
                  <c:v>39086</c:v>
                </c:pt>
                <c:pt idx="98">
                  <c:v>39087</c:v>
                </c:pt>
                <c:pt idx="99">
                  <c:v>39091</c:v>
                </c:pt>
                <c:pt idx="100">
                  <c:v>39092</c:v>
                </c:pt>
                <c:pt idx="101">
                  <c:v>39093</c:v>
                </c:pt>
                <c:pt idx="102">
                  <c:v>39094</c:v>
                </c:pt>
                <c:pt idx="103">
                  <c:v>39098</c:v>
                </c:pt>
                <c:pt idx="104">
                  <c:v>39099</c:v>
                </c:pt>
                <c:pt idx="105">
                  <c:v>39100</c:v>
                </c:pt>
                <c:pt idx="106">
                  <c:v>39101</c:v>
                </c:pt>
                <c:pt idx="107">
                  <c:v>39104</c:v>
                </c:pt>
                <c:pt idx="108">
                  <c:v>39105</c:v>
                </c:pt>
                <c:pt idx="109">
                  <c:v>39106</c:v>
                </c:pt>
                <c:pt idx="110">
                  <c:v>39107</c:v>
                </c:pt>
                <c:pt idx="111">
                  <c:v>39108</c:v>
                </c:pt>
                <c:pt idx="112">
                  <c:v>39111</c:v>
                </c:pt>
                <c:pt idx="113">
                  <c:v>39112</c:v>
                </c:pt>
                <c:pt idx="114">
                  <c:v>39113</c:v>
                </c:pt>
                <c:pt idx="115">
                  <c:v>39114</c:v>
                </c:pt>
                <c:pt idx="116">
                  <c:v>39115</c:v>
                </c:pt>
                <c:pt idx="117">
                  <c:v>39118</c:v>
                </c:pt>
                <c:pt idx="118">
                  <c:v>39119</c:v>
                </c:pt>
                <c:pt idx="119">
                  <c:v>39120</c:v>
                </c:pt>
                <c:pt idx="120">
                  <c:v>39121</c:v>
                </c:pt>
                <c:pt idx="121">
                  <c:v>39122</c:v>
                </c:pt>
                <c:pt idx="122">
                  <c:v>39126</c:v>
                </c:pt>
                <c:pt idx="123">
                  <c:v>39127</c:v>
                </c:pt>
                <c:pt idx="124">
                  <c:v>39128</c:v>
                </c:pt>
                <c:pt idx="125">
                  <c:v>39129</c:v>
                </c:pt>
                <c:pt idx="126">
                  <c:v>39133</c:v>
                </c:pt>
                <c:pt idx="127">
                  <c:v>39134</c:v>
                </c:pt>
                <c:pt idx="128">
                  <c:v>39135</c:v>
                </c:pt>
                <c:pt idx="129">
                  <c:v>39136</c:v>
                </c:pt>
                <c:pt idx="130">
                  <c:v>39139</c:v>
                </c:pt>
                <c:pt idx="131">
                  <c:v>39140</c:v>
                </c:pt>
                <c:pt idx="132">
                  <c:v>39141</c:v>
                </c:pt>
                <c:pt idx="133">
                  <c:v>39142</c:v>
                </c:pt>
                <c:pt idx="134">
                  <c:v>39143</c:v>
                </c:pt>
                <c:pt idx="135">
                  <c:v>39146</c:v>
                </c:pt>
                <c:pt idx="136">
                  <c:v>39147</c:v>
                </c:pt>
                <c:pt idx="137">
                  <c:v>39148</c:v>
                </c:pt>
                <c:pt idx="138">
                  <c:v>39149</c:v>
                </c:pt>
                <c:pt idx="139">
                  <c:v>39150</c:v>
                </c:pt>
                <c:pt idx="140">
                  <c:v>39153</c:v>
                </c:pt>
                <c:pt idx="141">
                  <c:v>39154</c:v>
                </c:pt>
                <c:pt idx="142">
                  <c:v>39155</c:v>
                </c:pt>
                <c:pt idx="143">
                  <c:v>39156</c:v>
                </c:pt>
                <c:pt idx="144">
                  <c:v>39157</c:v>
                </c:pt>
                <c:pt idx="145">
                  <c:v>39160</c:v>
                </c:pt>
                <c:pt idx="146">
                  <c:v>39161</c:v>
                </c:pt>
                <c:pt idx="147">
                  <c:v>39163</c:v>
                </c:pt>
                <c:pt idx="148">
                  <c:v>39164</c:v>
                </c:pt>
                <c:pt idx="149">
                  <c:v>39167</c:v>
                </c:pt>
                <c:pt idx="150">
                  <c:v>39168</c:v>
                </c:pt>
                <c:pt idx="151">
                  <c:v>39169</c:v>
                </c:pt>
                <c:pt idx="152">
                  <c:v>39170</c:v>
                </c:pt>
                <c:pt idx="153">
                  <c:v>39171</c:v>
                </c:pt>
                <c:pt idx="154">
                  <c:v>39174</c:v>
                </c:pt>
                <c:pt idx="155">
                  <c:v>39175</c:v>
                </c:pt>
                <c:pt idx="156">
                  <c:v>39176</c:v>
                </c:pt>
                <c:pt idx="157">
                  <c:v>39177</c:v>
                </c:pt>
                <c:pt idx="158">
                  <c:v>39182</c:v>
                </c:pt>
                <c:pt idx="159">
                  <c:v>39183</c:v>
                </c:pt>
                <c:pt idx="160">
                  <c:v>39184</c:v>
                </c:pt>
                <c:pt idx="161">
                  <c:v>39185</c:v>
                </c:pt>
                <c:pt idx="162">
                  <c:v>39188</c:v>
                </c:pt>
                <c:pt idx="163">
                  <c:v>39189</c:v>
                </c:pt>
                <c:pt idx="164">
                  <c:v>39190</c:v>
                </c:pt>
                <c:pt idx="165">
                  <c:v>39191</c:v>
                </c:pt>
                <c:pt idx="166">
                  <c:v>39192</c:v>
                </c:pt>
                <c:pt idx="167">
                  <c:v>39195</c:v>
                </c:pt>
                <c:pt idx="168">
                  <c:v>39196</c:v>
                </c:pt>
                <c:pt idx="169">
                  <c:v>39197</c:v>
                </c:pt>
                <c:pt idx="170">
                  <c:v>39198</c:v>
                </c:pt>
                <c:pt idx="171">
                  <c:v>39199</c:v>
                </c:pt>
                <c:pt idx="172">
                  <c:v>39204</c:v>
                </c:pt>
                <c:pt idx="173">
                  <c:v>39210</c:v>
                </c:pt>
                <c:pt idx="174">
                  <c:v>39211</c:v>
                </c:pt>
                <c:pt idx="175">
                  <c:v>39212</c:v>
                </c:pt>
                <c:pt idx="176">
                  <c:v>39213</c:v>
                </c:pt>
                <c:pt idx="177">
                  <c:v>39216</c:v>
                </c:pt>
                <c:pt idx="178">
                  <c:v>39217</c:v>
                </c:pt>
                <c:pt idx="179">
                  <c:v>39218</c:v>
                </c:pt>
                <c:pt idx="180">
                  <c:v>39219</c:v>
                </c:pt>
                <c:pt idx="181">
                  <c:v>39220</c:v>
                </c:pt>
                <c:pt idx="182">
                  <c:v>39223</c:v>
                </c:pt>
                <c:pt idx="183">
                  <c:v>39224</c:v>
                </c:pt>
                <c:pt idx="184">
                  <c:v>39225</c:v>
                </c:pt>
                <c:pt idx="185">
                  <c:v>39226</c:v>
                </c:pt>
                <c:pt idx="186">
                  <c:v>39227</c:v>
                </c:pt>
                <c:pt idx="187">
                  <c:v>39231</c:v>
                </c:pt>
                <c:pt idx="188">
                  <c:v>39232</c:v>
                </c:pt>
                <c:pt idx="189">
                  <c:v>39233</c:v>
                </c:pt>
                <c:pt idx="190">
                  <c:v>39234</c:v>
                </c:pt>
                <c:pt idx="191">
                  <c:v>39237</c:v>
                </c:pt>
                <c:pt idx="192">
                  <c:v>39238</c:v>
                </c:pt>
                <c:pt idx="193">
                  <c:v>39239</c:v>
                </c:pt>
                <c:pt idx="194">
                  <c:v>39240</c:v>
                </c:pt>
                <c:pt idx="195">
                  <c:v>39241</c:v>
                </c:pt>
                <c:pt idx="196">
                  <c:v>39244</c:v>
                </c:pt>
                <c:pt idx="197">
                  <c:v>39245</c:v>
                </c:pt>
                <c:pt idx="198">
                  <c:v>39246</c:v>
                </c:pt>
                <c:pt idx="199">
                  <c:v>39247</c:v>
                </c:pt>
                <c:pt idx="200">
                  <c:v>39248</c:v>
                </c:pt>
                <c:pt idx="201">
                  <c:v>39251</c:v>
                </c:pt>
                <c:pt idx="202">
                  <c:v>39252</c:v>
                </c:pt>
                <c:pt idx="203">
                  <c:v>39253</c:v>
                </c:pt>
                <c:pt idx="204">
                  <c:v>39254</c:v>
                </c:pt>
                <c:pt idx="205">
                  <c:v>39255</c:v>
                </c:pt>
                <c:pt idx="206">
                  <c:v>39258</c:v>
                </c:pt>
                <c:pt idx="207">
                  <c:v>39259</c:v>
                </c:pt>
                <c:pt idx="208">
                  <c:v>39260</c:v>
                </c:pt>
                <c:pt idx="209">
                  <c:v>39261</c:v>
                </c:pt>
                <c:pt idx="210">
                  <c:v>39262</c:v>
                </c:pt>
                <c:pt idx="211">
                  <c:v>39265</c:v>
                </c:pt>
                <c:pt idx="212">
                  <c:v>39266</c:v>
                </c:pt>
                <c:pt idx="213">
                  <c:v>39268</c:v>
                </c:pt>
                <c:pt idx="214">
                  <c:v>39269</c:v>
                </c:pt>
                <c:pt idx="215">
                  <c:v>39272</c:v>
                </c:pt>
                <c:pt idx="216">
                  <c:v>39273</c:v>
                </c:pt>
                <c:pt idx="217">
                  <c:v>39274</c:v>
                </c:pt>
                <c:pt idx="218">
                  <c:v>39275</c:v>
                </c:pt>
                <c:pt idx="219">
                  <c:v>39276</c:v>
                </c:pt>
                <c:pt idx="220">
                  <c:v>39280</c:v>
                </c:pt>
                <c:pt idx="221">
                  <c:v>39281</c:v>
                </c:pt>
                <c:pt idx="222">
                  <c:v>39282</c:v>
                </c:pt>
                <c:pt idx="223">
                  <c:v>39283</c:v>
                </c:pt>
                <c:pt idx="224">
                  <c:v>39286</c:v>
                </c:pt>
                <c:pt idx="225">
                  <c:v>39287</c:v>
                </c:pt>
                <c:pt idx="226">
                  <c:v>39288</c:v>
                </c:pt>
                <c:pt idx="227">
                  <c:v>39289</c:v>
                </c:pt>
                <c:pt idx="228">
                  <c:v>39290</c:v>
                </c:pt>
                <c:pt idx="229">
                  <c:v>39293</c:v>
                </c:pt>
                <c:pt idx="230">
                  <c:v>39294</c:v>
                </c:pt>
                <c:pt idx="231">
                  <c:v>39295</c:v>
                </c:pt>
                <c:pt idx="232">
                  <c:v>39296</c:v>
                </c:pt>
                <c:pt idx="233">
                  <c:v>39297</c:v>
                </c:pt>
                <c:pt idx="234">
                  <c:v>39300</c:v>
                </c:pt>
                <c:pt idx="235">
                  <c:v>39301</c:v>
                </c:pt>
                <c:pt idx="236">
                  <c:v>39302</c:v>
                </c:pt>
                <c:pt idx="237">
                  <c:v>39303</c:v>
                </c:pt>
                <c:pt idx="238">
                  <c:v>39304</c:v>
                </c:pt>
                <c:pt idx="239">
                  <c:v>39307</c:v>
                </c:pt>
                <c:pt idx="240">
                  <c:v>39308</c:v>
                </c:pt>
                <c:pt idx="241">
                  <c:v>39309</c:v>
                </c:pt>
                <c:pt idx="242">
                  <c:v>39310</c:v>
                </c:pt>
                <c:pt idx="243">
                  <c:v>39311</c:v>
                </c:pt>
                <c:pt idx="244">
                  <c:v>39314</c:v>
                </c:pt>
                <c:pt idx="245">
                  <c:v>39315</c:v>
                </c:pt>
                <c:pt idx="246">
                  <c:v>39316</c:v>
                </c:pt>
                <c:pt idx="247">
                  <c:v>39317</c:v>
                </c:pt>
                <c:pt idx="248">
                  <c:v>39318</c:v>
                </c:pt>
                <c:pt idx="249">
                  <c:v>39322</c:v>
                </c:pt>
                <c:pt idx="250">
                  <c:v>39323</c:v>
                </c:pt>
                <c:pt idx="251">
                  <c:v>39324</c:v>
                </c:pt>
                <c:pt idx="252">
                  <c:v>39325</c:v>
                </c:pt>
                <c:pt idx="253">
                  <c:v>39329</c:v>
                </c:pt>
                <c:pt idx="254">
                  <c:v>39330</c:v>
                </c:pt>
                <c:pt idx="255">
                  <c:v>39331</c:v>
                </c:pt>
                <c:pt idx="256">
                  <c:v>39332</c:v>
                </c:pt>
                <c:pt idx="257">
                  <c:v>39335</c:v>
                </c:pt>
                <c:pt idx="258">
                  <c:v>39336</c:v>
                </c:pt>
                <c:pt idx="259">
                  <c:v>39337</c:v>
                </c:pt>
                <c:pt idx="260">
                  <c:v>39338</c:v>
                </c:pt>
                <c:pt idx="261">
                  <c:v>39339</c:v>
                </c:pt>
                <c:pt idx="262">
                  <c:v>39343</c:v>
                </c:pt>
                <c:pt idx="263">
                  <c:v>39344</c:v>
                </c:pt>
                <c:pt idx="264">
                  <c:v>39345</c:v>
                </c:pt>
                <c:pt idx="265">
                  <c:v>39346</c:v>
                </c:pt>
                <c:pt idx="266">
                  <c:v>39350</c:v>
                </c:pt>
                <c:pt idx="267">
                  <c:v>39351</c:v>
                </c:pt>
                <c:pt idx="268">
                  <c:v>39352</c:v>
                </c:pt>
                <c:pt idx="269">
                  <c:v>39353</c:v>
                </c:pt>
                <c:pt idx="270">
                  <c:v>39356</c:v>
                </c:pt>
                <c:pt idx="271">
                  <c:v>39357</c:v>
                </c:pt>
                <c:pt idx="272">
                  <c:v>39358</c:v>
                </c:pt>
                <c:pt idx="273">
                  <c:v>39359</c:v>
                </c:pt>
                <c:pt idx="274">
                  <c:v>39360</c:v>
                </c:pt>
                <c:pt idx="275">
                  <c:v>39364</c:v>
                </c:pt>
                <c:pt idx="276">
                  <c:v>39365</c:v>
                </c:pt>
                <c:pt idx="277">
                  <c:v>39366</c:v>
                </c:pt>
                <c:pt idx="278">
                  <c:v>39367</c:v>
                </c:pt>
                <c:pt idx="279">
                  <c:v>39370</c:v>
                </c:pt>
                <c:pt idx="280">
                  <c:v>39371</c:v>
                </c:pt>
                <c:pt idx="281">
                  <c:v>39372</c:v>
                </c:pt>
                <c:pt idx="282">
                  <c:v>39373</c:v>
                </c:pt>
                <c:pt idx="283">
                  <c:v>39374</c:v>
                </c:pt>
                <c:pt idx="284">
                  <c:v>39377</c:v>
                </c:pt>
                <c:pt idx="285">
                  <c:v>39378</c:v>
                </c:pt>
                <c:pt idx="286">
                  <c:v>39379</c:v>
                </c:pt>
                <c:pt idx="287">
                  <c:v>39380</c:v>
                </c:pt>
                <c:pt idx="288">
                  <c:v>39381</c:v>
                </c:pt>
                <c:pt idx="289">
                  <c:v>39384</c:v>
                </c:pt>
                <c:pt idx="290">
                  <c:v>39385</c:v>
                </c:pt>
                <c:pt idx="291">
                  <c:v>39386</c:v>
                </c:pt>
                <c:pt idx="292">
                  <c:v>39387</c:v>
                </c:pt>
                <c:pt idx="293">
                  <c:v>39388</c:v>
                </c:pt>
                <c:pt idx="294">
                  <c:v>39391</c:v>
                </c:pt>
                <c:pt idx="295">
                  <c:v>39392</c:v>
                </c:pt>
                <c:pt idx="296">
                  <c:v>39393</c:v>
                </c:pt>
                <c:pt idx="297">
                  <c:v>39394</c:v>
                </c:pt>
                <c:pt idx="298">
                  <c:v>39395</c:v>
                </c:pt>
                <c:pt idx="299">
                  <c:v>39398</c:v>
                </c:pt>
                <c:pt idx="300">
                  <c:v>39399</c:v>
                </c:pt>
                <c:pt idx="301">
                  <c:v>39400</c:v>
                </c:pt>
                <c:pt idx="302">
                  <c:v>39401</c:v>
                </c:pt>
                <c:pt idx="303">
                  <c:v>39402</c:v>
                </c:pt>
                <c:pt idx="304">
                  <c:v>39405</c:v>
                </c:pt>
                <c:pt idx="305">
                  <c:v>39406</c:v>
                </c:pt>
                <c:pt idx="306">
                  <c:v>39407</c:v>
                </c:pt>
                <c:pt idx="307">
                  <c:v>39412</c:v>
                </c:pt>
                <c:pt idx="308">
                  <c:v>39413</c:v>
                </c:pt>
                <c:pt idx="309">
                  <c:v>39414</c:v>
                </c:pt>
                <c:pt idx="310">
                  <c:v>39415</c:v>
                </c:pt>
                <c:pt idx="311">
                  <c:v>39416</c:v>
                </c:pt>
                <c:pt idx="312">
                  <c:v>39419</c:v>
                </c:pt>
                <c:pt idx="313">
                  <c:v>39420</c:v>
                </c:pt>
                <c:pt idx="314">
                  <c:v>39421</c:v>
                </c:pt>
                <c:pt idx="315">
                  <c:v>39422</c:v>
                </c:pt>
                <c:pt idx="316">
                  <c:v>39423</c:v>
                </c:pt>
                <c:pt idx="317">
                  <c:v>39426</c:v>
                </c:pt>
                <c:pt idx="318">
                  <c:v>39427</c:v>
                </c:pt>
                <c:pt idx="319">
                  <c:v>39428</c:v>
                </c:pt>
                <c:pt idx="320">
                  <c:v>39429</c:v>
                </c:pt>
                <c:pt idx="321">
                  <c:v>39430</c:v>
                </c:pt>
                <c:pt idx="322">
                  <c:v>39433</c:v>
                </c:pt>
                <c:pt idx="323">
                  <c:v>39434</c:v>
                </c:pt>
                <c:pt idx="324">
                  <c:v>39435</c:v>
                </c:pt>
                <c:pt idx="325">
                  <c:v>39436</c:v>
                </c:pt>
                <c:pt idx="326">
                  <c:v>39437</c:v>
                </c:pt>
                <c:pt idx="327">
                  <c:v>39443</c:v>
                </c:pt>
                <c:pt idx="328">
                  <c:v>39444</c:v>
                </c:pt>
                <c:pt idx="329">
                  <c:v>39451</c:v>
                </c:pt>
                <c:pt idx="330">
                  <c:v>39454</c:v>
                </c:pt>
                <c:pt idx="331">
                  <c:v>39455</c:v>
                </c:pt>
                <c:pt idx="332">
                  <c:v>39456</c:v>
                </c:pt>
                <c:pt idx="333">
                  <c:v>39457</c:v>
                </c:pt>
                <c:pt idx="334">
                  <c:v>39458</c:v>
                </c:pt>
                <c:pt idx="335">
                  <c:v>39462</c:v>
                </c:pt>
                <c:pt idx="336">
                  <c:v>39463</c:v>
                </c:pt>
                <c:pt idx="337">
                  <c:v>39464</c:v>
                </c:pt>
                <c:pt idx="338">
                  <c:v>39465</c:v>
                </c:pt>
                <c:pt idx="339">
                  <c:v>39469</c:v>
                </c:pt>
                <c:pt idx="340">
                  <c:v>39470</c:v>
                </c:pt>
                <c:pt idx="341">
                  <c:v>39471</c:v>
                </c:pt>
                <c:pt idx="342">
                  <c:v>39472</c:v>
                </c:pt>
                <c:pt idx="343">
                  <c:v>39475</c:v>
                </c:pt>
                <c:pt idx="344">
                  <c:v>39476</c:v>
                </c:pt>
                <c:pt idx="345">
                  <c:v>39477</c:v>
                </c:pt>
                <c:pt idx="346">
                  <c:v>39478</c:v>
                </c:pt>
                <c:pt idx="347">
                  <c:v>39479</c:v>
                </c:pt>
                <c:pt idx="348">
                  <c:v>39482</c:v>
                </c:pt>
                <c:pt idx="349">
                  <c:v>39483</c:v>
                </c:pt>
                <c:pt idx="350">
                  <c:v>39484</c:v>
                </c:pt>
                <c:pt idx="351">
                  <c:v>39485</c:v>
                </c:pt>
                <c:pt idx="352">
                  <c:v>39486</c:v>
                </c:pt>
                <c:pt idx="353">
                  <c:v>39490</c:v>
                </c:pt>
                <c:pt idx="354">
                  <c:v>39491</c:v>
                </c:pt>
                <c:pt idx="355">
                  <c:v>39492</c:v>
                </c:pt>
                <c:pt idx="356">
                  <c:v>39493</c:v>
                </c:pt>
                <c:pt idx="357">
                  <c:v>39497</c:v>
                </c:pt>
                <c:pt idx="358">
                  <c:v>39498</c:v>
                </c:pt>
                <c:pt idx="359">
                  <c:v>39499</c:v>
                </c:pt>
                <c:pt idx="360">
                  <c:v>39500</c:v>
                </c:pt>
                <c:pt idx="361">
                  <c:v>39503</c:v>
                </c:pt>
                <c:pt idx="362">
                  <c:v>39504</c:v>
                </c:pt>
                <c:pt idx="363">
                  <c:v>39505</c:v>
                </c:pt>
                <c:pt idx="364">
                  <c:v>39506</c:v>
                </c:pt>
                <c:pt idx="365">
                  <c:v>39507</c:v>
                </c:pt>
                <c:pt idx="366">
                  <c:v>39510</c:v>
                </c:pt>
                <c:pt idx="367">
                  <c:v>39511</c:v>
                </c:pt>
                <c:pt idx="368">
                  <c:v>39512</c:v>
                </c:pt>
                <c:pt idx="369">
                  <c:v>39513</c:v>
                </c:pt>
                <c:pt idx="370">
                  <c:v>39514</c:v>
                </c:pt>
                <c:pt idx="371">
                  <c:v>39517</c:v>
                </c:pt>
                <c:pt idx="372">
                  <c:v>39518</c:v>
                </c:pt>
                <c:pt idx="373">
                  <c:v>39519</c:v>
                </c:pt>
                <c:pt idx="374">
                  <c:v>39520</c:v>
                </c:pt>
                <c:pt idx="375">
                  <c:v>39521</c:v>
                </c:pt>
                <c:pt idx="376">
                  <c:v>39524</c:v>
                </c:pt>
                <c:pt idx="377">
                  <c:v>39525</c:v>
                </c:pt>
                <c:pt idx="378">
                  <c:v>39526</c:v>
                </c:pt>
                <c:pt idx="379">
                  <c:v>39532</c:v>
                </c:pt>
                <c:pt idx="380">
                  <c:v>39533</c:v>
                </c:pt>
                <c:pt idx="381">
                  <c:v>39534</c:v>
                </c:pt>
                <c:pt idx="382">
                  <c:v>39535</c:v>
                </c:pt>
                <c:pt idx="383">
                  <c:v>39538</c:v>
                </c:pt>
                <c:pt idx="384">
                  <c:v>39539</c:v>
                </c:pt>
                <c:pt idx="385">
                  <c:v>39540</c:v>
                </c:pt>
                <c:pt idx="386">
                  <c:v>39541</c:v>
                </c:pt>
                <c:pt idx="387">
                  <c:v>39542</c:v>
                </c:pt>
                <c:pt idx="388">
                  <c:v>39545</c:v>
                </c:pt>
                <c:pt idx="389">
                  <c:v>39546</c:v>
                </c:pt>
                <c:pt idx="390">
                  <c:v>39547</c:v>
                </c:pt>
                <c:pt idx="391">
                  <c:v>39548</c:v>
                </c:pt>
                <c:pt idx="392">
                  <c:v>39549</c:v>
                </c:pt>
                <c:pt idx="393">
                  <c:v>39552</c:v>
                </c:pt>
                <c:pt idx="394">
                  <c:v>39553</c:v>
                </c:pt>
                <c:pt idx="395">
                  <c:v>39554</c:v>
                </c:pt>
                <c:pt idx="396">
                  <c:v>39555</c:v>
                </c:pt>
                <c:pt idx="397">
                  <c:v>39556</c:v>
                </c:pt>
                <c:pt idx="398">
                  <c:v>39559</c:v>
                </c:pt>
                <c:pt idx="399">
                  <c:v>39560</c:v>
                </c:pt>
                <c:pt idx="400">
                  <c:v>39561</c:v>
                </c:pt>
                <c:pt idx="401">
                  <c:v>39562</c:v>
                </c:pt>
                <c:pt idx="402">
                  <c:v>39563</c:v>
                </c:pt>
                <c:pt idx="403">
                  <c:v>39566</c:v>
                </c:pt>
                <c:pt idx="404">
                  <c:v>39568</c:v>
                </c:pt>
                <c:pt idx="405">
                  <c:v>39570</c:v>
                </c:pt>
                <c:pt idx="406">
                  <c:v>39575</c:v>
                </c:pt>
                <c:pt idx="407">
                  <c:v>39576</c:v>
                </c:pt>
                <c:pt idx="408">
                  <c:v>39577</c:v>
                </c:pt>
                <c:pt idx="409">
                  <c:v>39580</c:v>
                </c:pt>
                <c:pt idx="410">
                  <c:v>39581</c:v>
                </c:pt>
                <c:pt idx="411">
                  <c:v>39582</c:v>
                </c:pt>
                <c:pt idx="412">
                  <c:v>39583</c:v>
                </c:pt>
                <c:pt idx="413">
                  <c:v>39584</c:v>
                </c:pt>
                <c:pt idx="414">
                  <c:v>39587</c:v>
                </c:pt>
                <c:pt idx="415">
                  <c:v>39588</c:v>
                </c:pt>
                <c:pt idx="416">
                  <c:v>39589</c:v>
                </c:pt>
                <c:pt idx="417">
                  <c:v>39590</c:v>
                </c:pt>
                <c:pt idx="418">
                  <c:v>39591</c:v>
                </c:pt>
                <c:pt idx="419">
                  <c:v>39595</c:v>
                </c:pt>
                <c:pt idx="420">
                  <c:v>39596</c:v>
                </c:pt>
                <c:pt idx="421">
                  <c:v>39597</c:v>
                </c:pt>
                <c:pt idx="422">
                  <c:v>39598</c:v>
                </c:pt>
                <c:pt idx="423">
                  <c:v>39601</c:v>
                </c:pt>
                <c:pt idx="424">
                  <c:v>39602</c:v>
                </c:pt>
                <c:pt idx="425">
                  <c:v>39603</c:v>
                </c:pt>
                <c:pt idx="426">
                  <c:v>39604</c:v>
                </c:pt>
                <c:pt idx="427">
                  <c:v>39605</c:v>
                </c:pt>
                <c:pt idx="428">
                  <c:v>39608</c:v>
                </c:pt>
                <c:pt idx="429">
                  <c:v>39609</c:v>
                </c:pt>
                <c:pt idx="430">
                  <c:v>39610</c:v>
                </c:pt>
                <c:pt idx="431">
                  <c:v>39611</c:v>
                </c:pt>
                <c:pt idx="432">
                  <c:v>39612</c:v>
                </c:pt>
                <c:pt idx="433">
                  <c:v>39615</c:v>
                </c:pt>
                <c:pt idx="434">
                  <c:v>39616</c:v>
                </c:pt>
                <c:pt idx="435">
                  <c:v>39617</c:v>
                </c:pt>
                <c:pt idx="436">
                  <c:v>39618</c:v>
                </c:pt>
                <c:pt idx="437">
                  <c:v>39619</c:v>
                </c:pt>
                <c:pt idx="438">
                  <c:v>39622</c:v>
                </c:pt>
                <c:pt idx="439">
                  <c:v>39623</c:v>
                </c:pt>
                <c:pt idx="440">
                  <c:v>39624</c:v>
                </c:pt>
                <c:pt idx="441">
                  <c:v>39625</c:v>
                </c:pt>
                <c:pt idx="442">
                  <c:v>39626</c:v>
                </c:pt>
                <c:pt idx="443">
                  <c:v>39629</c:v>
                </c:pt>
                <c:pt idx="444">
                  <c:v>39630</c:v>
                </c:pt>
                <c:pt idx="445">
                  <c:v>39631</c:v>
                </c:pt>
                <c:pt idx="446">
                  <c:v>39632</c:v>
                </c:pt>
                <c:pt idx="447">
                  <c:v>39636</c:v>
                </c:pt>
                <c:pt idx="448">
                  <c:v>39637</c:v>
                </c:pt>
                <c:pt idx="449">
                  <c:v>39638</c:v>
                </c:pt>
                <c:pt idx="450">
                  <c:v>39639</c:v>
                </c:pt>
                <c:pt idx="451">
                  <c:v>39640</c:v>
                </c:pt>
                <c:pt idx="452">
                  <c:v>39643</c:v>
                </c:pt>
                <c:pt idx="453">
                  <c:v>39644</c:v>
                </c:pt>
                <c:pt idx="454">
                  <c:v>39645</c:v>
                </c:pt>
                <c:pt idx="455">
                  <c:v>39646</c:v>
                </c:pt>
                <c:pt idx="456">
                  <c:v>39647</c:v>
                </c:pt>
                <c:pt idx="457">
                  <c:v>39651</c:v>
                </c:pt>
                <c:pt idx="458">
                  <c:v>39652</c:v>
                </c:pt>
                <c:pt idx="459">
                  <c:v>39653</c:v>
                </c:pt>
                <c:pt idx="460">
                  <c:v>39654</c:v>
                </c:pt>
                <c:pt idx="461">
                  <c:v>39657</c:v>
                </c:pt>
                <c:pt idx="462">
                  <c:v>39658</c:v>
                </c:pt>
                <c:pt idx="463">
                  <c:v>39659</c:v>
                </c:pt>
                <c:pt idx="464">
                  <c:v>39660</c:v>
                </c:pt>
                <c:pt idx="465">
                  <c:v>39661</c:v>
                </c:pt>
                <c:pt idx="466">
                  <c:v>39664</c:v>
                </c:pt>
                <c:pt idx="467">
                  <c:v>39665</c:v>
                </c:pt>
                <c:pt idx="468">
                  <c:v>39666</c:v>
                </c:pt>
                <c:pt idx="469">
                  <c:v>39667</c:v>
                </c:pt>
                <c:pt idx="470">
                  <c:v>39668</c:v>
                </c:pt>
                <c:pt idx="471">
                  <c:v>39671</c:v>
                </c:pt>
                <c:pt idx="472">
                  <c:v>39672</c:v>
                </c:pt>
                <c:pt idx="473">
                  <c:v>39673</c:v>
                </c:pt>
                <c:pt idx="474">
                  <c:v>39674</c:v>
                </c:pt>
                <c:pt idx="475">
                  <c:v>39675</c:v>
                </c:pt>
                <c:pt idx="476">
                  <c:v>39678</c:v>
                </c:pt>
                <c:pt idx="477">
                  <c:v>39679</c:v>
                </c:pt>
                <c:pt idx="478">
                  <c:v>39680</c:v>
                </c:pt>
                <c:pt idx="479">
                  <c:v>39681</c:v>
                </c:pt>
                <c:pt idx="480">
                  <c:v>39682</c:v>
                </c:pt>
                <c:pt idx="481">
                  <c:v>39686</c:v>
                </c:pt>
                <c:pt idx="482">
                  <c:v>39687</c:v>
                </c:pt>
                <c:pt idx="483">
                  <c:v>39688</c:v>
                </c:pt>
                <c:pt idx="484">
                  <c:v>39689</c:v>
                </c:pt>
                <c:pt idx="485">
                  <c:v>39693</c:v>
                </c:pt>
                <c:pt idx="486">
                  <c:v>39694</c:v>
                </c:pt>
                <c:pt idx="487">
                  <c:v>39695</c:v>
                </c:pt>
                <c:pt idx="488">
                  <c:v>39696</c:v>
                </c:pt>
                <c:pt idx="489">
                  <c:v>39699</c:v>
                </c:pt>
                <c:pt idx="490">
                  <c:v>39700</c:v>
                </c:pt>
                <c:pt idx="491">
                  <c:v>39701</c:v>
                </c:pt>
                <c:pt idx="492">
                  <c:v>39702</c:v>
                </c:pt>
                <c:pt idx="493">
                  <c:v>39703</c:v>
                </c:pt>
                <c:pt idx="494">
                  <c:v>39707</c:v>
                </c:pt>
                <c:pt idx="495">
                  <c:v>39708</c:v>
                </c:pt>
                <c:pt idx="496">
                  <c:v>39709</c:v>
                </c:pt>
                <c:pt idx="497">
                  <c:v>39710</c:v>
                </c:pt>
                <c:pt idx="498">
                  <c:v>39713</c:v>
                </c:pt>
                <c:pt idx="499">
                  <c:v>39715</c:v>
                </c:pt>
                <c:pt idx="500">
                  <c:v>39716</c:v>
                </c:pt>
                <c:pt idx="501">
                  <c:v>39717</c:v>
                </c:pt>
                <c:pt idx="502">
                  <c:v>39718</c:v>
                </c:pt>
                <c:pt idx="503">
                  <c:v>39719</c:v>
                </c:pt>
                <c:pt idx="504">
                  <c:v>39720</c:v>
                </c:pt>
                <c:pt idx="505">
                  <c:v>39721</c:v>
                </c:pt>
                <c:pt idx="506">
                  <c:v>39722</c:v>
                </c:pt>
                <c:pt idx="507">
                  <c:v>39723</c:v>
                </c:pt>
                <c:pt idx="508">
                  <c:v>39724</c:v>
                </c:pt>
                <c:pt idx="509">
                  <c:v>39725</c:v>
                </c:pt>
                <c:pt idx="510">
                  <c:v>39726</c:v>
                </c:pt>
                <c:pt idx="511">
                  <c:v>39727</c:v>
                </c:pt>
                <c:pt idx="512">
                  <c:v>39728</c:v>
                </c:pt>
                <c:pt idx="513">
                  <c:v>39729</c:v>
                </c:pt>
                <c:pt idx="514">
                  <c:v>39730</c:v>
                </c:pt>
                <c:pt idx="515">
                  <c:v>39731</c:v>
                </c:pt>
                <c:pt idx="516">
                  <c:v>39732</c:v>
                </c:pt>
                <c:pt idx="517">
                  <c:v>39733</c:v>
                </c:pt>
                <c:pt idx="518">
                  <c:v>39734</c:v>
                </c:pt>
                <c:pt idx="519">
                  <c:v>39735</c:v>
                </c:pt>
                <c:pt idx="520">
                  <c:v>39736</c:v>
                </c:pt>
                <c:pt idx="521">
                  <c:v>39737</c:v>
                </c:pt>
                <c:pt idx="522">
                  <c:v>39738</c:v>
                </c:pt>
                <c:pt idx="523">
                  <c:v>39739</c:v>
                </c:pt>
                <c:pt idx="524">
                  <c:v>39740</c:v>
                </c:pt>
                <c:pt idx="525">
                  <c:v>39741</c:v>
                </c:pt>
                <c:pt idx="526">
                  <c:v>39742</c:v>
                </c:pt>
                <c:pt idx="527">
                  <c:v>39743</c:v>
                </c:pt>
                <c:pt idx="528">
                  <c:v>39744</c:v>
                </c:pt>
                <c:pt idx="529">
                  <c:v>39745</c:v>
                </c:pt>
                <c:pt idx="530">
                  <c:v>39746</c:v>
                </c:pt>
                <c:pt idx="531">
                  <c:v>39747</c:v>
                </c:pt>
                <c:pt idx="532">
                  <c:v>39748</c:v>
                </c:pt>
                <c:pt idx="533">
                  <c:v>39749</c:v>
                </c:pt>
                <c:pt idx="534">
                  <c:v>39750</c:v>
                </c:pt>
                <c:pt idx="535">
                  <c:v>39751</c:v>
                </c:pt>
                <c:pt idx="536">
                  <c:v>39752</c:v>
                </c:pt>
                <c:pt idx="537">
                  <c:v>39753</c:v>
                </c:pt>
                <c:pt idx="538">
                  <c:v>39754</c:v>
                </c:pt>
                <c:pt idx="539">
                  <c:v>39755</c:v>
                </c:pt>
                <c:pt idx="540">
                  <c:v>39756</c:v>
                </c:pt>
                <c:pt idx="541">
                  <c:v>39757</c:v>
                </c:pt>
                <c:pt idx="542">
                  <c:v>39758</c:v>
                </c:pt>
                <c:pt idx="543">
                  <c:v>39759</c:v>
                </c:pt>
                <c:pt idx="544">
                  <c:v>39760</c:v>
                </c:pt>
                <c:pt idx="545">
                  <c:v>39761</c:v>
                </c:pt>
                <c:pt idx="546">
                  <c:v>39762</c:v>
                </c:pt>
                <c:pt idx="547">
                  <c:v>39763</c:v>
                </c:pt>
                <c:pt idx="548">
                  <c:v>39764</c:v>
                </c:pt>
                <c:pt idx="549">
                  <c:v>39765</c:v>
                </c:pt>
                <c:pt idx="550">
                  <c:v>39766</c:v>
                </c:pt>
                <c:pt idx="551">
                  <c:v>39767</c:v>
                </c:pt>
                <c:pt idx="552">
                  <c:v>39768</c:v>
                </c:pt>
                <c:pt idx="553">
                  <c:v>39769</c:v>
                </c:pt>
                <c:pt idx="554">
                  <c:v>39770</c:v>
                </c:pt>
                <c:pt idx="555">
                  <c:v>39771</c:v>
                </c:pt>
                <c:pt idx="556">
                  <c:v>39772</c:v>
                </c:pt>
                <c:pt idx="557">
                  <c:v>39773</c:v>
                </c:pt>
                <c:pt idx="558">
                  <c:v>39774</c:v>
                </c:pt>
                <c:pt idx="559">
                  <c:v>39775</c:v>
                </c:pt>
                <c:pt idx="560">
                  <c:v>39776</c:v>
                </c:pt>
                <c:pt idx="561">
                  <c:v>39777</c:v>
                </c:pt>
                <c:pt idx="562">
                  <c:v>39778</c:v>
                </c:pt>
                <c:pt idx="563">
                  <c:v>39779</c:v>
                </c:pt>
                <c:pt idx="564">
                  <c:v>39780</c:v>
                </c:pt>
                <c:pt idx="565">
                  <c:v>39781</c:v>
                </c:pt>
                <c:pt idx="566">
                  <c:v>39782</c:v>
                </c:pt>
                <c:pt idx="567">
                  <c:v>39783</c:v>
                </c:pt>
                <c:pt idx="568">
                  <c:v>39784</c:v>
                </c:pt>
                <c:pt idx="569">
                  <c:v>39785</c:v>
                </c:pt>
                <c:pt idx="570">
                  <c:v>39786</c:v>
                </c:pt>
                <c:pt idx="571">
                  <c:v>39787</c:v>
                </c:pt>
                <c:pt idx="572">
                  <c:v>39788</c:v>
                </c:pt>
                <c:pt idx="573">
                  <c:v>39789</c:v>
                </c:pt>
                <c:pt idx="574">
                  <c:v>39790</c:v>
                </c:pt>
                <c:pt idx="575">
                  <c:v>39791</c:v>
                </c:pt>
                <c:pt idx="576">
                  <c:v>39792</c:v>
                </c:pt>
                <c:pt idx="577">
                  <c:v>39793</c:v>
                </c:pt>
                <c:pt idx="578">
                  <c:v>39794</c:v>
                </c:pt>
                <c:pt idx="579">
                  <c:v>39795</c:v>
                </c:pt>
                <c:pt idx="580">
                  <c:v>39796</c:v>
                </c:pt>
                <c:pt idx="581">
                  <c:v>39797</c:v>
                </c:pt>
                <c:pt idx="582">
                  <c:v>39798</c:v>
                </c:pt>
                <c:pt idx="583">
                  <c:v>39799</c:v>
                </c:pt>
                <c:pt idx="584">
                  <c:v>39800</c:v>
                </c:pt>
                <c:pt idx="585">
                  <c:v>39801</c:v>
                </c:pt>
                <c:pt idx="586">
                  <c:v>39802</c:v>
                </c:pt>
                <c:pt idx="587">
                  <c:v>39803</c:v>
                </c:pt>
                <c:pt idx="588">
                  <c:v>39804</c:v>
                </c:pt>
                <c:pt idx="589">
                  <c:v>39805</c:v>
                </c:pt>
                <c:pt idx="590">
                  <c:v>39806</c:v>
                </c:pt>
                <c:pt idx="591">
                  <c:v>39807</c:v>
                </c:pt>
                <c:pt idx="592">
                  <c:v>39808</c:v>
                </c:pt>
                <c:pt idx="593">
                  <c:v>39809</c:v>
                </c:pt>
                <c:pt idx="594">
                  <c:v>39810</c:v>
                </c:pt>
                <c:pt idx="595">
                  <c:v>39811</c:v>
                </c:pt>
                <c:pt idx="596">
                  <c:v>39812</c:v>
                </c:pt>
                <c:pt idx="597">
                  <c:v>39813</c:v>
                </c:pt>
              </c:numCache>
            </c:numRef>
          </c:xVal>
          <c:yVal>
            <c:numRef>
              <c:f>'Simulación ST'!$G$3:$G$600</c:f>
              <c:numCache>
                <c:formatCode>_-* #,##0_-;\-* #,##0_-;_-* "-"??_-;_-@_-</c:formatCode>
                <c:ptCount val="598"/>
                <c:pt idx="0">
                  <c:v>10914296.45914194</c:v>
                </c:pt>
                <c:pt idx="1">
                  <c:v>10933475.11123858</c:v>
                </c:pt>
                <c:pt idx="2">
                  <c:v>10969102.552560052</c:v>
                </c:pt>
                <c:pt idx="3">
                  <c:v>10906136.121803351</c:v>
                </c:pt>
                <c:pt idx="4">
                  <c:v>10877909.783284631</c:v>
                </c:pt>
                <c:pt idx="5">
                  <c:v>10950474.049857348</c:v>
                </c:pt>
                <c:pt idx="6">
                  <c:v>11040702.582649808</c:v>
                </c:pt>
                <c:pt idx="7">
                  <c:v>11137498.859750226</c:v>
                </c:pt>
                <c:pt idx="8">
                  <c:v>11129697.239699865</c:v>
                </c:pt>
                <c:pt idx="9">
                  <c:v>11126713.154586382</c:v>
                </c:pt>
                <c:pt idx="10">
                  <c:v>11130706.943300959</c:v>
                </c:pt>
                <c:pt idx="11">
                  <c:v>11121681.015408719</c:v>
                </c:pt>
                <c:pt idx="12">
                  <c:v>11075566.671031564</c:v>
                </c:pt>
                <c:pt idx="13">
                  <c:v>11058921.276882932</c:v>
                </c:pt>
                <c:pt idx="14">
                  <c:v>11019682.666202888</c:v>
                </c:pt>
                <c:pt idx="15">
                  <c:v>11080495.177551528</c:v>
                </c:pt>
                <c:pt idx="16">
                  <c:v>11138978.832476784</c:v>
                </c:pt>
                <c:pt idx="17">
                  <c:v>11145897.825891871</c:v>
                </c:pt>
                <c:pt idx="18">
                  <c:v>11207361.331200562</c:v>
                </c:pt>
                <c:pt idx="19">
                  <c:v>11270561.037497338</c:v>
                </c:pt>
                <c:pt idx="20">
                  <c:v>11154125.525997441</c:v>
                </c:pt>
                <c:pt idx="21">
                  <c:v>11019586.926293872</c:v>
                </c:pt>
                <c:pt idx="22">
                  <c:v>11039566.414577503</c:v>
                </c:pt>
                <c:pt idx="23">
                  <c:v>10954824.803676764</c:v>
                </c:pt>
                <c:pt idx="24">
                  <c:v>11043403.824957248</c:v>
                </c:pt>
                <c:pt idx="25">
                  <c:v>11064194.352671523</c:v>
                </c:pt>
                <c:pt idx="26">
                  <c:v>11116622.602685703</c:v>
                </c:pt>
                <c:pt idx="27">
                  <c:v>11086260.068454087</c:v>
                </c:pt>
                <c:pt idx="28">
                  <c:v>11076525.870831005</c:v>
                </c:pt>
                <c:pt idx="29">
                  <c:v>11118203.928698523</c:v>
                </c:pt>
                <c:pt idx="30">
                  <c:v>11153173.092349589</c:v>
                </c:pt>
                <c:pt idx="31">
                  <c:v>11080957.404728737</c:v>
                </c:pt>
                <c:pt idx="32">
                  <c:v>11079057.740381133</c:v>
                </c:pt>
                <c:pt idx="33">
                  <c:v>11136704.590127245</c:v>
                </c:pt>
                <c:pt idx="34">
                  <c:v>11224911.945028445</c:v>
                </c:pt>
                <c:pt idx="35">
                  <c:v>11233990.348567916</c:v>
                </c:pt>
                <c:pt idx="36">
                  <c:v>11211922.821179925</c:v>
                </c:pt>
                <c:pt idx="37">
                  <c:v>11269914.029228985</c:v>
                </c:pt>
                <c:pt idx="38">
                  <c:v>11275782.802252954</c:v>
                </c:pt>
                <c:pt idx="39">
                  <c:v>11305885.106670553</c:v>
                </c:pt>
                <c:pt idx="40">
                  <c:v>11388329.413271917</c:v>
                </c:pt>
                <c:pt idx="41">
                  <c:v>11327832.545156941</c:v>
                </c:pt>
                <c:pt idx="42">
                  <c:v>11343365.833877342</c:v>
                </c:pt>
                <c:pt idx="43">
                  <c:v>11331245.002479851</c:v>
                </c:pt>
                <c:pt idx="44">
                  <c:v>11399594.509534592</c:v>
                </c:pt>
                <c:pt idx="45">
                  <c:v>11435065.678221159</c:v>
                </c:pt>
                <c:pt idx="46">
                  <c:v>11499766.03409314</c:v>
                </c:pt>
                <c:pt idx="47">
                  <c:v>11458439.080767106</c:v>
                </c:pt>
                <c:pt idx="48">
                  <c:v>11501785.256712615</c:v>
                </c:pt>
                <c:pt idx="49">
                  <c:v>11536710.155368637</c:v>
                </c:pt>
                <c:pt idx="50">
                  <c:v>11550830.148257047</c:v>
                </c:pt>
                <c:pt idx="51">
                  <c:v>11594551.743836101</c:v>
                </c:pt>
                <c:pt idx="52">
                  <c:v>11600753.706148576</c:v>
                </c:pt>
                <c:pt idx="53">
                  <c:v>11634635.252447337</c:v>
                </c:pt>
                <c:pt idx="54">
                  <c:v>11685129.18231445</c:v>
                </c:pt>
                <c:pt idx="55">
                  <c:v>11659076.016022122</c:v>
                </c:pt>
                <c:pt idx="56">
                  <c:v>11596159.28842365</c:v>
                </c:pt>
                <c:pt idx="57">
                  <c:v>11619985.501822928</c:v>
                </c:pt>
                <c:pt idx="58">
                  <c:v>11619233.727877788</c:v>
                </c:pt>
                <c:pt idx="59">
                  <c:v>11595039.524843836</c:v>
                </c:pt>
                <c:pt idx="60">
                  <c:v>11640888.749312816</c:v>
                </c:pt>
                <c:pt idx="61">
                  <c:v>11733708.329325149</c:v>
                </c:pt>
                <c:pt idx="62">
                  <c:v>11686221.336187441</c:v>
                </c:pt>
                <c:pt idx="63">
                  <c:v>11641872.19030627</c:v>
                </c:pt>
                <c:pt idx="64">
                  <c:v>11664992.982379232</c:v>
                </c:pt>
                <c:pt idx="65">
                  <c:v>11626300.379817773</c:v>
                </c:pt>
                <c:pt idx="66">
                  <c:v>11679065.699674569</c:v>
                </c:pt>
                <c:pt idx="67">
                  <c:v>11697519.082166888</c:v>
                </c:pt>
                <c:pt idx="68">
                  <c:v>11721529.775530327</c:v>
                </c:pt>
                <c:pt idx="69">
                  <c:v>11694617.556455076</c:v>
                </c:pt>
                <c:pt idx="70">
                  <c:v>11634980.74038698</c:v>
                </c:pt>
                <c:pt idx="71">
                  <c:v>11648026.284754241</c:v>
                </c:pt>
                <c:pt idx="72">
                  <c:v>11714763.154371014</c:v>
                </c:pt>
                <c:pt idx="73">
                  <c:v>11698299.706569022</c:v>
                </c:pt>
                <c:pt idx="74">
                  <c:v>11610615.132067967</c:v>
                </c:pt>
                <c:pt idx="75">
                  <c:v>11615025.875762492</c:v>
                </c:pt>
                <c:pt idx="76">
                  <c:v>11738639.255574238</c:v>
                </c:pt>
                <c:pt idx="77">
                  <c:v>11787133.856098086</c:v>
                </c:pt>
                <c:pt idx="78">
                  <c:v>11794751.73609576</c:v>
                </c:pt>
                <c:pt idx="79">
                  <c:v>11841473.389383823</c:v>
                </c:pt>
                <c:pt idx="80">
                  <c:v>11879899.099967826</c:v>
                </c:pt>
                <c:pt idx="81">
                  <c:v>11892098.716135576</c:v>
                </c:pt>
                <c:pt idx="82">
                  <c:v>11909431.033246763</c:v>
                </c:pt>
                <c:pt idx="83">
                  <c:v>11924061.353390036</c:v>
                </c:pt>
                <c:pt idx="84">
                  <c:v>11895016.37426886</c:v>
                </c:pt>
                <c:pt idx="85">
                  <c:v>11930489.403084708</c:v>
                </c:pt>
                <c:pt idx="86">
                  <c:v>11968311.852123249</c:v>
                </c:pt>
                <c:pt idx="87">
                  <c:v>12032702.999516897</c:v>
                </c:pt>
                <c:pt idx="88">
                  <c:v>12052708.912095167</c:v>
                </c:pt>
                <c:pt idx="89">
                  <c:v>12024969.821438041</c:v>
                </c:pt>
                <c:pt idx="90">
                  <c:v>12013769.156970412</c:v>
                </c:pt>
                <c:pt idx="91">
                  <c:v>12051671.448810101</c:v>
                </c:pt>
                <c:pt idx="92">
                  <c:v>12020333.142799735</c:v>
                </c:pt>
                <c:pt idx="93">
                  <c:v>11980631.847162144</c:v>
                </c:pt>
                <c:pt idx="94">
                  <c:v>12105101.416484958</c:v>
                </c:pt>
                <c:pt idx="95">
                  <c:v>12098814.176346488</c:v>
                </c:pt>
                <c:pt idx="96">
                  <c:v>12068560.202670828</c:v>
                </c:pt>
                <c:pt idx="97">
                  <c:v>12106971.706254123</c:v>
                </c:pt>
                <c:pt idx="98">
                  <c:v>11953606.814877938</c:v>
                </c:pt>
                <c:pt idx="99">
                  <c:v>11983200.98519332</c:v>
                </c:pt>
                <c:pt idx="100">
                  <c:v>11900284.289148143</c:v>
                </c:pt>
                <c:pt idx="101">
                  <c:v>11966094.24939017</c:v>
                </c:pt>
                <c:pt idx="102">
                  <c:v>12063105.113428369</c:v>
                </c:pt>
                <c:pt idx="103">
                  <c:v>12067265.780614976</c:v>
                </c:pt>
                <c:pt idx="104">
                  <c:v>12087100.186791662</c:v>
                </c:pt>
                <c:pt idx="105">
                  <c:v>12087311.941117592</c:v>
                </c:pt>
                <c:pt idx="106">
                  <c:v>12108084.981391428</c:v>
                </c:pt>
                <c:pt idx="107">
                  <c:v>12075229.205514114</c:v>
                </c:pt>
                <c:pt idx="108">
                  <c:v>12128920.3535087</c:v>
                </c:pt>
                <c:pt idx="109">
                  <c:v>12203369.861519489</c:v>
                </c:pt>
                <c:pt idx="110">
                  <c:v>12131163.29469911</c:v>
                </c:pt>
                <c:pt idx="111">
                  <c:v>12049646.266711434</c:v>
                </c:pt>
                <c:pt idx="112">
                  <c:v>12063791.021234948</c:v>
                </c:pt>
                <c:pt idx="113">
                  <c:v>12101762.952648995</c:v>
                </c:pt>
                <c:pt idx="114">
                  <c:v>12098166.339275988</c:v>
                </c:pt>
                <c:pt idx="115">
                  <c:v>12234448.654632429</c:v>
                </c:pt>
                <c:pt idx="116">
                  <c:v>12229905.853110829</c:v>
                </c:pt>
                <c:pt idx="117">
                  <c:v>12205489.370934017</c:v>
                </c:pt>
                <c:pt idx="118">
                  <c:v>12248675.437127307</c:v>
                </c:pt>
                <c:pt idx="119">
                  <c:v>12256235.897317855</c:v>
                </c:pt>
                <c:pt idx="120">
                  <c:v>12191025.523716228</c:v>
                </c:pt>
                <c:pt idx="121">
                  <c:v>12195008.154654881</c:v>
                </c:pt>
                <c:pt idx="122">
                  <c:v>12235321.37708905</c:v>
                </c:pt>
                <c:pt idx="123">
                  <c:v>12376190.45848893</c:v>
                </c:pt>
                <c:pt idx="124">
                  <c:v>12429282.050417021</c:v>
                </c:pt>
                <c:pt idx="125">
                  <c:v>12410641.611968759</c:v>
                </c:pt>
                <c:pt idx="126">
                  <c:v>12421913.231414849</c:v>
                </c:pt>
                <c:pt idx="127">
                  <c:v>12331832.301243776</c:v>
                </c:pt>
                <c:pt idx="128">
                  <c:v>12347319.522005752</c:v>
                </c:pt>
                <c:pt idx="129">
                  <c:v>12393236.338024184</c:v>
                </c:pt>
                <c:pt idx="130">
                  <c:v>12434855.901181482</c:v>
                </c:pt>
                <c:pt idx="131">
                  <c:v>12193825.402805066</c:v>
                </c:pt>
                <c:pt idx="132">
                  <c:v>12042047.555979356</c:v>
                </c:pt>
                <c:pt idx="133">
                  <c:v>11970283.851086983</c:v>
                </c:pt>
                <c:pt idx="134">
                  <c:v>11872857.868002228</c:v>
                </c:pt>
                <c:pt idx="135">
                  <c:v>11700521.393356513</c:v>
                </c:pt>
                <c:pt idx="136">
                  <c:v>11841834.528694276</c:v>
                </c:pt>
                <c:pt idx="137">
                  <c:v>11845089.217739731</c:v>
                </c:pt>
                <c:pt idx="138">
                  <c:v>11957266.374401685</c:v>
                </c:pt>
                <c:pt idx="139">
                  <c:v>11973253.904063797</c:v>
                </c:pt>
                <c:pt idx="140">
                  <c:v>12004604.32751254</c:v>
                </c:pt>
                <c:pt idx="141">
                  <c:v>11862367.772423293</c:v>
                </c:pt>
                <c:pt idx="142">
                  <c:v>11700274.584654948</c:v>
                </c:pt>
                <c:pt idx="143">
                  <c:v>11824567.736578207</c:v>
                </c:pt>
                <c:pt idx="144">
                  <c:v>11813833.292765386</c:v>
                </c:pt>
                <c:pt idx="145">
                  <c:v>11936307.436769996</c:v>
                </c:pt>
                <c:pt idx="146">
                  <c:v>12038131.008446213</c:v>
                </c:pt>
                <c:pt idx="147">
                  <c:v>12234810.59665779</c:v>
                </c:pt>
                <c:pt idx="148">
                  <c:v>12257407.303087493</c:v>
                </c:pt>
                <c:pt idx="149">
                  <c:v>12230012.056878613</c:v>
                </c:pt>
                <c:pt idx="150">
                  <c:v>12176770.009698067</c:v>
                </c:pt>
                <c:pt idx="151">
                  <c:v>12136703.684633179</c:v>
                </c:pt>
                <c:pt idx="152">
                  <c:v>12167757.985604953</c:v>
                </c:pt>
                <c:pt idx="153">
                  <c:v>12155173.715422319</c:v>
                </c:pt>
                <c:pt idx="154">
                  <c:v>12176685.22822682</c:v>
                </c:pt>
                <c:pt idx="155">
                  <c:v>12281853.019259728</c:v>
                </c:pt>
                <c:pt idx="156">
                  <c:v>12339661.233471449</c:v>
                </c:pt>
                <c:pt idx="157">
                  <c:v>12360019.607592903</c:v>
                </c:pt>
                <c:pt idx="158">
                  <c:v>12398630.094646741</c:v>
                </c:pt>
                <c:pt idx="159">
                  <c:v>12368512.88584948</c:v>
                </c:pt>
                <c:pt idx="160">
                  <c:v>12389664.357377887</c:v>
                </c:pt>
                <c:pt idx="161">
                  <c:v>12423263.615099069</c:v>
                </c:pt>
                <c:pt idx="162">
                  <c:v>12558027.160986759</c:v>
                </c:pt>
                <c:pt idx="163">
                  <c:v>12594017.890359707</c:v>
                </c:pt>
                <c:pt idx="164">
                  <c:v>12615445.117462721</c:v>
                </c:pt>
                <c:pt idx="165">
                  <c:v>12562059.860127658</c:v>
                </c:pt>
                <c:pt idx="166">
                  <c:v>12669588.235758051</c:v>
                </c:pt>
                <c:pt idx="167">
                  <c:v>12639933.324247379</c:v>
                </c:pt>
                <c:pt idx="168">
                  <c:v>12631032.182497561</c:v>
                </c:pt>
                <c:pt idx="169">
                  <c:v>12689738.022317985</c:v>
                </c:pt>
                <c:pt idx="170">
                  <c:v>12675402.453575682</c:v>
                </c:pt>
                <c:pt idx="171">
                  <c:v>12665898.305547439</c:v>
                </c:pt>
                <c:pt idx="172">
                  <c:v>12708527.23848724</c:v>
                </c:pt>
                <c:pt idx="173">
                  <c:v>12831710.285839895</c:v>
                </c:pt>
                <c:pt idx="174">
                  <c:v>12887575.765585139</c:v>
                </c:pt>
                <c:pt idx="175">
                  <c:v>12759541.792162117</c:v>
                </c:pt>
                <c:pt idx="176">
                  <c:v>12814467.949113296</c:v>
                </c:pt>
                <c:pt idx="177">
                  <c:v>12820532.885524904</c:v>
                </c:pt>
                <c:pt idx="178">
                  <c:v>12837573.207785998</c:v>
                </c:pt>
                <c:pt idx="179">
                  <c:v>12851516.750478724</c:v>
                </c:pt>
                <c:pt idx="180">
                  <c:v>12821279.168489091</c:v>
                </c:pt>
                <c:pt idx="181">
                  <c:v>12889673.268646125</c:v>
                </c:pt>
                <c:pt idx="182">
                  <c:v>12880576.227174181</c:v>
                </c:pt>
                <c:pt idx="183">
                  <c:v>12894169.143033968</c:v>
                </c:pt>
                <c:pt idx="184">
                  <c:v>12937135.766125489</c:v>
                </c:pt>
                <c:pt idx="185">
                  <c:v>12845660.24274238</c:v>
                </c:pt>
                <c:pt idx="186">
                  <c:v>12839422.044332558</c:v>
                </c:pt>
                <c:pt idx="187">
                  <c:v>12888437.016902845</c:v>
                </c:pt>
                <c:pt idx="188">
                  <c:v>12896588.287387835</c:v>
                </c:pt>
                <c:pt idx="189">
                  <c:v>12964970.991598103</c:v>
                </c:pt>
                <c:pt idx="190">
                  <c:v>13033227.943540387</c:v>
                </c:pt>
                <c:pt idx="191">
                  <c:v>13059211.418796452</c:v>
                </c:pt>
                <c:pt idx="192">
                  <c:v>13021253.382100228</c:v>
                </c:pt>
                <c:pt idx="193">
                  <c:v>12889520.189099059</c:v>
                </c:pt>
                <c:pt idx="194">
                  <c:v>12754797.82168043</c:v>
                </c:pt>
                <c:pt idx="195">
                  <c:v>12731711.183980817</c:v>
                </c:pt>
                <c:pt idx="196">
                  <c:v>12785155.957025658</c:v>
                </c:pt>
                <c:pt idx="197">
                  <c:v>12698628.36997723</c:v>
                </c:pt>
                <c:pt idx="198">
                  <c:v>12779967.311645718</c:v>
                </c:pt>
                <c:pt idx="199">
                  <c:v>12883040.089303983</c:v>
                </c:pt>
                <c:pt idx="200">
                  <c:v>13004301.995575277</c:v>
                </c:pt>
                <c:pt idx="201">
                  <c:v>13006682.007235698</c:v>
                </c:pt>
                <c:pt idx="202">
                  <c:v>13001156.728489682</c:v>
                </c:pt>
                <c:pt idx="203">
                  <c:v>12966178.825440748</c:v>
                </c:pt>
                <c:pt idx="204">
                  <c:v>12940860.166829972</c:v>
                </c:pt>
                <c:pt idx="205">
                  <c:v>12847417.194322813</c:v>
                </c:pt>
                <c:pt idx="206">
                  <c:v>12850071.699514098</c:v>
                </c:pt>
                <c:pt idx="207">
                  <c:v>12833169.145277208</c:v>
                </c:pt>
                <c:pt idx="208">
                  <c:v>12816837.306168798</c:v>
                </c:pt>
                <c:pt idx="209">
                  <c:v>12872864.969094573</c:v>
                </c:pt>
                <c:pt idx="210">
                  <c:v>12931401.235120716</c:v>
                </c:pt>
                <c:pt idx="211">
                  <c:v>13014167.881589761</c:v>
                </c:pt>
                <c:pt idx="212">
                  <c:v>13074224.659092946</c:v>
                </c:pt>
                <c:pt idx="213">
                  <c:v>13050826.737936057</c:v>
                </c:pt>
                <c:pt idx="214">
                  <c:v>13100466.493519161</c:v>
                </c:pt>
                <c:pt idx="215">
                  <c:v>13147914.889866486</c:v>
                </c:pt>
                <c:pt idx="216">
                  <c:v>13075837.021573653</c:v>
                </c:pt>
                <c:pt idx="217">
                  <c:v>13092331.512116171</c:v>
                </c:pt>
                <c:pt idx="218">
                  <c:v>13235889.990100499</c:v>
                </c:pt>
                <c:pt idx="219">
                  <c:v>13317545.617413072</c:v>
                </c:pt>
                <c:pt idx="220">
                  <c:v>13323509.069749188</c:v>
                </c:pt>
                <c:pt idx="221">
                  <c:v>13219335.880360899</c:v>
                </c:pt>
                <c:pt idx="222">
                  <c:v>13319055.005213669</c:v>
                </c:pt>
                <c:pt idx="223">
                  <c:v>13241124.829492176</c:v>
                </c:pt>
                <c:pt idx="224">
                  <c:v>13283879.01323238</c:v>
                </c:pt>
                <c:pt idx="225">
                  <c:v>13126263.781959459</c:v>
                </c:pt>
                <c:pt idx="226">
                  <c:v>13059587.761149708</c:v>
                </c:pt>
                <c:pt idx="227">
                  <c:v>12773216.017224152</c:v>
                </c:pt>
                <c:pt idx="228">
                  <c:v>12580183.883282473</c:v>
                </c:pt>
                <c:pt idx="229">
                  <c:v>12606823.752539037</c:v>
                </c:pt>
                <c:pt idx="230">
                  <c:v>12671744.360616021</c:v>
                </c:pt>
                <c:pt idx="231">
                  <c:v>12583132.207500575</c:v>
                </c:pt>
                <c:pt idx="232">
                  <c:v>12671265.828328593</c:v>
                </c:pt>
                <c:pt idx="233">
                  <c:v>12535495.031956073</c:v>
                </c:pt>
                <c:pt idx="234">
                  <c:v>12593433.623811942</c:v>
                </c:pt>
                <c:pt idx="235">
                  <c:v>12666921.894858697</c:v>
                </c:pt>
                <c:pt idx="236">
                  <c:v>12834568.302027453</c:v>
                </c:pt>
                <c:pt idx="237">
                  <c:v>12602558.489421202</c:v>
                </c:pt>
                <c:pt idx="238">
                  <c:v>12340824.327968534</c:v>
                </c:pt>
                <c:pt idx="239">
                  <c:v>12451966.999661522</c:v>
                </c:pt>
                <c:pt idx="240">
                  <c:v>12299160.58261933</c:v>
                </c:pt>
                <c:pt idx="241">
                  <c:v>12142038.566314109</c:v>
                </c:pt>
                <c:pt idx="242">
                  <c:v>11934095.795425419</c:v>
                </c:pt>
                <c:pt idx="243">
                  <c:v>12058620.004405942</c:v>
                </c:pt>
                <c:pt idx="244">
                  <c:v>12136551.844762631</c:v>
                </c:pt>
                <c:pt idx="245">
                  <c:v>12167463.778396463</c:v>
                </c:pt>
                <c:pt idx="246">
                  <c:v>12312601.1073932</c:v>
                </c:pt>
                <c:pt idx="247">
                  <c:v>12384983.790074563</c:v>
                </c:pt>
                <c:pt idx="248">
                  <c:v>12471733.824998558</c:v>
                </c:pt>
                <c:pt idx="249">
                  <c:v>12281437.924782069</c:v>
                </c:pt>
                <c:pt idx="250">
                  <c:v>12364691.765561501</c:v>
                </c:pt>
                <c:pt idx="251">
                  <c:v>12419935.334912673</c:v>
                </c:pt>
                <c:pt idx="252">
                  <c:v>12599846.977606609</c:v>
                </c:pt>
                <c:pt idx="253">
                  <c:v>12634683.767791202</c:v>
                </c:pt>
                <c:pt idx="254">
                  <c:v>12492455.873504013</c:v>
                </c:pt>
                <c:pt idx="255">
                  <c:v>12570265.553125463</c:v>
                </c:pt>
                <c:pt idx="256">
                  <c:v>12401867.581855219</c:v>
                </c:pt>
                <c:pt idx="257">
                  <c:v>12317753.22621388</c:v>
                </c:pt>
                <c:pt idx="258">
                  <c:v>12503827.580780843</c:v>
                </c:pt>
                <c:pt idx="259">
                  <c:v>12511421.616134711</c:v>
                </c:pt>
                <c:pt idx="260">
                  <c:v>12580002.162099803</c:v>
                </c:pt>
                <c:pt idx="261">
                  <c:v>12555749.93519005</c:v>
                </c:pt>
                <c:pt idx="262">
                  <c:v>12567072.789759424</c:v>
                </c:pt>
                <c:pt idx="263">
                  <c:v>12837668.755147275</c:v>
                </c:pt>
                <c:pt idx="264">
                  <c:v>12874651.647445163</c:v>
                </c:pt>
                <c:pt idx="265">
                  <c:v>12893977.622035213</c:v>
                </c:pt>
                <c:pt idx="266">
                  <c:v>12858258.073853433</c:v>
                </c:pt>
                <c:pt idx="267">
                  <c:v>12902288.6444853</c:v>
                </c:pt>
                <c:pt idx="268">
                  <c:v>13039867.899275411</c:v>
                </c:pt>
                <c:pt idx="269">
                  <c:v>13058523.511355545</c:v>
                </c:pt>
                <c:pt idx="270">
                  <c:v>13174472.240049951</c:v>
                </c:pt>
                <c:pt idx="271">
                  <c:v>13174556.70261205</c:v>
                </c:pt>
                <c:pt idx="272">
                  <c:v>13165505.831450505</c:v>
                </c:pt>
                <c:pt idx="273">
                  <c:v>13173284.680833552</c:v>
                </c:pt>
                <c:pt idx="274">
                  <c:v>13238033.222909156</c:v>
                </c:pt>
                <c:pt idx="275">
                  <c:v>13276672.182005508</c:v>
                </c:pt>
                <c:pt idx="276">
                  <c:v>13280180.160605114</c:v>
                </c:pt>
                <c:pt idx="277">
                  <c:v>13348555.232883163</c:v>
                </c:pt>
                <c:pt idx="278">
                  <c:v>13346071.218782024</c:v>
                </c:pt>
                <c:pt idx="279">
                  <c:v>13267695.473102251</c:v>
                </c:pt>
                <c:pt idx="280">
                  <c:v>13173598.39201346</c:v>
                </c:pt>
                <c:pt idx="281">
                  <c:v>13202273.535588086</c:v>
                </c:pt>
                <c:pt idx="282">
                  <c:v>13217167.268376609</c:v>
                </c:pt>
                <c:pt idx="283">
                  <c:v>12992950.21735031</c:v>
                </c:pt>
                <c:pt idx="284">
                  <c:v>12862852.300971255</c:v>
                </c:pt>
                <c:pt idx="285">
                  <c:v>12986859.928367877</c:v>
                </c:pt>
                <c:pt idx="286">
                  <c:v>12952957.152940303</c:v>
                </c:pt>
                <c:pt idx="287">
                  <c:v>13029749.514121305</c:v>
                </c:pt>
                <c:pt idx="288">
                  <c:v>13190797.256863611</c:v>
                </c:pt>
                <c:pt idx="289">
                  <c:v>13289156.281119019</c:v>
                </c:pt>
                <c:pt idx="290">
                  <c:v>13230090.017547354</c:v>
                </c:pt>
                <c:pt idx="291">
                  <c:v>13357246.441366937</c:v>
                </c:pt>
                <c:pt idx="292">
                  <c:v>13145979.531273823</c:v>
                </c:pt>
                <c:pt idx="293">
                  <c:v>13070374.137799179</c:v>
                </c:pt>
                <c:pt idx="294">
                  <c:v>12961557.979911029</c:v>
                </c:pt>
                <c:pt idx="295">
                  <c:v>13041700.071538517</c:v>
                </c:pt>
                <c:pt idx="296">
                  <c:v>12888919.481659239</c:v>
                </c:pt>
                <c:pt idx="297">
                  <c:v>12832342.987523681</c:v>
                </c:pt>
                <c:pt idx="298">
                  <c:v>12665005.834285442</c:v>
                </c:pt>
                <c:pt idx="299">
                  <c:v>12552567.111090105</c:v>
                </c:pt>
                <c:pt idx="300">
                  <c:v>12686882.513116499</c:v>
                </c:pt>
                <c:pt idx="301">
                  <c:v>12749886.002717096</c:v>
                </c:pt>
                <c:pt idx="302">
                  <c:v>12594787.125678323</c:v>
                </c:pt>
                <c:pt idx="303">
                  <c:v>12536184.62831087</c:v>
                </c:pt>
                <c:pt idx="304">
                  <c:v>12331707.838805066</c:v>
                </c:pt>
                <c:pt idx="305">
                  <c:v>12499453.837678112</c:v>
                </c:pt>
                <c:pt idx="306">
                  <c:v>12256498.909290073</c:v>
                </c:pt>
                <c:pt idx="307">
                  <c:v>12403141.031272946</c:v>
                </c:pt>
                <c:pt idx="308">
                  <c:v>12462655.415975716</c:v>
                </c:pt>
                <c:pt idx="309">
                  <c:v>12671238.139455752</c:v>
                </c:pt>
                <c:pt idx="310">
                  <c:v>12764436.770737927</c:v>
                </c:pt>
                <c:pt idx="311">
                  <c:v>12835352.936644331</c:v>
                </c:pt>
                <c:pt idx="312">
                  <c:v>12796989.913141113</c:v>
                </c:pt>
                <c:pt idx="313">
                  <c:v>12694257.083171252</c:v>
                </c:pt>
                <c:pt idx="314">
                  <c:v>12825998.848831819</c:v>
                </c:pt>
                <c:pt idx="315">
                  <c:v>12912747.205872416</c:v>
                </c:pt>
                <c:pt idx="316">
                  <c:v>12986498.081442771</c:v>
                </c:pt>
                <c:pt idx="317">
                  <c:v>13071657.351409156</c:v>
                </c:pt>
                <c:pt idx="318">
                  <c:v>12945107.356699441</c:v>
                </c:pt>
                <c:pt idx="319">
                  <c:v>12959288.858996708</c:v>
                </c:pt>
                <c:pt idx="320">
                  <c:v>12731363.012482481</c:v>
                </c:pt>
                <c:pt idx="321">
                  <c:v>12609709.909383764</c:v>
                </c:pt>
                <c:pt idx="322">
                  <c:v>12397705.842698622</c:v>
                </c:pt>
                <c:pt idx="323">
                  <c:v>12423209.372043768</c:v>
                </c:pt>
                <c:pt idx="324">
                  <c:v>12353515.956818277</c:v>
                </c:pt>
                <c:pt idx="325">
                  <c:v>12370834.897563715</c:v>
                </c:pt>
                <c:pt idx="326">
                  <c:v>12543544.054152533</c:v>
                </c:pt>
                <c:pt idx="327">
                  <c:v>12624705.093235761</c:v>
                </c:pt>
                <c:pt idx="328">
                  <c:v>12617446.639897838</c:v>
                </c:pt>
                <c:pt idx="329">
                  <c:v>12266629.477617212</c:v>
                </c:pt>
                <c:pt idx="330">
                  <c:v>12225974.65299404</c:v>
                </c:pt>
                <c:pt idx="331">
                  <c:v>12140659.41569544</c:v>
                </c:pt>
                <c:pt idx="332">
                  <c:v>12109032.80409738</c:v>
                </c:pt>
                <c:pt idx="333">
                  <c:v>12084301.82117644</c:v>
                </c:pt>
                <c:pt idx="334">
                  <c:v>11946377.255899031</c:v>
                </c:pt>
                <c:pt idx="335">
                  <c:v>11825685.517220998</c:v>
                </c:pt>
                <c:pt idx="336">
                  <c:v>11651445.428513341</c:v>
                </c:pt>
                <c:pt idx="337">
                  <c:v>11561591.037208712</c:v>
                </c:pt>
                <c:pt idx="338">
                  <c:v>11490537.126438342</c:v>
                </c:pt>
                <c:pt idx="339">
                  <c:v>11089743.276148815</c:v>
                </c:pt>
                <c:pt idx="340">
                  <c:v>11109761.8617581</c:v>
                </c:pt>
                <c:pt idx="341">
                  <c:v>11454535.240612475</c:v>
                </c:pt>
                <c:pt idx="342">
                  <c:v>11475404.96880053</c:v>
                </c:pt>
                <c:pt idx="343">
                  <c:v>11418983.026836682</c:v>
                </c:pt>
                <c:pt idx="344">
                  <c:v>11595920.307526406</c:v>
                </c:pt>
                <c:pt idx="345">
                  <c:v>11508906.742082849</c:v>
                </c:pt>
                <c:pt idx="346">
                  <c:v>11673331.27910147</c:v>
                </c:pt>
                <c:pt idx="347">
                  <c:v>11775770.92865137</c:v>
                </c:pt>
                <c:pt idx="348">
                  <c:v>11795515.454517446</c:v>
                </c:pt>
                <c:pt idx="349">
                  <c:v>11460855.148361605</c:v>
                </c:pt>
                <c:pt idx="350">
                  <c:v>11340746.442399953</c:v>
                </c:pt>
                <c:pt idx="351">
                  <c:v>11218481.078838604</c:v>
                </c:pt>
                <c:pt idx="352">
                  <c:v>11187877.846824247</c:v>
                </c:pt>
                <c:pt idx="353">
                  <c:v>11399045.096572602</c:v>
                </c:pt>
                <c:pt idx="354">
                  <c:v>11442655.784901926</c:v>
                </c:pt>
                <c:pt idx="355">
                  <c:v>11493405.58422281</c:v>
                </c:pt>
                <c:pt idx="356">
                  <c:v>11405760.099265592</c:v>
                </c:pt>
                <c:pt idx="357">
                  <c:v>11545574.782329028</c:v>
                </c:pt>
                <c:pt idx="358">
                  <c:v>11405213.10642801</c:v>
                </c:pt>
                <c:pt idx="359">
                  <c:v>11507663.029752141</c:v>
                </c:pt>
                <c:pt idx="360">
                  <c:v>11502681.116917672</c:v>
                </c:pt>
                <c:pt idx="361">
                  <c:v>11710003.073879052</c:v>
                </c:pt>
                <c:pt idx="362">
                  <c:v>11825337.994540198</c:v>
                </c:pt>
                <c:pt idx="363">
                  <c:v>11927761.720545068</c:v>
                </c:pt>
                <c:pt idx="364">
                  <c:v>11800356.422281155</c:v>
                </c:pt>
                <c:pt idx="365">
                  <c:v>11598676.533770034</c:v>
                </c:pt>
                <c:pt idx="366">
                  <c:v>11443945.969396407</c:v>
                </c:pt>
                <c:pt idx="367">
                  <c:v>11401809.284065917</c:v>
                </c:pt>
                <c:pt idx="368">
                  <c:v>11470389.327554282</c:v>
                </c:pt>
                <c:pt idx="369">
                  <c:v>11421789.633504953</c:v>
                </c:pt>
                <c:pt idx="370">
                  <c:v>11248307.961829824</c:v>
                </c:pt>
                <c:pt idx="371">
                  <c:v>11122021.024439838</c:v>
                </c:pt>
                <c:pt idx="372">
                  <c:v>11300060.115365401</c:v>
                </c:pt>
                <c:pt idx="373">
                  <c:v>11443331.848906914</c:v>
                </c:pt>
                <c:pt idx="374">
                  <c:v>11375593.993094049</c:v>
                </c:pt>
                <c:pt idx="375">
                  <c:v>11229336.702221027</c:v>
                </c:pt>
                <c:pt idx="376">
                  <c:v>11012901.314459549</c:v>
                </c:pt>
                <c:pt idx="377">
                  <c:v>11363916.788901679</c:v>
                </c:pt>
                <c:pt idx="378">
                  <c:v>11169485.016338971</c:v>
                </c:pt>
                <c:pt idx="379">
                  <c:v>11541092.694787895</c:v>
                </c:pt>
                <c:pt idx="380">
                  <c:v>11510525.558729906</c:v>
                </c:pt>
                <c:pt idx="381">
                  <c:v>11494870.857469879</c:v>
                </c:pt>
                <c:pt idx="382">
                  <c:v>11444299.267623939</c:v>
                </c:pt>
                <c:pt idx="383">
                  <c:v>11425908.095728002</c:v>
                </c:pt>
                <c:pt idx="384">
                  <c:v>11632054.273074824</c:v>
                </c:pt>
                <c:pt idx="385">
                  <c:v>11752281.225684684</c:v>
                </c:pt>
                <c:pt idx="386">
                  <c:v>11808817.422835914</c:v>
                </c:pt>
                <c:pt idx="387">
                  <c:v>11846871.31536863</c:v>
                </c:pt>
                <c:pt idx="388">
                  <c:v>11895281.568415707</c:v>
                </c:pt>
                <c:pt idx="389">
                  <c:v>11782923.041653877</c:v>
                </c:pt>
                <c:pt idx="390">
                  <c:v>11750615.842363188</c:v>
                </c:pt>
                <c:pt idx="391">
                  <c:v>11764479.026768964</c:v>
                </c:pt>
                <c:pt idx="392">
                  <c:v>11665611.339199813</c:v>
                </c:pt>
                <c:pt idx="393">
                  <c:v>11571017.871534359</c:v>
                </c:pt>
                <c:pt idx="394">
                  <c:v>11599498.448090803</c:v>
                </c:pt>
                <c:pt idx="395">
                  <c:v>11861967.39324384</c:v>
                </c:pt>
                <c:pt idx="396">
                  <c:v>11857990.129280435</c:v>
                </c:pt>
                <c:pt idx="397">
                  <c:v>11989171.537799407</c:v>
                </c:pt>
                <c:pt idx="398">
                  <c:v>12016108.478152599</c:v>
                </c:pt>
                <c:pt idx="399">
                  <c:v>11960383.507495012</c:v>
                </c:pt>
                <c:pt idx="400">
                  <c:v>11986036.864954175</c:v>
                </c:pt>
                <c:pt idx="401">
                  <c:v>11949209.421734145</c:v>
                </c:pt>
                <c:pt idx="402">
                  <c:v>12081397.898685146</c:v>
                </c:pt>
                <c:pt idx="403">
                  <c:v>12089726.595354423</c:v>
                </c:pt>
                <c:pt idx="404">
                  <c:v>12023717.054310709</c:v>
                </c:pt>
                <c:pt idx="405">
                  <c:v>12199470.949974876</c:v>
                </c:pt>
                <c:pt idx="406">
                  <c:v>12102004.548462169</c:v>
                </c:pt>
                <c:pt idx="407">
                  <c:v>12145801.330178179</c:v>
                </c:pt>
                <c:pt idx="408">
                  <c:v>11978627.699649286</c:v>
                </c:pt>
                <c:pt idx="409">
                  <c:v>12079452.324794343</c:v>
                </c:pt>
                <c:pt idx="410">
                  <c:v>12052271.304640323</c:v>
                </c:pt>
                <c:pt idx="411">
                  <c:v>12090592.281593783</c:v>
                </c:pt>
                <c:pt idx="412">
                  <c:v>12190770.51513673</c:v>
                </c:pt>
                <c:pt idx="413">
                  <c:v>12257607.151997708</c:v>
                </c:pt>
                <c:pt idx="414">
                  <c:v>12319033.548772201</c:v>
                </c:pt>
                <c:pt idx="415">
                  <c:v>12156641.798726104</c:v>
                </c:pt>
                <c:pt idx="416">
                  <c:v>12046667.878597056</c:v>
                </c:pt>
                <c:pt idx="417">
                  <c:v>12067584.913945118</c:v>
                </c:pt>
                <c:pt idx="418">
                  <c:v>11956782.072328102</c:v>
                </c:pt>
                <c:pt idx="419">
                  <c:v>11902509.10616741</c:v>
                </c:pt>
                <c:pt idx="420">
                  <c:v>11900401.296790309</c:v>
                </c:pt>
                <c:pt idx="421">
                  <c:v>11960087.030422129</c:v>
                </c:pt>
                <c:pt idx="422">
                  <c:v>11989422.433779215</c:v>
                </c:pt>
                <c:pt idx="423">
                  <c:v>11908736.244886894</c:v>
                </c:pt>
                <c:pt idx="424">
                  <c:v>11859468.453972833</c:v>
                </c:pt>
                <c:pt idx="425">
                  <c:v>11802655.208463078</c:v>
                </c:pt>
                <c:pt idx="426">
                  <c:v>11861830.408231732</c:v>
                </c:pt>
                <c:pt idx="427">
                  <c:v>11722867.075354312</c:v>
                </c:pt>
                <c:pt idx="428">
                  <c:v>11674697.807661526</c:v>
                </c:pt>
                <c:pt idx="429">
                  <c:v>11523486.257174589</c:v>
                </c:pt>
                <c:pt idx="430">
                  <c:v>11419984.30992185</c:v>
                </c:pt>
                <c:pt idx="431">
                  <c:v>11368143.426735191</c:v>
                </c:pt>
                <c:pt idx="432">
                  <c:v>11444735.791555109</c:v>
                </c:pt>
                <c:pt idx="433">
                  <c:v>11519734.316763269</c:v>
                </c:pt>
                <c:pt idx="434">
                  <c:v>11513852.823921639</c:v>
                </c:pt>
                <c:pt idx="435">
                  <c:v>11418978.554562002</c:v>
                </c:pt>
                <c:pt idx="436">
                  <c:v>11360768.78341352</c:v>
                </c:pt>
                <c:pt idx="437">
                  <c:v>11206299.867260028</c:v>
                </c:pt>
                <c:pt idx="438">
                  <c:v>11170721.515000101</c:v>
                </c:pt>
                <c:pt idx="439">
                  <c:v>11160330.1682394</c:v>
                </c:pt>
                <c:pt idx="440">
                  <c:v>11176462.572647193</c:v>
                </c:pt>
                <c:pt idx="441">
                  <c:v>10996596.708910681</c:v>
                </c:pt>
                <c:pt idx="442">
                  <c:v>10938251.501237974</c:v>
                </c:pt>
                <c:pt idx="443">
                  <c:v>10999109.789565274</c:v>
                </c:pt>
                <c:pt idx="444">
                  <c:v>10895232.381791987</c:v>
                </c:pt>
                <c:pt idx="445">
                  <c:v>10767483.295548286</c:v>
                </c:pt>
                <c:pt idx="446">
                  <c:v>10795197.433842346</c:v>
                </c:pt>
                <c:pt idx="447">
                  <c:v>10768874.871506665</c:v>
                </c:pt>
                <c:pt idx="448">
                  <c:v>10720005.736077562</c:v>
                </c:pt>
                <c:pt idx="449">
                  <c:v>10725687.691241657</c:v>
                </c:pt>
                <c:pt idx="450">
                  <c:v>10662138.98575842</c:v>
                </c:pt>
                <c:pt idx="451">
                  <c:v>10529927.856214728</c:v>
                </c:pt>
                <c:pt idx="452">
                  <c:v>10539800.694088342</c:v>
                </c:pt>
                <c:pt idx="453">
                  <c:v>10431256.128377385</c:v>
                </c:pt>
                <c:pt idx="454">
                  <c:v>10499619.898306144</c:v>
                </c:pt>
                <c:pt idx="455">
                  <c:v>10715292.038460193</c:v>
                </c:pt>
                <c:pt idx="456">
                  <c:v>10752107.878331456</c:v>
                </c:pt>
                <c:pt idx="457">
                  <c:v>10849333.567626398</c:v>
                </c:pt>
                <c:pt idx="458">
                  <c:v>10926770.473430013</c:v>
                </c:pt>
                <c:pt idx="459">
                  <c:v>10781035.514724933</c:v>
                </c:pt>
                <c:pt idx="460">
                  <c:v>10747972.746347507</c:v>
                </c:pt>
                <c:pt idx="461">
                  <c:v>10642632.029543109</c:v>
                </c:pt>
                <c:pt idx="462">
                  <c:v>10671804.488357129</c:v>
                </c:pt>
                <c:pt idx="463">
                  <c:v>10851129.144087646</c:v>
                </c:pt>
                <c:pt idx="464">
                  <c:v>10779076.277650656</c:v>
                </c:pt>
                <c:pt idx="465">
                  <c:v>10655178.52461182</c:v>
                </c:pt>
                <c:pt idx="466">
                  <c:v>10564190.347154843</c:v>
                </c:pt>
                <c:pt idx="467">
                  <c:v>10762278.355888857</c:v>
                </c:pt>
                <c:pt idx="468">
                  <c:v>10833793.328856058</c:v>
                </c:pt>
                <c:pt idx="469">
                  <c:v>10705243.693131985</c:v>
                </c:pt>
                <c:pt idx="470">
                  <c:v>10752592.341144498</c:v>
                </c:pt>
                <c:pt idx="471">
                  <c:v>10861195.431778347</c:v>
                </c:pt>
                <c:pt idx="472">
                  <c:v>10749295.333896006</c:v>
                </c:pt>
                <c:pt idx="473">
                  <c:v>10541895.138520403</c:v>
                </c:pt>
                <c:pt idx="474">
                  <c:v>10595208.620380679</c:v>
                </c:pt>
                <c:pt idx="475">
                  <c:v>10552057.493118251</c:v>
                </c:pt>
                <c:pt idx="476">
                  <c:v>10515294.529436257</c:v>
                </c:pt>
                <c:pt idx="477">
                  <c:v>10320153.362004414</c:v>
                </c:pt>
                <c:pt idx="478">
                  <c:v>10373526.704968587</c:v>
                </c:pt>
                <c:pt idx="479">
                  <c:v>10417817.585685667</c:v>
                </c:pt>
                <c:pt idx="480">
                  <c:v>10510895.856233286</c:v>
                </c:pt>
                <c:pt idx="481">
                  <c:v>10379640.824283214</c:v>
                </c:pt>
                <c:pt idx="482">
                  <c:v>10447714.894605385</c:v>
                </c:pt>
                <c:pt idx="483">
                  <c:v>10581369.955548905</c:v>
                </c:pt>
                <c:pt idx="484">
                  <c:v>10601370.525991283</c:v>
                </c:pt>
                <c:pt idx="485">
                  <c:v>10433896.626804721</c:v>
                </c:pt>
                <c:pt idx="486">
                  <c:v>10350095.47499324</c:v>
                </c:pt>
                <c:pt idx="487">
                  <c:v>10087791.638809521</c:v>
                </c:pt>
                <c:pt idx="488">
                  <c:v>9964957.2627233416</c:v>
                </c:pt>
                <c:pt idx="489">
                  <c:v>10247341.52432665</c:v>
                </c:pt>
                <c:pt idx="490">
                  <c:v>10085637.585993951</c:v>
                </c:pt>
                <c:pt idx="491">
                  <c:v>10038973.729654647</c:v>
                </c:pt>
                <c:pt idx="492">
                  <c:v>10027356.456452304</c:v>
                </c:pt>
                <c:pt idx="493">
                  <c:v>10176986.754907552</c:v>
                </c:pt>
                <c:pt idx="494">
                  <c:v>9692792.5760372765</c:v>
                </c:pt>
                <c:pt idx="495">
                  <c:v>9510728.1115229968</c:v>
                </c:pt>
                <c:pt idx="496">
                  <c:v>9633204.6502659395</c:v>
                </c:pt>
                <c:pt idx="497">
                  <c:v>10158315.285959179</c:v>
                </c:pt>
                <c:pt idx="498">
                  <c:v>10019539.488131296</c:v>
                </c:pt>
                <c:pt idx="499">
                  <c:v>9876783.8363053352</c:v>
                </c:pt>
                <c:pt idx="500">
                  <c:v>10000000</c:v>
                </c:pt>
                <c:pt idx="501">
                  <c:v>9934995.3702790402</c:v>
                </c:pt>
                <c:pt idx="502">
                  <c:v>9948804.6780191343</c:v>
                </c:pt>
                <c:pt idx="503">
                  <c:v>9960515.5245293546</c:v>
                </c:pt>
                <c:pt idx="504">
                  <c:v>9861942.8532493189</c:v>
                </c:pt>
                <c:pt idx="505">
                  <c:v>9830272.8190114498</c:v>
                </c:pt>
                <c:pt idx="506">
                  <c:v>9832890.0017662123</c:v>
                </c:pt>
                <c:pt idx="507">
                  <c:v>9751433.2019860502</c:v>
                </c:pt>
                <c:pt idx="508">
                  <c:v>9815011.4230951797</c:v>
                </c:pt>
                <c:pt idx="509">
                  <c:v>9967979.3741117101</c:v>
                </c:pt>
                <c:pt idx="510">
                  <c:v>10010234.759427158</c:v>
                </c:pt>
                <c:pt idx="511">
                  <c:v>10150128.372443853</c:v>
                </c:pt>
                <c:pt idx="512">
                  <c:v>10049374.129170472</c:v>
                </c:pt>
                <c:pt idx="513">
                  <c:v>10086520.18855875</c:v>
                </c:pt>
                <c:pt idx="514">
                  <c:v>9996670.2437527254</c:v>
                </c:pt>
                <c:pt idx="515">
                  <c:v>10043069.497665754</c:v>
                </c:pt>
                <c:pt idx="516">
                  <c:v>10058102.239972726</c:v>
                </c:pt>
                <c:pt idx="517">
                  <c:v>10131998.556155086</c:v>
                </c:pt>
                <c:pt idx="518">
                  <c:v>10096952.248217097</c:v>
                </c:pt>
                <c:pt idx="519">
                  <c:v>10040393.862235606</c:v>
                </c:pt>
                <c:pt idx="520">
                  <c:v>10191817.983892556</c:v>
                </c:pt>
                <c:pt idx="521">
                  <c:v>10085071.584288947</c:v>
                </c:pt>
                <c:pt idx="522">
                  <c:v>10215495.652255807</c:v>
                </c:pt>
                <c:pt idx="523">
                  <c:v>10193132.676897801</c:v>
                </c:pt>
                <c:pt idx="524">
                  <c:v>10174025.563587591</c:v>
                </c:pt>
                <c:pt idx="525">
                  <c:v>10199587.210359542</c:v>
                </c:pt>
                <c:pt idx="526">
                  <c:v>10234139.952309964</c:v>
                </c:pt>
                <c:pt idx="527">
                  <c:v>10303675.530875422</c:v>
                </c:pt>
                <c:pt idx="528">
                  <c:v>10298765.407863516</c:v>
                </c:pt>
                <c:pt idx="529">
                  <c:v>10370417.311485961</c:v>
                </c:pt>
                <c:pt idx="530">
                  <c:v>10386407.891449822</c:v>
                </c:pt>
                <c:pt idx="531">
                  <c:v>10423187.101013916</c:v>
                </c:pt>
                <c:pt idx="532">
                  <c:v>10423627.625624731</c:v>
                </c:pt>
                <c:pt idx="533">
                  <c:v>10389587.54936472</c:v>
                </c:pt>
                <c:pt idx="534">
                  <c:v>10358943.930557495</c:v>
                </c:pt>
                <c:pt idx="535">
                  <c:v>10250521.836857216</c:v>
                </c:pt>
                <c:pt idx="536">
                  <c:v>10186215.010958387</c:v>
                </c:pt>
                <c:pt idx="537">
                  <c:v>10107515.164588297</c:v>
                </c:pt>
                <c:pt idx="538">
                  <c:v>10085829.925348492</c:v>
                </c:pt>
                <c:pt idx="539">
                  <c:v>10006025.59320966</c:v>
                </c:pt>
                <c:pt idx="540">
                  <c:v>10118250.479090817</c:v>
                </c:pt>
                <c:pt idx="541">
                  <c:v>10245955.567038143</c:v>
                </c:pt>
                <c:pt idx="542">
                  <c:v>10282949.674330112</c:v>
                </c:pt>
                <c:pt idx="543">
                  <c:v>10224321.940116607</c:v>
                </c:pt>
                <c:pt idx="544">
                  <c:v>10217563.833931478</c:v>
                </c:pt>
                <c:pt idx="545">
                  <c:v>10179519.375498135</c:v>
                </c:pt>
                <c:pt idx="546">
                  <c:v>10049378.083021685</c:v>
                </c:pt>
                <c:pt idx="547">
                  <c:v>10046045.995977163</c:v>
                </c:pt>
                <c:pt idx="548">
                  <c:v>10035071.911831357</c:v>
                </c:pt>
                <c:pt idx="549">
                  <c:v>9961755.6002112888</c:v>
                </c:pt>
                <c:pt idx="550">
                  <c:v>10026686.468315747</c:v>
                </c:pt>
                <c:pt idx="551">
                  <c:v>10060646.909798346</c:v>
                </c:pt>
                <c:pt idx="552">
                  <c:v>10087603.213516556</c:v>
                </c:pt>
                <c:pt idx="553">
                  <c:v>10028685.653310476</c:v>
                </c:pt>
                <c:pt idx="554">
                  <c:v>9944455.9077739902</c:v>
                </c:pt>
                <c:pt idx="555">
                  <c:v>10092471.005031118</c:v>
                </c:pt>
                <c:pt idx="556">
                  <c:v>10039279.562226504</c:v>
                </c:pt>
                <c:pt idx="557">
                  <c:v>10162628.724808397</c:v>
                </c:pt>
                <c:pt idx="558">
                  <c:v>10120870.518380465</c:v>
                </c:pt>
                <c:pt idx="559">
                  <c:v>10211713.652283378</c:v>
                </c:pt>
                <c:pt idx="560">
                  <c:v>10235773.228642289</c:v>
                </c:pt>
                <c:pt idx="561">
                  <c:v>10210392.169616645</c:v>
                </c:pt>
                <c:pt idx="562">
                  <c:v>10202208.657153573</c:v>
                </c:pt>
                <c:pt idx="563">
                  <c:v>10110389.759780064</c:v>
                </c:pt>
                <c:pt idx="564">
                  <c:v>10101559.926157828</c:v>
                </c:pt>
                <c:pt idx="565">
                  <c:v>10082194.168090606</c:v>
                </c:pt>
                <c:pt idx="566">
                  <c:v>10103859.482270837</c:v>
                </c:pt>
                <c:pt idx="567">
                  <c:v>10113529.37667409</c:v>
                </c:pt>
                <c:pt idx="568">
                  <c:v>10182648.019866971</c:v>
                </c:pt>
                <c:pt idx="569">
                  <c:v>10287066.364767846</c:v>
                </c:pt>
                <c:pt idx="570">
                  <c:v>10347881.621647336</c:v>
                </c:pt>
                <c:pt idx="571">
                  <c:v>10372015.876103483</c:v>
                </c:pt>
                <c:pt idx="572">
                  <c:v>10460979.890891651</c:v>
                </c:pt>
                <c:pt idx="573">
                  <c:v>10492146.647542136</c:v>
                </c:pt>
                <c:pt idx="574">
                  <c:v>10396885.269523684</c:v>
                </c:pt>
                <c:pt idx="575">
                  <c:v>10217401.649710059</c:v>
                </c:pt>
                <c:pt idx="576">
                  <c:v>10069766.862658933</c:v>
                </c:pt>
                <c:pt idx="577">
                  <c:v>10047445.841092724</c:v>
                </c:pt>
                <c:pt idx="578">
                  <c:v>9999865.9359750375</c:v>
                </c:pt>
                <c:pt idx="579">
                  <c:v>10069659.152215239</c:v>
                </c:pt>
                <c:pt idx="580">
                  <c:v>10084003.588878183</c:v>
                </c:pt>
                <c:pt idx="581">
                  <c:v>10036079.28741779</c:v>
                </c:pt>
                <c:pt idx="582">
                  <c:v>9945745.8473121077</c:v>
                </c:pt>
                <c:pt idx="583">
                  <c:v>9965467.4399163667</c:v>
                </c:pt>
                <c:pt idx="584">
                  <c:v>9958583.9578488115</c:v>
                </c:pt>
                <c:pt idx="585">
                  <c:v>9976051.173455067</c:v>
                </c:pt>
                <c:pt idx="586">
                  <c:v>9966575.5962991044</c:v>
                </c:pt>
                <c:pt idx="587">
                  <c:v>9953114.9294233061</c:v>
                </c:pt>
                <c:pt idx="588">
                  <c:v>9991634.2672559079</c:v>
                </c:pt>
                <c:pt idx="589">
                  <c:v>9971234.4026580919</c:v>
                </c:pt>
                <c:pt idx="590">
                  <c:v>10089790.706400288</c:v>
                </c:pt>
                <c:pt idx="591">
                  <c:v>10011609.434405487</c:v>
                </c:pt>
                <c:pt idx="592">
                  <c:v>10029863.23261101</c:v>
                </c:pt>
                <c:pt idx="593">
                  <c:v>10068737.714853622</c:v>
                </c:pt>
                <c:pt idx="594">
                  <c:v>9948445.7031209227</c:v>
                </c:pt>
                <c:pt idx="595">
                  <c:v>9947921.6837094892</c:v>
                </c:pt>
                <c:pt idx="596">
                  <c:v>9909749.733527055</c:v>
                </c:pt>
                <c:pt idx="597">
                  <c:v>9928297.0719523579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B-411A-8D1B-E51814712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46383"/>
        <c:axId val="686954703"/>
      </c:scatterChart>
      <c:valAx>
        <c:axId val="686946383"/>
        <c:scaling>
          <c:orientation val="minMax"/>
          <c:max val="39850"/>
          <c:min val="3893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3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6954703"/>
        <c:crosses val="autoZero"/>
        <c:crossBetween val="midCat"/>
      </c:valAx>
      <c:valAx>
        <c:axId val="686954703"/>
        <c:scaling>
          <c:orientation val="minMax"/>
          <c:min val="5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694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'Simulación ST'!$C$2</c:f>
              <c:strCache>
                <c:ptCount val="1"/>
                <c:pt idx="0">
                  <c:v>DJIA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'Simulación ST'!$B$3:$B$600</c:f>
              <c:numCache>
                <c:formatCode>d\-mmm\-yy</c:formatCode>
                <c:ptCount val="598"/>
                <c:pt idx="0">
                  <c:v>38936</c:v>
                </c:pt>
                <c:pt idx="1">
                  <c:v>38937</c:v>
                </c:pt>
                <c:pt idx="2">
                  <c:v>38938</c:v>
                </c:pt>
                <c:pt idx="3">
                  <c:v>38939</c:v>
                </c:pt>
                <c:pt idx="4">
                  <c:v>38940</c:v>
                </c:pt>
                <c:pt idx="5">
                  <c:v>38943</c:v>
                </c:pt>
                <c:pt idx="6">
                  <c:v>38944</c:v>
                </c:pt>
                <c:pt idx="7">
                  <c:v>38945</c:v>
                </c:pt>
                <c:pt idx="8">
                  <c:v>38946</c:v>
                </c:pt>
                <c:pt idx="9">
                  <c:v>38947</c:v>
                </c:pt>
                <c:pt idx="10">
                  <c:v>38950</c:v>
                </c:pt>
                <c:pt idx="11">
                  <c:v>38951</c:v>
                </c:pt>
                <c:pt idx="12">
                  <c:v>38952</c:v>
                </c:pt>
                <c:pt idx="13">
                  <c:v>38953</c:v>
                </c:pt>
                <c:pt idx="14">
                  <c:v>38954</c:v>
                </c:pt>
                <c:pt idx="15">
                  <c:v>38958</c:v>
                </c:pt>
                <c:pt idx="16">
                  <c:v>38959</c:v>
                </c:pt>
                <c:pt idx="17">
                  <c:v>38960</c:v>
                </c:pt>
                <c:pt idx="18">
                  <c:v>38961</c:v>
                </c:pt>
                <c:pt idx="19">
                  <c:v>38965</c:v>
                </c:pt>
                <c:pt idx="20">
                  <c:v>38966</c:v>
                </c:pt>
                <c:pt idx="21">
                  <c:v>38967</c:v>
                </c:pt>
                <c:pt idx="22">
                  <c:v>38968</c:v>
                </c:pt>
                <c:pt idx="23">
                  <c:v>38971</c:v>
                </c:pt>
                <c:pt idx="24">
                  <c:v>38972</c:v>
                </c:pt>
                <c:pt idx="25">
                  <c:v>38973</c:v>
                </c:pt>
                <c:pt idx="26">
                  <c:v>38974</c:v>
                </c:pt>
                <c:pt idx="27">
                  <c:v>38975</c:v>
                </c:pt>
                <c:pt idx="28">
                  <c:v>38979</c:v>
                </c:pt>
                <c:pt idx="29">
                  <c:v>38980</c:v>
                </c:pt>
                <c:pt idx="30">
                  <c:v>38981</c:v>
                </c:pt>
                <c:pt idx="31">
                  <c:v>38982</c:v>
                </c:pt>
                <c:pt idx="32">
                  <c:v>38985</c:v>
                </c:pt>
                <c:pt idx="33">
                  <c:v>38986</c:v>
                </c:pt>
                <c:pt idx="34">
                  <c:v>38987</c:v>
                </c:pt>
                <c:pt idx="35">
                  <c:v>38988</c:v>
                </c:pt>
                <c:pt idx="36">
                  <c:v>38989</c:v>
                </c:pt>
                <c:pt idx="37">
                  <c:v>38992</c:v>
                </c:pt>
                <c:pt idx="38">
                  <c:v>38993</c:v>
                </c:pt>
                <c:pt idx="39">
                  <c:v>38994</c:v>
                </c:pt>
                <c:pt idx="40">
                  <c:v>38995</c:v>
                </c:pt>
                <c:pt idx="41">
                  <c:v>38996</c:v>
                </c:pt>
                <c:pt idx="42">
                  <c:v>39000</c:v>
                </c:pt>
                <c:pt idx="43">
                  <c:v>39001</c:v>
                </c:pt>
                <c:pt idx="44">
                  <c:v>39002</c:v>
                </c:pt>
                <c:pt idx="45">
                  <c:v>39003</c:v>
                </c:pt>
                <c:pt idx="46">
                  <c:v>39006</c:v>
                </c:pt>
                <c:pt idx="47">
                  <c:v>39007</c:v>
                </c:pt>
                <c:pt idx="48">
                  <c:v>39008</c:v>
                </c:pt>
                <c:pt idx="49">
                  <c:v>39009</c:v>
                </c:pt>
                <c:pt idx="50">
                  <c:v>39010</c:v>
                </c:pt>
                <c:pt idx="51">
                  <c:v>39013</c:v>
                </c:pt>
                <c:pt idx="52">
                  <c:v>39014</c:v>
                </c:pt>
                <c:pt idx="53">
                  <c:v>39015</c:v>
                </c:pt>
                <c:pt idx="54">
                  <c:v>39016</c:v>
                </c:pt>
                <c:pt idx="55">
                  <c:v>39017</c:v>
                </c:pt>
                <c:pt idx="56">
                  <c:v>39020</c:v>
                </c:pt>
                <c:pt idx="57">
                  <c:v>39021</c:v>
                </c:pt>
                <c:pt idx="58">
                  <c:v>39022</c:v>
                </c:pt>
                <c:pt idx="59">
                  <c:v>39023</c:v>
                </c:pt>
                <c:pt idx="60">
                  <c:v>39027</c:v>
                </c:pt>
                <c:pt idx="61">
                  <c:v>39028</c:v>
                </c:pt>
                <c:pt idx="62">
                  <c:v>39029</c:v>
                </c:pt>
                <c:pt idx="63">
                  <c:v>39030</c:v>
                </c:pt>
                <c:pt idx="64">
                  <c:v>39031</c:v>
                </c:pt>
                <c:pt idx="65">
                  <c:v>39034</c:v>
                </c:pt>
                <c:pt idx="66">
                  <c:v>39035</c:v>
                </c:pt>
                <c:pt idx="67">
                  <c:v>39036</c:v>
                </c:pt>
                <c:pt idx="68">
                  <c:v>39037</c:v>
                </c:pt>
                <c:pt idx="69">
                  <c:v>39038</c:v>
                </c:pt>
                <c:pt idx="70">
                  <c:v>39041</c:v>
                </c:pt>
                <c:pt idx="71">
                  <c:v>39042</c:v>
                </c:pt>
                <c:pt idx="72">
                  <c:v>39043</c:v>
                </c:pt>
                <c:pt idx="73">
                  <c:v>39045</c:v>
                </c:pt>
                <c:pt idx="74">
                  <c:v>39048</c:v>
                </c:pt>
                <c:pt idx="75">
                  <c:v>39049</c:v>
                </c:pt>
                <c:pt idx="76">
                  <c:v>39050</c:v>
                </c:pt>
                <c:pt idx="77">
                  <c:v>39051</c:v>
                </c:pt>
                <c:pt idx="78">
                  <c:v>39052</c:v>
                </c:pt>
                <c:pt idx="79">
                  <c:v>39055</c:v>
                </c:pt>
                <c:pt idx="80">
                  <c:v>39056</c:v>
                </c:pt>
                <c:pt idx="81">
                  <c:v>39057</c:v>
                </c:pt>
                <c:pt idx="82">
                  <c:v>39058</c:v>
                </c:pt>
                <c:pt idx="83">
                  <c:v>39059</c:v>
                </c:pt>
                <c:pt idx="84">
                  <c:v>39062</c:v>
                </c:pt>
                <c:pt idx="85">
                  <c:v>39063</c:v>
                </c:pt>
                <c:pt idx="86">
                  <c:v>39064</c:v>
                </c:pt>
                <c:pt idx="87">
                  <c:v>39065</c:v>
                </c:pt>
                <c:pt idx="88">
                  <c:v>39066</c:v>
                </c:pt>
                <c:pt idx="89">
                  <c:v>39069</c:v>
                </c:pt>
                <c:pt idx="90">
                  <c:v>39070</c:v>
                </c:pt>
                <c:pt idx="91">
                  <c:v>39071</c:v>
                </c:pt>
                <c:pt idx="92">
                  <c:v>39072</c:v>
                </c:pt>
                <c:pt idx="93">
                  <c:v>39073</c:v>
                </c:pt>
                <c:pt idx="94">
                  <c:v>39078</c:v>
                </c:pt>
                <c:pt idx="95">
                  <c:v>39079</c:v>
                </c:pt>
                <c:pt idx="96">
                  <c:v>39080</c:v>
                </c:pt>
                <c:pt idx="97">
                  <c:v>39086</c:v>
                </c:pt>
                <c:pt idx="98">
                  <c:v>39087</c:v>
                </c:pt>
                <c:pt idx="99">
                  <c:v>39091</c:v>
                </c:pt>
                <c:pt idx="100">
                  <c:v>39092</c:v>
                </c:pt>
                <c:pt idx="101">
                  <c:v>39093</c:v>
                </c:pt>
                <c:pt idx="102">
                  <c:v>39094</c:v>
                </c:pt>
                <c:pt idx="103">
                  <c:v>39098</c:v>
                </c:pt>
                <c:pt idx="104">
                  <c:v>39099</c:v>
                </c:pt>
                <c:pt idx="105">
                  <c:v>39100</c:v>
                </c:pt>
                <c:pt idx="106">
                  <c:v>39101</c:v>
                </c:pt>
                <c:pt idx="107">
                  <c:v>39104</c:v>
                </c:pt>
                <c:pt idx="108">
                  <c:v>39105</c:v>
                </c:pt>
                <c:pt idx="109">
                  <c:v>39106</c:v>
                </c:pt>
                <c:pt idx="110">
                  <c:v>39107</c:v>
                </c:pt>
                <c:pt idx="111">
                  <c:v>39108</c:v>
                </c:pt>
                <c:pt idx="112">
                  <c:v>39111</c:v>
                </c:pt>
                <c:pt idx="113">
                  <c:v>39112</c:v>
                </c:pt>
                <c:pt idx="114">
                  <c:v>39113</c:v>
                </c:pt>
                <c:pt idx="115">
                  <c:v>39114</c:v>
                </c:pt>
                <c:pt idx="116">
                  <c:v>39115</c:v>
                </c:pt>
                <c:pt idx="117">
                  <c:v>39118</c:v>
                </c:pt>
                <c:pt idx="118">
                  <c:v>39119</c:v>
                </c:pt>
                <c:pt idx="119">
                  <c:v>39120</c:v>
                </c:pt>
                <c:pt idx="120">
                  <c:v>39121</c:v>
                </c:pt>
                <c:pt idx="121">
                  <c:v>39122</c:v>
                </c:pt>
                <c:pt idx="122">
                  <c:v>39126</c:v>
                </c:pt>
                <c:pt idx="123">
                  <c:v>39127</c:v>
                </c:pt>
                <c:pt idx="124">
                  <c:v>39128</c:v>
                </c:pt>
                <c:pt idx="125">
                  <c:v>39129</c:v>
                </c:pt>
                <c:pt idx="126">
                  <c:v>39133</c:v>
                </c:pt>
                <c:pt idx="127">
                  <c:v>39134</c:v>
                </c:pt>
                <c:pt idx="128">
                  <c:v>39135</c:v>
                </c:pt>
                <c:pt idx="129">
                  <c:v>39136</c:v>
                </c:pt>
                <c:pt idx="130">
                  <c:v>39139</c:v>
                </c:pt>
                <c:pt idx="131">
                  <c:v>39140</c:v>
                </c:pt>
                <c:pt idx="132">
                  <c:v>39141</c:v>
                </c:pt>
                <c:pt idx="133">
                  <c:v>39142</c:v>
                </c:pt>
                <c:pt idx="134">
                  <c:v>39143</c:v>
                </c:pt>
                <c:pt idx="135">
                  <c:v>39146</c:v>
                </c:pt>
                <c:pt idx="136">
                  <c:v>39147</c:v>
                </c:pt>
                <c:pt idx="137">
                  <c:v>39148</c:v>
                </c:pt>
                <c:pt idx="138">
                  <c:v>39149</c:v>
                </c:pt>
                <c:pt idx="139">
                  <c:v>39150</c:v>
                </c:pt>
                <c:pt idx="140">
                  <c:v>39153</c:v>
                </c:pt>
                <c:pt idx="141">
                  <c:v>39154</c:v>
                </c:pt>
                <c:pt idx="142">
                  <c:v>39155</c:v>
                </c:pt>
                <c:pt idx="143">
                  <c:v>39156</c:v>
                </c:pt>
                <c:pt idx="144">
                  <c:v>39157</c:v>
                </c:pt>
                <c:pt idx="145">
                  <c:v>39160</c:v>
                </c:pt>
                <c:pt idx="146">
                  <c:v>39161</c:v>
                </c:pt>
                <c:pt idx="147">
                  <c:v>39163</c:v>
                </c:pt>
                <c:pt idx="148">
                  <c:v>39164</c:v>
                </c:pt>
                <c:pt idx="149">
                  <c:v>39167</c:v>
                </c:pt>
                <c:pt idx="150">
                  <c:v>39168</c:v>
                </c:pt>
                <c:pt idx="151">
                  <c:v>39169</c:v>
                </c:pt>
                <c:pt idx="152">
                  <c:v>39170</c:v>
                </c:pt>
                <c:pt idx="153">
                  <c:v>39171</c:v>
                </c:pt>
                <c:pt idx="154">
                  <c:v>39174</c:v>
                </c:pt>
                <c:pt idx="155">
                  <c:v>39175</c:v>
                </c:pt>
                <c:pt idx="156">
                  <c:v>39176</c:v>
                </c:pt>
                <c:pt idx="157">
                  <c:v>39177</c:v>
                </c:pt>
                <c:pt idx="158">
                  <c:v>39182</c:v>
                </c:pt>
                <c:pt idx="159">
                  <c:v>39183</c:v>
                </c:pt>
                <c:pt idx="160">
                  <c:v>39184</c:v>
                </c:pt>
                <c:pt idx="161">
                  <c:v>39185</c:v>
                </c:pt>
                <c:pt idx="162">
                  <c:v>39188</c:v>
                </c:pt>
                <c:pt idx="163">
                  <c:v>39189</c:v>
                </c:pt>
                <c:pt idx="164">
                  <c:v>39190</c:v>
                </c:pt>
                <c:pt idx="165">
                  <c:v>39191</c:v>
                </c:pt>
                <c:pt idx="166">
                  <c:v>39192</c:v>
                </c:pt>
                <c:pt idx="167">
                  <c:v>39195</c:v>
                </c:pt>
                <c:pt idx="168">
                  <c:v>39196</c:v>
                </c:pt>
                <c:pt idx="169">
                  <c:v>39197</c:v>
                </c:pt>
                <c:pt idx="170">
                  <c:v>39198</c:v>
                </c:pt>
                <c:pt idx="171">
                  <c:v>39199</c:v>
                </c:pt>
                <c:pt idx="172">
                  <c:v>39204</c:v>
                </c:pt>
                <c:pt idx="173">
                  <c:v>39210</c:v>
                </c:pt>
                <c:pt idx="174">
                  <c:v>39211</c:v>
                </c:pt>
                <c:pt idx="175">
                  <c:v>39212</c:v>
                </c:pt>
                <c:pt idx="176">
                  <c:v>39213</c:v>
                </c:pt>
                <c:pt idx="177">
                  <c:v>39216</c:v>
                </c:pt>
                <c:pt idx="178">
                  <c:v>39217</c:v>
                </c:pt>
                <c:pt idx="179">
                  <c:v>39218</c:v>
                </c:pt>
                <c:pt idx="180">
                  <c:v>39219</c:v>
                </c:pt>
                <c:pt idx="181">
                  <c:v>39220</c:v>
                </c:pt>
                <c:pt idx="182">
                  <c:v>39223</c:v>
                </c:pt>
                <c:pt idx="183">
                  <c:v>39224</c:v>
                </c:pt>
                <c:pt idx="184">
                  <c:v>39225</c:v>
                </c:pt>
                <c:pt idx="185">
                  <c:v>39226</c:v>
                </c:pt>
                <c:pt idx="186">
                  <c:v>39227</c:v>
                </c:pt>
                <c:pt idx="187">
                  <c:v>39231</c:v>
                </c:pt>
                <c:pt idx="188">
                  <c:v>39232</c:v>
                </c:pt>
                <c:pt idx="189">
                  <c:v>39233</c:v>
                </c:pt>
                <c:pt idx="190">
                  <c:v>39234</c:v>
                </c:pt>
                <c:pt idx="191">
                  <c:v>39237</c:v>
                </c:pt>
                <c:pt idx="192">
                  <c:v>39238</c:v>
                </c:pt>
                <c:pt idx="193">
                  <c:v>39239</c:v>
                </c:pt>
                <c:pt idx="194">
                  <c:v>39240</c:v>
                </c:pt>
                <c:pt idx="195">
                  <c:v>39241</c:v>
                </c:pt>
                <c:pt idx="196">
                  <c:v>39244</c:v>
                </c:pt>
                <c:pt idx="197">
                  <c:v>39245</c:v>
                </c:pt>
                <c:pt idx="198">
                  <c:v>39246</c:v>
                </c:pt>
                <c:pt idx="199">
                  <c:v>39247</c:v>
                </c:pt>
                <c:pt idx="200">
                  <c:v>39248</c:v>
                </c:pt>
                <c:pt idx="201">
                  <c:v>39251</c:v>
                </c:pt>
                <c:pt idx="202">
                  <c:v>39252</c:v>
                </c:pt>
                <c:pt idx="203">
                  <c:v>39253</c:v>
                </c:pt>
                <c:pt idx="204">
                  <c:v>39254</c:v>
                </c:pt>
                <c:pt idx="205">
                  <c:v>39255</c:v>
                </c:pt>
                <c:pt idx="206">
                  <c:v>39258</c:v>
                </c:pt>
                <c:pt idx="207">
                  <c:v>39259</c:v>
                </c:pt>
                <c:pt idx="208">
                  <c:v>39260</c:v>
                </c:pt>
                <c:pt idx="209">
                  <c:v>39261</c:v>
                </c:pt>
                <c:pt idx="210">
                  <c:v>39262</c:v>
                </c:pt>
                <c:pt idx="211">
                  <c:v>39265</c:v>
                </c:pt>
                <c:pt idx="212">
                  <c:v>39266</c:v>
                </c:pt>
                <c:pt idx="213">
                  <c:v>39268</c:v>
                </c:pt>
                <c:pt idx="214">
                  <c:v>39269</c:v>
                </c:pt>
                <c:pt idx="215">
                  <c:v>39272</c:v>
                </c:pt>
                <c:pt idx="216">
                  <c:v>39273</c:v>
                </c:pt>
                <c:pt idx="217">
                  <c:v>39274</c:v>
                </c:pt>
                <c:pt idx="218">
                  <c:v>39275</c:v>
                </c:pt>
                <c:pt idx="219">
                  <c:v>39276</c:v>
                </c:pt>
                <c:pt idx="220">
                  <c:v>39280</c:v>
                </c:pt>
                <c:pt idx="221">
                  <c:v>39281</c:v>
                </c:pt>
                <c:pt idx="222">
                  <c:v>39282</c:v>
                </c:pt>
                <c:pt idx="223">
                  <c:v>39283</c:v>
                </c:pt>
                <c:pt idx="224">
                  <c:v>39286</c:v>
                </c:pt>
                <c:pt idx="225">
                  <c:v>39287</c:v>
                </c:pt>
                <c:pt idx="226">
                  <c:v>39288</c:v>
                </c:pt>
                <c:pt idx="227">
                  <c:v>39289</c:v>
                </c:pt>
                <c:pt idx="228">
                  <c:v>39290</c:v>
                </c:pt>
                <c:pt idx="229">
                  <c:v>39293</c:v>
                </c:pt>
                <c:pt idx="230">
                  <c:v>39294</c:v>
                </c:pt>
                <c:pt idx="231">
                  <c:v>39295</c:v>
                </c:pt>
                <c:pt idx="232">
                  <c:v>39296</c:v>
                </c:pt>
                <c:pt idx="233">
                  <c:v>39297</c:v>
                </c:pt>
                <c:pt idx="234">
                  <c:v>39300</c:v>
                </c:pt>
                <c:pt idx="235">
                  <c:v>39301</c:v>
                </c:pt>
                <c:pt idx="236">
                  <c:v>39302</c:v>
                </c:pt>
                <c:pt idx="237">
                  <c:v>39303</c:v>
                </c:pt>
                <c:pt idx="238">
                  <c:v>39304</c:v>
                </c:pt>
                <c:pt idx="239">
                  <c:v>39307</c:v>
                </c:pt>
                <c:pt idx="240">
                  <c:v>39308</c:v>
                </c:pt>
                <c:pt idx="241">
                  <c:v>39309</c:v>
                </c:pt>
                <c:pt idx="242">
                  <c:v>39310</c:v>
                </c:pt>
                <c:pt idx="243">
                  <c:v>39311</c:v>
                </c:pt>
                <c:pt idx="244">
                  <c:v>39314</c:v>
                </c:pt>
                <c:pt idx="245">
                  <c:v>39315</c:v>
                </c:pt>
                <c:pt idx="246">
                  <c:v>39316</c:v>
                </c:pt>
                <c:pt idx="247">
                  <c:v>39317</c:v>
                </c:pt>
                <c:pt idx="248">
                  <c:v>39318</c:v>
                </c:pt>
                <c:pt idx="249">
                  <c:v>39322</c:v>
                </c:pt>
                <c:pt idx="250">
                  <c:v>39323</c:v>
                </c:pt>
                <c:pt idx="251">
                  <c:v>39324</c:v>
                </c:pt>
                <c:pt idx="252">
                  <c:v>39325</c:v>
                </c:pt>
                <c:pt idx="253">
                  <c:v>39329</c:v>
                </c:pt>
                <c:pt idx="254">
                  <c:v>39330</c:v>
                </c:pt>
                <c:pt idx="255">
                  <c:v>39331</c:v>
                </c:pt>
                <c:pt idx="256">
                  <c:v>39332</c:v>
                </c:pt>
                <c:pt idx="257">
                  <c:v>39335</c:v>
                </c:pt>
                <c:pt idx="258">
                  <c:v>39336</c:v>
                </c:pt>
                <c:pt idx="259">
                  <c:v>39337</c:v>
                </c:pt>
                <c:pt idx="260">
                  <c:v>39338</c:v>
                </c:pt>
                <c:pt idx="261">
                  <c:v>39339</c:v>
                </c:pt>
                <c:pt idx="262">
                  <c:v>39343</c:v>
                </c:pt>
                <c:pt idx="263">
                  <c:v>39344</c:v>
                </c:pt>
                <c:pt idx="264">
                  <c:v>39345</c:v>
                </c:pt>
                <c:pt idx="265">
                  <c:v>39346</c:v>
                </c:pt>
                <c:pt idx="266">
                  <c:v>39350</c:v>
                </c:pt>
                <c:pt idx="267">
                  <c:v>39351</c:v>
                </c:pt>
                <c:pt idx="268">
                  <c:v>39352</c:v>
                </c:pt>
                <c:pt idx="269">
                  <c:v>39353</c:v>
                </c:pt>
                <c:pt idx="270">
                  <c:v>39356</c:v>
                </c:pt>
                <c:pt idx="271">
                  <c:v>39357</c:v>
                </c:pt>
                <c:pt idx="272">
                  <c:v>39358</c:v>
                </c:pt>
                <c:pt idx="273">
                  <c:v>39359</c:v>
                </c:pt>
                <c:pt idx="274">
                  <c:v>39360</c:v>
                </c:pt>
                <c:pt idx="275">
                  <c:v>39364</c:v>
                </c:pt>
                <c:pt idx="276">
                  <c:v>39365</c:v>
                </c:pt>
                <c:pt idx="277">
                  <c:v>39366</c:v>
                </c:pt>
                <c:pt idx="278">
                  <c:v>39367</c:v>
                </c:pt>
                <c:pt idx="279">
                  <c:v>39370</c:v>
                </c:pt>
                <c:pt idx="280">
                  <c:v>39371</c:v>
                </c:pt>
                <c:pt idx="281">
                  <c:v>39372</c:v>
                </c:pt>
                <c:pt idx="282">
                  <c:v>39373</c:v>
                </c:pt>
                <c:pt idx="283">
                  <c:v>39374</c:v>
                </c:pt>
                <c:pt idx="284">
                  <c:v>39377</c:v>
                </c:pt>
                <c:pt idx="285">
                  <c:v>39378</c:v>
                </c:pt>
                <c:pt idx="286">
                  <c:v>39379</c:v>
                </c:pt>
                <c:pt idx="287">
                  <c:v>39380</c:v>
                </c:pt>
                <c:pt idx="288">
                  <c:v>39381</c:v>
                </c:pt>
                <c:pt idx="289">
                  <c:v>39384</c:v>
                </c:pt>
                <c:pt idx="290">
                  <c:v>39385</c:v>
                </c:pt>
                <c:pt idx="291">
                  <c:v>39386</c:v>
                </c:pt>
                <c:pt idx="292">
                  <c:v>39387</c:v>
                </c:pt>
                <c:pt idx="293">
                  <c:v>39388</c:v>
                </c:pt>
                <c:pt idx="294">
                  <c:v>39391</c:v>
                </c:pt>
                <c:pt idx="295">
                  <c:v>39392</c:v>
                </c:pt>
                <c:pt idx="296">
                  <c:v>39393</c:v>
                </c:pt>
                <c:pt idx="297">
                  <c:v>39394</c:v>
                </c:pt>
                <c:pt idx="298">
                  <c:v>39395</c:v>
                </c:pt>
                <c:pt idx="299">
                  <c:v>39398</c:v>
                </c:pt>
                <c:pt idx="300">
                  <c:v>39399</c:v>
                </c:pt>
                <c:pt idx="301">
                  <c:v>39400</c:v>
                </c:pt>
                <c:pt idx="302">
                  <c:v>39401</c:v>
                </c:pt>
                <c:pt idx="303">
                  <c:v>39402</c:v>
                </c:pt>
                <c:pt idx="304">
                  <c:v>39405</c:v>
                </c:pt>
                <c:pt idx="305">
                  <c:v>39406</c:v>
                </c:pt>
                <c:pt idx="306">
                  <c:v>39407</c:v>
                </c:pt>
                <c:pt idx="307">
                  <c:v>39412</c:v>
                </c:pt>
                <c:pt idx="308">
                  <c:v>39413</c:v>
                </c:pt>
                <c:pt idx="309">
                  <c:v>39414</c:v>
                </c:pt>
                <c:pt idx="310">
                  <c:v>39415</c:v>
                </c:pt>
                <c:pt idx="311">
                  <c:v>39416</c:v>
                </c:pt>
                <c:pt idx="312">
                  <c:v>39419</c:v>
                </c:pt>
                <c:pt idx="313">
                  <c:v>39420</c:v>
                </c:pt>
                <c:pt idx="314">
                  <c:v>39421</c:v>
                </c:pt>
                <c:pt idx="315">
                  <c:v>39422</c:v>
                </c:pt>
                <c:pt idx="316">
                  <c:v>39423</c:v>
                </c:pt>
                <c:pt idx="317">
                  <c:v>39426</c:v>
                </c:pt>
                <c:pt idx="318">
                  <c:v>39427</c:v>
                </c:pt>
                <c:pt idx="319">
                  <c:v>39428</c:v>
                </c:pt>
                <c:pt idx="320">
                  <c:v>39429</c:v>
                </c:pt>
                <c:pt idx="321">
                  <c:v>39430</c:v>
                </c:pt>
                <c:pt idx="322">
                  <c:v>39433</c:v>
                </c:pt>
                <c:pt idx="323">
                  <c:v>39434</c:v>
                </c:pt>
                <c:pt idx="324">
                  <c:v>39435</c:v>
                </c:pt>
                <c:pt idx="325">
                  <c:v>39436</c:v>
                </c:pt>
                <c:pt idx="326">
                  <c:v>39437</c:v>
                </c:pt>
                <c:pt idx="327">
                  <c:v>39443</c:v>
                </c:pt>
                <c:pt idx="328">
                  <c:v>39444</c:v>
                </c:pt>
                <c:pt idx="329">
                  <c:v>39451</c:v>
                </c:pt>
                <c:pt idx="330">
                  <c:v>39454</c:v>
                </c:pt>
                <c:pt idx="331">
                  <c:v>39455</c:v>
                </c:pt>
                <c:pt idx="332">
                  <c:v>39456</c:v>
                </c:pt>
                <c:pt idx="333">
                  <c:v>39457</c:v>
                </c:pt>
                <c:pt idx="334">
                  <c:v>39458</c:v>
                </c:pt>
                <c:pt idx="335">
                  <c:v>39462</c:v>
                </c:pt>
                <c:pt idx="336">
                  <c:v>39463</c:v>
                </c:pt>
                <c:pt idx="337">
                  <c:v>39464</c:v>
                </c:pt>
                <c:pt idx="338">
                  <c:v>39465</c:v>
                </c:pt>
                <c:pt idx="339">
                  <c:v>39469</c:v>
                </c:pt>
                <c:pt idx="340">
                  <c:v>39470</c:v>
                </c:pt>
                <c:pt idx="341">
                  <c:v>39471</c:v>
                </c:pt>
                <c:pt idx="342">
                  <c:v>39472</c:v>
                </c:pt>
                <c:pt idx="343">
                  <c:v>39475</c:v>
                </c:pt>
                <c:pt idx="344">
                  <c:v>39476</c:v>
                </c:pt>
                <c:pt idx="345">
                  <c:v>39477</c:v>
                </c:pt>
                <c:pt idx="346">
                  <c:v>39478</c:v>
                </c:pt>
                <c:pt idx="347">
                  <c:v>39479</c:v>
                </c:pt>
                <c:pt idx="348">
                  <c:v>39482</c:v>
                </c:pt>
                <c:pt idx="349">
                  <c:v>39483</c:v>
                </c:pt>
                <c:pt idx="350">
                  <c:v>39484</c:v>
                </c:pt>
                <c:pt idx="351">
                  <c:v>39485</c:v>
                </c:pt>
                <c:pt idx="352">
                  <c:v>39486</c:v>
                </c:pt>
                <c:pt idx="353">
                  <c:v>39490</c:v>
                </c:pt>
                <c:pt idx="354">
                  <c:v>39491</c:v>
                </c:pt>
                <c:pt idx="355">
                  <c:v>39492</c:v>
                </c:pt>
                <c:pt idx="356">
                  <c:v>39493</c:v>
                </c:pt>
                <c:pt idx="357">
                  <c:v>39497</c:v>
                </c:pt>
                <c:pt idx="358">
                  <c:v>39498</c:v>
                </c:pt>
                <c:pt idx="359">
                  <c:v>39499</c:v>
                </c:pt>
                <c:pt idx="360">
                  <c:v>39500</c:v>
                </c:pt>
                <c:pt idx="361">
                  <c:v>39503</c:v>
                </c:pt>
                <c:pt idx="362">
                  <c:v>39504</c:v>
                </c:pt>
                <c:pt idx="363">
                  <c:v>39505</c:v>
                </c:pt>
                <c:pt idx="364">
                  <c:v>39506</c:v>
                </c:pt>
                <c:pt idx="365">
                  <c:v>39507</c:v>
                </c:pt>
                <c:pt idx="366">
                  <c:v>39510</c:v>
                </c:pt>
                <c:pt idx="367">
                  <c:v>39511</c:v>
                </c:pt>
                <c:pt idx="368">
                  <c:v>39512</c:v>
                </c:pt>
                <c:pt idx="369">
                  <c:v>39513</c:v>
                </c:pt>
                <c:pt idx="370">
                  <c:v>39514</c:v>
                </c:pt>
                <c:pt idx="371">
                  <c:v>39517</c:v>
                </c:pt>
                <c:pt idx="372">
                  <c:v>39518</c:v>
                </c:pt>
                <c:pt idx="373">
                  <c:v>39519</c:v>
                </c:pt>
                <c:pt idx="374">
                  <c:v>39520</c:v>
                </c:pt>
                <c:pt idx="375">
                  <c:v>39521</c:v>
                </c:pt>
                <c:pt idx="376">
                  <c:v>39524</c:v>
                </c:pt>
                <c:pt idx="377">
                  <c:v>39525</c:v>
                </c:pt>
                <c:pt idx="378">
                  <c:v>39526</c:v>
                </c:pt>
                <c:pt idx="379">
                  <c:v>39532</c:v>
                </c:pt>
                <c:pt idx="380">
                  <c:v>39533</c:v>
                </c:pt>
                <c:pt idx="381">
                  <c:v>39534</c:v>
                </c:pt>
                <c:pt idx="382">
                  <c:v>39535</c:v>
                </c:pt>
                <c:pt idx="383">
                  <c:v>39538</c:v>
                </c:pt>
                <c:pt idx="384">
                  <c:v>39539</c:v>
                </c:pt>
                <c:pt idx="385">
                  <c:v>39540</c:v>
                </c:pt>
                <c:pt idx="386">
                  <c:v>39541</c:v>
                </c:pt>
                <c:pt idx="387">
                  <c:v>39542</c:v>
                </c:pt>
                <c:pt idx="388">
                  <c:v>39545</c:v>
                </c:pt>
                <c:pt idx="389">
                  <c:v>39546</c:v>
                </c:pt>
                <c:pt idx="390">
                  <c:v>39547</c:v>
                </c:pt>
                <c:pt idx="391">
                  <c:v>39548</c:v>
                </c:pt>
                <c:pt idx="392">
                  <c:v>39549</c:v>
                </c:pt>
                <c:pt idx="393">
                  <c:v>39552</c:v>
                </c:pt>
                <c:pt idx="394">
                  <c:v>39553</c:v>
                </c:pt>
                <c:pt idx="395">
                  <c:v>39554</c:v>
                </c:pt>
                <c:pt idx="396">
                  <c:v>39555</c:v>
                </c:pt>
                <c:pt idx="397">
                  <c:v>39556</c:v>
                </c:pt>
                <c:pt idx="398">
                  <c:v>39559</c:v>
                </c:pt>
                <c:pt idx="399">
                  <c:v>39560</c:v>
                </c:pt>
                <c:pt idx="400">
                  <c:v>39561</c:v>
                </c:pt>
                <c:pt idx="401">
                  <c:v>39562</c:v>
                </c:pt>
                <c:pt idx="402">
                  <c:v>39563</c:v>
                </c:pt>
                <c:pt idx="403">
                  <c:v>39566</c:v>
                </c:pt>
                <c:pt idx="404">
                  <c:v>39568</c:v>
                </c:pt>
                <c:pt idx="405">
                  <c:v>39570</c:v>
                </c:pt>
                <c:pt idx="406">
                  <c:v>39575</c:v>
                </c:pt>
                <c:pt idx="407">
                  <c:v>39576</c:v>
                </c:pt>
                <c:pt idx="408">
                  <c:v>39577</c:v>
                </c:pt>
                <c:pt idx="409">
                  <c:v>39580</c:v>
                </c:pt>
                <c:pt idx="410">
                  <c:v>39581</c:v>
                </c:pt>
                <c:pt idx="411">
                  <c:v>39582</c:v>
                </c:pt>
                <c:pt idx="412">
                  <c:v>39583</c:v>
                </c:pt>
                <c:pt idx="413">
                  <c:v>39584</c:v>
                </c:pt>
                <c:pt idx="414">
                  <c:v>39587</c:v>
                </c:pt>
                <c:pt idx="415">
                  <c:v>39588</c:v>
                </c:pt>
                <c:pt idx="416">
                  <c:v>39589</c:v>
                </c:pt>
                <c:pt idx="417">
                  <c:v>39590</c:v>
                </c:pt>
                <c:pt idx="418">
                  <c:v>39591</c:v>
                </c:pt>
                <c:pt idx="419">
                  <c:v>39595</c:v>
                </c:pt>
                <c:pt idx="420">
                  <c:v>39596</c:v>
                </c:pt>
                <c:pt idx="421">
                  <c:v>39597</c:v>
                </c:pt>
                <c:pt idx="422">
                  <c:v>39598</c:v>
                </c:pt>
                <c:pt idx="423">
                  <c:v>39601</c:v>
                </c:pt>
                <c:pt idx="424">
                  <c:v>39602</c:v>
                </c:pt>
                <c:pt idx="425">
                  <c:v>39603</c:v>
                </c:pt>
                <c:pt idx="426">
                  <c:v>39604</c:v>
                </c:pt>
                <c:pt idx="427">
                  <c:v>39605</c:v>
                </c:pt>
                <c:pt idx="428">
                  <c:v>39608</c:v>
                </c:pt>
                <c:pt idx="429">
                  <c:v>39609</c:v>
                </c:pt>
                <c:pt idx="430">
                  <c:v>39610</c:v>
                </c:pt>
                <c:pt idx="431">
                  <c:v>39611</c:v>
                </c:pt>
                <c:pt idx="432">
                  <c:v>39612</c:v>
                </c:pt>
                <c:pt idx="433">
                  <c:v>39615</c:v>
                </c:pt>
                <c:pt idx="434">
                  <c:v>39616</c:v>
                </c:pt>
                <c:pt idx="435">
                  <c:v>39617</c:v>
                </c:pt>
                <c:pt idx="436">
                  <c:v>39618</c:v>
                </c:pt>
                <c:pt idx="437">
                  <c:v>39619</c:v>
                </c:pt>
                <c:pt idx="438">
                  <c:v>39622</c:v>
                </c:pt>
                <c:pt idx="439">
                  <c:v>39623</c:v>
                </c:pt>
                <c:pt idx="440">
                  <c:v>39624</c:v>
                </c:pt>
                <c:pt idx="441">
                  <c:v>39625</c:v>
                </c:pt>
                <c:pt idx="442">
                  <c:v>39626</c:v>
                </c:pt>
                <c:pt idx="443">
                  <c:v>39629</c:v>
                </c:pt>
                <c:pt idx="444">
                  <c:v>39630</c:v>
                </c:pt>
                <c:pt idx="445">
                  <c:v>39631</c:v>
                </c:pt>
                <c:pt idx="446">
                  <c:v>39632</c:v>
                </c:pt>
                <c:pt idx="447">
                  <c:v>39636</c:v>
                </c:pt>
                <c:pt idx="448">
                  <c:v>39637</c:v>
                </c:pt>
                <c:pt idx="449">
                  <c:v>39638</c:v>
                </c:pt>
                <c:pt idx="450">
                  <c:v>39639</c:v>
                </c:pt>
                <c:pt idx="451">
                  <c:v>39640</c:v>
                </c:pt>
                <c:pt idx="452">
                  <c:v>39643</c:v>
                </c:pt>
                <c:pt idx="453">
                  <c:v>39644</c:v>
                </c:pt>
                <c:pt idx="454">
                  <c:v>39645</c:v>
                </c:pt>
                <c:pt idx="455">
                  <c:v>39646</c:v>
                </c:pt>
                <c:pt idx="456">
                  <c:v>39647</c:v>
                </c:pt>
                <c:pt idx="457">
                  <c:v>39651</c:v>
                </c:pt>
                <c:pt idx="458">
                  <c:v>39652</c:v>
                </c:pt>
                <c:pt idx="459">
                  <c:v>39653</c:v>
                </c:pt>
                <c:pt idx="460">
                  <c:v>39654</c:v>
                </c:pt>
                <c:pt idx="461">
                  <c:v>39657</c:v>
                </c:pt>
                <c:pt idx="462">
                  <c:v>39658</c:v>
                </c:pt>
                <c:pt idx="463">
                  <c:v>39659</c:v>
                </c:pt>
                <c:pt idx="464">
                  <c:v>39660</c:v>
                </c:pt>
                <c:pt idx="465">
                  <c:v>39661</c:v>
                </c:pt>
                <c:pt idx="466">
                  <c:v>39664</c:v>
                </c:pt>
                <c:pt idx="467">
                  <c:v>39665</c:v>
                </c:pt>
                <c:pt idx="468">
                  <c:v>39666</c:v>
                </c:pt>
                <c:pt idx="469">
                  <c:v>39667</c:v>
                </c:pt>
                <c:pt idx="470">
                  <c:v>39668</c:v>
                </c:pt>
                <c:pt idx="471">
                  <c:v>39671</c:v>
                </c:pt>
                <c:pt idx="472">
                  <c:v>39672</c:v>
                </c:pt>
                <c:pt idx="473">
                  <c:v>39673</c:v>
                </c:pt>
                <c:pt idx="474">
                  <c:v>39674</c:v>
                </c:pt>
                <c:pt idx="475">
                  <c:v>39675</c:v>
                </c:pt>
                <c:pt idx="476">
                  <c:v>39678</c:v>
                </c:pt>
                <c:pt idx="477">
                  <c:v>39679</c:v>
                </c:pt>
                <c:pt idx="478">
                  <c:v>39680</c:v>
                </c:pt>
                <c:pt idx="479">
                  <c:v>39681</c:v>
                </c:pt>
                <c:pt idx="480">
                  <c:v>39682</c:v>
                </c:pt>
                <c:pt idx="481">
                  <c:v>39686</c:v>
                </c:pt>
                <c:pt idx="482">
                  <c:v>39687</c:v>
                </c:pt>
                <c:pt idx="483">
                  <c:v>39688</c:v>
                </c:pt>
                <c:pt idx="484">
                  <c:v>39689</c:v>
                </c:pt>
                <c:pt idx="485">
                  <c:v>39693</c:v>
                </c:pt>
                <c:pt idx="486">
                  <c:v>39694</c:v>
                </c:pt>
                <c:pt idx="487">
                  <c:v>39695</c:v>
                </c:pt>
                <c:pt idx="488">
                  <c:v>39696</c:v>
                </c:pt>
                <c:pt idx="489">
                  <c:v>39699</c:v>
                </c:pt>
                <c:pt idx="490">
                  <c:v>39700</c:v>
                </c:pt>
                <c:pt idx="491">
                  <c:v>39701</c:v>
                </c:pt>
                <c:pt idx="492">
                  <c:v>39702</c:v>
                </c:pt>
                <c:pt idx="493">
                  <c:v>39703</c:v>
                </c:pt>
                <c:pt idx="494">
                  <c:v>39707</c:v>
                </c:pt>
                <c:pt idx="495">
                  <c:v>39708</c:v>
                </c:pt>
                <c:pt idx="496">
                  <c:v>39709</c:v>
                </c:pt>
                <c:pt idx="497">
                  <c:v>39710</c:v>
                </c:pt>
                <c:pt idx="498">
                  <c:v>39713</c:v>
                </c:pt>
                <c:pt idx="499">
                  <c:v>39715</c:v>
                </c:pt>
                <c:pt idx="500">
                  <c:v>39716</c:v>
                </c:pt>
                <c:pt idx="501">
                  <c:v>39717</c:v>
                </c:pt>
                <c:pt idx="502">
                  <c:v>39718</c:v>
                </c:pt>
                <c:pt idx="503">
                  <c:v>39719</c:v>
                </c:pt>
                <c:pt idx="504">
                  <c:v>39720</c:v>
                </c:pt>
                <c:pt idx="505">
                  <c:v>39721</c:v>
                </c:pt>
                <c:pt idx="506">
                  <c:v>39722</c:v>
                </c:pt>
                <c:pt idx="507">
                  <c:v>39723</c:v>
                </c:pt>
                <c:pt idx="508">
                  <c:v>39724</c:v>
                </c:pt>
                <c:pt idx="509">
                  <c:v>39725</c:v>
                </c:pt>
                <c:pt idx="510">
                  <c:v>39726</c:v>
                </c:pt>
                <c:pt idx="511">
                  <c:v>39727</c:v>
                </c:pt>
                <c:pt idx="512">
                  <c:v>39728</c:v>
                </c:pt>
                <c:pt idx="513">
                  <c:v>39729</c:v>
                </c:pt>
                <c:pt idx="514">
                  <c:v>39730</c:v>
                </c:pt>
                <c:pt idx="515">
                  <c:v>39731</c:v>
                </c:pt>
                <c:pt idx="516">
                  <c:v>39732</c:v>
                </c:pt>
                <c:pt idx="517">
                  <c:v>39733</c:v>
                </c:pt>
                <c:pt idx="518">
                  <c:v>39734</c:v>
                </c:pt>
                <c:pt idx="519">
                  <c:v>39735</c:v>
                </c:pt>
                <c:pt idx="520">
                  <c:v>39736</c:v>
                </c:pt>
                <c:pt idx="521">
                  <c:v>39737</c:v>
                </c:pt>
                <c:pt idx="522">
                  <c:v>39738</c:v>
                </c:pt>
                <c:pt idx="523">
                  <c:v>39739</c:v>
                </c:pt>
                <c:pt idx="524">
                  <c:v>39740</c:v>
                </c:pt>
                <c:pt idx="525">
                  <c:v>39741</c:v>
                </c:pt>
                <c:pt idx="526">
                  <c:v>39742</c:v>
                </c:pt>
                <c:pt idx="527">
                  <c:v>39743</c:v>
                </c:pt>
                <c:pt idx="528">
                  <c:v>39744</c:v>
                </c:pt>
                <c:pt idx="529">
                  <c:v>39745</c:v>
                </c:pt>
                <c:pt idx="530">
                  <c:v>39746</c:v>
                </c:pt>
                <c:pt idx="531">
                  <c:v>39747</c:v>
                </c:pt>
                <c:pt idx="532">
                  <c:v>39748</c:v>
                </c:pt>
                <c:pt idx="533">
                  <c:v>39749</c:v>
                </c:pt>
                <c:pt idx="534">
                  <c:v>39750</c:v>
                </c:pt>
                <c:pt idx="535">
                  <c:v>39751</c:v>
                </c:pt>
                <c:pt idx="536">
                  <c:v>39752</c:v>
                </c:pt>
                <c:pt idx="537">
                  <c:v>39753</c:v>
                </c:pt>
                <c:pt idx="538">
                  <c:v>39754</c:v>
                </c:pt>
                <c:pt idx="539">
                  <c:v>39755</c:v>
                </c:pt>
                <c:pt idx="540">
                  <c:v>39756</c:v>
                </c:pt>
                <c:pt idx="541">
                  <c:v>39757</c:v>
                </c:pt>
                <c:pt idx="542">
                  <c:v>39758</c:v>
                </c:pt>
                <c:pt idx="543">
                  <c:v>39759</c:v>
                </c:pt>
                <c:pt idx="544">
                  <c:v>39760</c:v>
                </c:pt>
                <c:pt idx="545">
                  <c:v>39761</c:v>
                </c:pt>
                <c:pt idx="546">
                  <c:v>39762</c:v>
                </c:pt>
                <c:pt idx="547">
                  <c:v>39763</c:v>
                </c:pt>
                <c:pt idx="548">
                  <c:v>39764</c:v>
                </c:pt>
                <c:pt idx="549">
                  <c:v>39765</c:v>
                </c:pt>
                <c:pt idx="550">
                  <c:v>39766</c:v>
                </c:pt>
                <c:pt idx="551">
                  <c:v>39767</c:v>
                </c:pt>
                <c:pt idx="552">
                  <c:v>39768</c:v>
                </c:pt>
                <c:pt idx="553">
                  <c:v>39769</c:v>
                </c:pt>
                <c:pt idx="554">
                  <c:v>39770</c:v>
                </c:pt>
                <c:pt idx="555">
                  <c:v>39771</c:v>
                </c:pt>
                <c:pt idx="556">
                  <c:v>39772</c:v>
                </c:pt>
                <c:pt idx="557">
                  <c:v>39773</c:v>
                </c:pt>
                <c:pt idx="558">
                  <c:v>39774</c:v>
                </c:pt>
                <c:pt idx="559">
                  <c:v>39775</c:v>
                </c:pt>
                <c:pt idx="560">
                  <c:v>39776</c:v>
                </c:pt>
                <c:pt idx="561">
                  <c:v>39777</c:v>
                </c:pt>
                <c:pt idx="562">
                  <c:v>39778</c:v>
                </c:pt>
                <c:pt idx="563">
                  <c:v>39779</c:v>
                </c:pt>
                <c:pt idx="564">
                  <c:v>39780</c:v>
                </c:pt>
                <c:pt idx="565">
                  <c:v>39781</c:v>
                </c:pt>
                <c:pt idx="566">
                  <c:v>39782</c:v>
                </c:pt>
                <c:pt idx="567">
                  <c:v>39783</c:v>
                </c:pt>
                <c:pt idx="568">
                  <c:v>39784</c:v>
                </c:pt>
                <c:pt idx="569">
                  <c:v>39785</c:v>
                </c:pt>
                <c:pt idx="570">
                  <c:v>39786</c:v>
                </c:pt>
                <c:pt idx="571">
                  <c:v>39787</c:v>
                </c:pt>
                <c:pt idx="572">
                  <c:v>39788</c:v>
                </c:pt>
                <c:pt idx="573">
                  <c:v>39789</c:v>
                </c:pt>
                <c:pt idx="574">
                  <c:v>39790</c:v>
                </c:pt>
                <c:pt idx="575">
                  <c:v>39791</c:v>
                </c:pt>
                <c:pt idx="576">
                  <c:v>39792</c:v>
                </c:pt>
                <c:pt idx="577">
                  <c:v>39793</c:v>
                </c:pt>
                <c:pt idx="578">
                  <c:v>39794</c:v>
                </c:pt>
                <c:pt idx="579">
                  <c:v>39795</c:v>
                </c:pt>
                <c:pt idx="580">
                  <c:v>39796</c:v>
                </c:pt>
                <c:pt idx="581">
                  <c:v>39797</c:v>
                </c:pt>
                <c:pt idx="582">
                  <c:v>39798</c:v>
                </c:pt>
                <c:pt idx="583">
                  <c:v>39799</c:v>
                </c:pt>
                <c:pt idx="584">
                  <c:v>39800</c:v>
                </c:pt>
                <c:pt idx="585">
                  <c:v>39801</c:v>
                </c:pt>
                <c:pt idx="586">
                  <c:v>39802</c:v>
                </c:pt>
                <c:pt idx="587">
                  <c:v>39803</c:v>
                </c:pt>
                <c:pt idx="588">
                  <c:v>39804</c:v>
                </c:pt>
                <c:pt idx="589">
                  <c:v>39805</c:v>
                </c:pt>
                <c:pt idx="590">
                  <c:v>39806</c:v>
                </c:pt>
                <c:pt idx="591">
                  <c:v>39807</c:v>
                </c:pt>
                <c:pt idx="592">
                  <c:v>39808</c:v>
                </c:pt>
                <c:pt idx="593">
                  <c:v>39809</c:v>
                </c:pt>
                <c:pt idx="594">
                  <c:v>39810</c:v>
                </c:pt>
                <c:pt idx="595">
                  <c:v>39811</c:v>
                </c:pt>
                <c:pt idx="596">
                  <c:v>39812</c:v>
                </c:pt>
                <c:pt idx="597">
                  <c:v>39813</c:v>
                </c:pt>
              </c:numCache>
            </c:numRef>
          </c:xVal>
          <c:yVal>
            <c:numRef>
              <c:f>'Simulación ST'!$G$3:$G$600</c:f>
              <c:numCache>
                <c:formatCode>_-* #,##0_-;\-* #,##0_-;_-* "-"??_-;_-@_-</c:formatCode>
                <c:ptCount val="598"/>
                <c:pt idx="0">
                  <c:v>10914296.45914194</c:v>
                </c:pt>
                <c:pt idx="1">
                  <c:v>10933475.11123858</c:v>
                </c:pt>
                <c:pt idx="2">
                  <c:v>10969102.552560052</c:v>
                </c:pt>
                <c:pt idx="3">
                  <c:v>10906136.121803351</c:v>
                </c:pt>
                <c:pt idx="4">
                  <c:v>10877909.783284631</c:v>
                </c:pt>
                <c:pt idx="5">
                  <c:v>10950474.049857348</c:v>
                </c:pt>
                <c:pt idx="6">
                  <c:v>11040702.582649808</c:v>
                </c:pt>
                <c:pt idx="7">
                  <c:v>11137498.859750226</c:v>
                </c:pt>
                <c:pt idx="8">
                  <c:v>11129697.239699865</c:v>
                </c:pt>
                <c:pt idx="9">
                  <c:v>11126713.154586382</c:v>
                </c:pt>
                <c:pt idx="10">
                  <c:v>11130706.943300959</c:v>
                </c:pt>
                <c:pt idx="11">
                  <c:v>11121681.015408719</c:v>
                </c:pt>
                <c:pt idx="12">
                  <c:v>11075566.671031564</c:v>
                </c:pt>
                <c:pt idx="13">
                  <c:v>11058921.276882932</c:v>
                </c:pt>
                <c:pt idx="14">
                  <c:v>11019682.666202888</c:v>
                </c:pt>
                <c:pt idx="15">
                  <c:v>11080495.177551528</c:v>
                </c:pt>
                <c:pt idx="16">
                  <c:v>11138978.832476784</c:v>
                </c:pt>
                <c:pt idx="17">
                  <c:v>11145897.825891871</c:v>
                </c:pt>
                <c:pt idx="18">
                  <c:v>11207361.331200562</c:v>
                </c:pt>
                <c:pt idx="19">
                  <c:v>11270561.037497338</c:v>
                </c:pt>
                <c:pt idx="20">
                  <c:v>11154125.525997441</c:v>
                </c:pt>
                <c:pt idx="21">
                  <c:v>11019586.926293872</c:v>
                </c:pt>
                <c:pt idx="22">
                  <c:v>11039566.414577503</c:v>
                </c:pt>
                <c:pt idx="23">
                  <c:v>10954824.803676764</c:v>
                </c:pt>
                <c:pt idx="24">
                  <c:v>11043403.824957248</c:v>
                </c:pt>
                <c:pt idx="25">
                  <c:v>11064194.352671523</c:v>
                </c:pt>
                <c:pt idx="26">
                  <c:v>11116622.602685703</c:v>
                </c:pt>
                <c:pt idx="27">
                  <c:v>11086260.068454087</c:v>
                </c:pt>
                <c:pt idx="28">
                  <c:v>11076525.870831005</c:v>
                </c:pt>
                <c:pt idx="29">
                  <c:v>11118203.928698523</c:v>
                </c:pt>
                <c:pt idx="30">
                  <c:v>11153173.092349589</c:v>
                </c:pt>
                <c:pt idx="31">
                  <c:v>11080957.404728737</c:v>
                </c:pt>
                <c:pt idx="32">
                  <c:v>11079057.740381133</c:v>
                </c:pt>
                <c:pt idx="33">
                  <c:v>11136704.590127245</c:v>
                </c:pt>
                <c:pt idx="34">
                  <c:v>11224911.945028445</c:v>
                </c:pt>
                <c:pt idx="35">
                  <c:v>11233990.348567916</c:v>
                </c:pt>
                <c:pt idx="36">
                  <c:v>11211922.821179925</c:v>
                </c:pt>
                <c:pt idx="37">
                  <c:v>11269914.029228985</c:v>
                </c:pt>
                <c:pt idx="38">
                  <c:v>11275782.802252954</c:v>
                </c:pt>
                <c:pt idx="39">
                  <c:v>11305885.106670553</c:v>
                </c:pt>
                <c:pt idx="40">
                  <c:v>11388329.413271917</c:v>
                </c:pt>
                <c:pt idx="41">
                  <c:v>11327832.545156941</c:v>
                </c:pt>
                <c:pt idx="42">
                  <c:v>11343365.833877342</c:v>
                </c:pt>
                <c:pt idx="43">
                  <c:v>11331245.002479851</c:v>
                </c:pt>
                <c:pt idx="44">
                  <c:v>11399594.509534592</c:v>
                </c:pt>
                <c:pt idx="45">
                  <c:v>11435065.678221159</c:v>
                </c:pt>
                <c:pt idx="46">
                  <c:v>11499766.03409314</c:v>
                </c:pt>
                <c:pt idx="47">
                  <c:v>11458439.080767106</c:v>
                </c:pt>
                <c:pt idx="48">
                  <c:v>11501785.256712615</c:v>
                </c:pt>
                <c:pt idx="49">
                  <c:v>11536710.155368637</c:v>
                </c:pt>
                <c:pt idx="50">
                  <c:v>11550830.148257047</c:v>
                </c:pt>
                <c:pt idx="51">
                  <c:v>11594551.743836101</c:v>
                </c:pt>
                <c:pt idx="52">
                  <c:v>11600753.706148576</c:v>
                </c:pt>
                <c:pt idx="53">
                  <c:v>11634635.252447337</c:v>
                </c:pt>
                <c:pt idx="54">
                  <c:v>11685129.18231445</c:v>
                </c:pt>
                <c:pt idx="55">
                  <c:v>11659076.016022122</c:v>
                </c:pt>
                <c:pt idx="56">
                  <c:v>11596159.28842365</c:v>
                </c:pt>
                <c:pt idx="57">
                  <c:v>11619985.501822928</c:v>
                </c:pt>
                <c:pt idx="58">
                  <c:v>11619233.727877788</c:v>
                </c:pt>
                <c:pt idx="59">
                  <c:v>11595039.524843836</c:v>
                </c:pt>
                <c:pt idx="60">
                  <c:v>11640888.749312816</c:v>
                </c:pt>
                <c:pt idx="61">
                  <c:v>11733708.329325149</c:v>
                </c:pt>
                <c:pt idx="62">
                  <c:v>11686221.336187441</c:v>
                </c:pt>
                <c:pt idx="63">
                  <c:v>11641872.19030627</c:v>
                </c:pt>
                <c:pt idx="64">
                  <c:v>11664992.982379232</c:v>
                </c:pt>
                <c:pt idx="65">
                  <c:v>11626300.379817773</c:v>
                </c:pt>
                <c:pt idx="66">
                  <c:v>11679065.699674569</c:v>
                </c:pt>
                <c:pt idx="67">
                  <c:v>11697519.082166888</c:v>
                </c:pt>
                <c:pt idx="68">
                  <c:v>11721529.775530327</c:v>
                </c:pt>
                <c:pt idx="69">
                  <c:v>11694617.556455076</c:v>
                </c:pt>
                <c:pt idx="70">
                  <c:v>11634980.74038698</c:v>
                </c:pt>
                <c:pt idx="71">
                  <c:v>11648026.284754241</c:v>
                </c:pt>
                <c:pt idx="72">
                  <c:v>11714763.154371014</c:v>
                </c:pt>
                <c:pt idx="73">
                  <c:v>11698299.706569022</c:v>
                </c:pt>
                <c:pt idx="74">
                  <c:v>11610615.132067967</c:v>
                </c:pt>
                <c:pt idx="75">
                  <c:v>11615025.875762492</c:v>
                </c:pt>
                <c:pt idx="76">
                  <c:v>11738639.255574238</c:v>
                </c:pt>
                <c:pt idx="77">
                  <c:v>11787133.856098086</c:v>
                </c:pt>
                <c:pt idx="78">
                  <c:v>11794751.73609576</c:v>
                </c:pt>
                <c:pt idx="79">
                  <c:v>11841473.389383823</c:v>
                </c:pt>
                <c:pt idx="80">
                  <c:v>11879899.099967826</c:v>
                </c:pt>
                <c:pt idx="81">
                  <c:v>11892098.716135576</c:v>
                </c:pt>
                <c:pt idx="82">
                  <c:v>11909431.033246763</c:v>
                </c:pt>
                <c:pt idx="83">
                  <c:v>11924061.353390036</c:v>
                </c:pt>
                <c:pt idx="84">
                  <c:v>11895016.37426886</c:v>
                </c:pt>
                <c:pt idx="85">
                  <c:v>11930489.403084708</c:v>
                </c:pt>
                <c:pt idx="86">
                  <c:v>11968311.852123249</c:v>
                </c:pt>
                <c:pt idx="87">
                  <c:v>12032702.999516897</c:v>
                </c:pt>
                <c:pt idx="88">
                  <c:v>12052708.912095167</c:v>
                </c:pt>
                <c:pt idx="89">
                  <c:v>12024969.821438041</c:v>
                </c:pt>
                <c:pt idx="90">
                  <c:v>12013769.156970412</c:v>
                </c:pt>
                <c:pt idx="91">
                  <c:v>12051671.448810101</c:v>
                </c:pt>
                <c:pt idx="92">
                  <c:v>12020333.142799735</c:v>
                </c:pt>
                <c:pt idx="93">
                  <c:v>11980631.847162144</c:v>
                </c:pt>
                <c:pt idx="94">
                  <c:v>12105101.416484958</c:v>
                </c:pt>
                <c:pt idx="95">
                  <c:v>12098814.176346488</c:v>
                </c:pt>
                <c:pt idx="96">
                  <c:v>12068560.202670828</c:v>
                </c:pt>
                <c:pt idx="97">
                  <c:v>12106971.706254123</c:v>
                </c:pt>
                <c:pt idx="98">
                  <c:v>11953606.814877938</c:v>
                </c:pt>
                <c:pt idx="99">
                  <c:v>11983200.98519332</c:v>
                </c:pt>
                <c:pt idx="100">
                  <c:v>11900284.289148143</c:v>
                </c:pt>
                <c:pt idx="101">
                  <c:v>11966094.24939017</c:v>
                </c:pt>
                <c:pt idx="102">
                  <c:v>12063105.113428369</c:v>
                </c:pt>
                <c:pt idx="103">
                  <c:v>12067265.780614976</c:v>
                </c:pt>
                <c:pt idx="104">
                  <c:v>12087100.186791662</c:v>
                </c:pt>
                <c:pt idx="105">
                  <c:v>12087311.941117592</c:v>
                </c:pt>
                <c:pt idx="106">
                  <c:v>12108084.981391428</c:v>
                </c:pt>
                <c:pt idx="107">
                  <c:v>12075229.205514114</c:v>
                </c:pt>
                <c:pt idx="108">
                  <c:v>12128920.3535087</c:v>
                </c:pt>
                <c:pt idx="109">
                  <c:v>12203369.861519489</c:v>
                </c:pt>
                <c:pt idx="110">
                  <c:v>12131163.29469911</c:v>
                </c:pt>
                <c:pt idx="111">
                  <c:v>12049646.266711434</c:v>
                </c:pt>
                <c:pt idx="112">
                  <c:v>12063791.021234948</c:v>
                </c:pt>
                <c:pt idx="113">
                  <c:v>12101762.952648995</c:v>
                </c:pt>
                <c:pt idx="114">
                  <c:v>12098166.339275988</c:v>
                </c:pt>
                <c:pt idx="115">
                  <c:v>12234448.654632429</c:v>
                </c:pt>
                <c:pt idx="116">
                  <c:v>12229905.853110829</c:v>
                </c:pt>
                <c:pt idx="117">
                  <c:v>12205489.370934017</c:v>
                </c:pt>
                <c:pt idx="118">
                  <c:v>12248675.437127307</c:v>
                </c:pt>
                <c:pt idx="119">
                  <c:v>12256235.897317855</c:v>
                </c:pt>
                <c:pt idx="120">
                  <c:v>12191025.523716228</c:v>
                </c:pt>
                <c:pt idx="121">
                  <c:v>12195008.154654881</c:v>
                </c:pt>
                <c:pt idx="122">
                  <c:v>12235321.37708905</c:v>
                </c:pt>
                <c:pt idx="123">
                  <c:v>12376190.45848893</c:v>
                </c:pt>
                <c:pt idx="124">
                  <c:v>12429282.050417021</c:v>
                </c:pt>
                <c:pt idx="125">
                  <c:v>12410641.611968759</c:v>
                </c:pt>
                <c:pt idx="126">
                  <c:v>12421913.231414849</c:v>
                </c:pt>
                <c:pt idx="127">
                  <c:v>12331832.301243776</c:v>
                </c:pt>
                <c:pt idx="128">
                  <c:v>12347319.522005752</c:v>
                </c:pt>
                <c:pt idx="129">
                  <c:v>12393236.338024184</c:v>
                </c:pt>
                <c:pt idx="130">
                  <c:v>12434855.901181482</c:v>
                </c:pt>
                <c:pt idx="131">
                  <c:v>12193825.402805066</c:v>
                </c:pt>
                <c:pt idx="132">
                  <c:v>12042047.555979356</c:v>
                </c:pt>
                <c:pt idx="133">
                  <c:v>11970283.851086983</c:v>
                </c:pt>
                <c:pt idx="134">
                  <c:v>11872857.868002228</c:v>
                </c:pt>
                <c:pt idx="135">
                  <c:v>11700521.393356513</c:v>
                </c:pt>
                <c:pt idx="136">
                  <c:v>11841834.528694276</c:v>
                </c:pt>
                <c:pt idx="137">
                  <c:v>11845089.217739731</c:v>
                </c:pt>
                <c:pt idx="138">
                  <c:v>11957266.374401685</c:v>
                </c:pt>
                <c:pt idx="139">
                  <c:v>11973253.904063797</c:v>
                </c:pt>
                <c:pt idx="140">
                  <c:v>12004604.32751254</c:v>
                </c:pt>
                <c:pt idx="141">
                  <c:v>11862367.772423293</c:v>
                </c:pt>
                <c:pt idx="142">
                  <c:v>11700274.584654948</c:v>
                </c:pt>
                <c:pt idx="143">
                  <c:v>11824567.736578207</c:v>
                </c:pt>
                <c:pt idx="144">
                  <c:v>11813833.292765386</c:v>
                </c:pt>
                <c:pt idx="145">
                  <c:v>11936307.436769996</c:v>
                </c:pt>
                <c:pt idx="146">
                  <c:v>12038131.008446213</c:v>
                </c:pt>
                <c:pt idx="147">
                  <c:v>12234810.59665779</c:v>
                </c:pt>
                <c:pt idx="148">
                  <c:v>12257407.303087493</c:v>
                </c:pt>
                <c:pt idx="149">
                  <c:v>12230012.056878613</c:v>
                </c:pt>
                <c:pt idx="150">
                  <c:v>12176770.009698067</c:v>
                </c:pt>
                <c:pt idx="151">
                  <c:v>12136703.684633179</c:v>
                </c:pt>
                <c:pt idx="152">
                  <c:v>12167757.985604953</c:v>
                </c:pt>
                <c:pt idx="153">
                  <c:v>12155173.715422319</c:v>
                </c:pt>
                <c:pt idx="154">
                  <c:v>12176685.22822682</c:v>
                </c:pt>
                <c:pt idx="155">
                  <c:v>12281853.019259728</c:v>
                </c:pt>
                <c:pt idx="156">
                  <c:v>12339661.233471449</c:v>
                </c:pt>
                <c:pt idx="157">
                  <c:v>12360019.607592903</c:v>
                </c:pt>
                <c:pt idx="158">
                  <c:v>12398630.094646741</c:v>
                </c:pt>
                <c:pt idx="159">
                  <c:v>12368512.88584948</c:v>
                </c:pt>
                <c:pt idx="160">
                  <c:v>12389664.357377887</c:v>
                </c:pt>
                <c:pt idx="161">
                  <c:v>12423263.615099069</c:v>
                </c:pt>
                <c:pt idx="162">
                  <c:v>12558027.160986759</c:v>
                </c:pt>
                <c:pt idx="163">
                  <c:v>12594017.890359707</c:v>
                </c:pt>
                <c:pt idx="164">
                  <c:v>12615445.117462721</c:v>
                </c:pt>
                <c:pt idx="165">
                  <c:v>12562059.860127658</c:v>
                </c:pt>
                <c:pt idx="166">
                  <c:v>12669588.235758051</c:v>
                </c:pt>
                <c:pt idx="167">
                  <c:v>12639933.324247379</c:v>
                </c:pt>
                <c:pt idx="168">
                  <c:v>12631032.182497561</c:v>
                </c:pt>
                <c:pt idx="169">
                  <c:v>12689738.022317985</c:v>
                </c:pt>
                <c:pt idx="170">
                  <c:v>12675402.453575682</c:v>
                </c:pt>
                <c:pt idx="171">
                  <c:v>12665898.305547439</c:v>
                </c:pt>
                <c:pt idx="172">
                  <c:v>12708527.23848724</c:v>
                </c:pt>
                <c:pt idx="173">
                  <c:v>12831710.285839895</c:v>
                </c:pt>
                <c:pt idx="174">
                  <c:v>12887575.765585139</c:v>
                </c:pt>
                <c:pt idx="175">
                  <c:v>12759541.792162117</c:v>
                </c:pt>
                <c:pt idx="176">
                  <c:v>12814467.949113296</c:v>
                </c:pt>
                <c:pt idx="177">
                  <c:v>12820532.885524904</c:v>
                </c:pt>
                <c:pt idx="178">
                  <c:v>12837573.207785998</c:v>
                </c:pt>
                <c:pt idx="179">
                  <c:v>12851516.750478724</c:v>
                </c:pt>
                <c:pt idx="180">
                  <c:v>12821279.168489091</c:v>
                </c:pt>
                <c:pt idx="181">
                  <c:v>12889673.268646125</c:v>
                </c:pt>
                <c:pt idx="182">
                  <c:v>12880576.227174181</c:v>
                </c:pt>
                <c:pt idx="183">
                  <c:v>12894169.143033968</c:v>
                </c:pt>
                <c:pt idx="184">
                  <c:v>12937135.766125489</c:v>
                </c:pt>
                <c:pt idx="185">
                  <c:v>12845660.24274238</c:v>
                </c:pt>
                <c:pt idx="186">
                  <c:v>12839422.044332558</c:v>
                </c:pt>
                <c:pt idx="187">
                  <c:v>12888437.016902845</c:v>
                </c:pt>
                <c:pt idx="188">
                  <c:v>12896588.287387835</c:v>
                </c:pt>
                <c:pt idx="189">
                  <c:v>12964970.991598103</c:v>
                </c:pt>
                <c:pt idx="190">
                  <c:v>13033227.943540387</c:v>
                </c:pt>
                <c:pt idx="191">
                  <c:v>13059211.418796452</c:v>
                </c:pt>
                <c:pt idx="192">
                  <c:v>13021253.382100228</c:v>
                </c:pt>
                <c:pt idx="193">
                  <c:v>12889520.189099059</c:v>
                </c:pt>
                <c:pt idx="194">
                  <c:v>12754797.82168043</c:v>
                </c:pt>
                <c:pt idx="195">
                  <c:v>12731711.183980817</c:v>
                </c:pt>
                <c:pt idx="196">
                  <c:v>12785155.957025658</c:v>
                </c:pt>
                <c:pt idx="197">
                  <c:v>12698628.36997723</c:v>
                </c:pt>
                <c:pt idx="198">
                  <c:v>12779967.311645718</c:v>
                </c:pt>
                <c:pt idx="199">
                  <c:v>12883040.089303983</c:v>
                </c:pt>
                <c:pt idx="200">
                  <c:v>13004301.995575277</c:v>
                </c:pt>
                <c:pt idx="201">
                  <c:v>13006682.007235698</c:v>
                </c:pt>
                <c:pt idx="202">
                  <c:v>13001156.728489682</c:v>
                </c:pt>
                <c:pt idx="203">
                  <c:v>12966178.825440748</c:v>
                </c:pt>
                <c:pt idx="204">
                  <c:v>12940860.166829972</c:v>
                </c:pt>
                <c:pt idx="205">
                  <c:v>12847417.194322813</c:v>
                </c:pt>
                <c:pt idx="206">
                  <c:v>12850071.699514098</c:v>
                </c:pt>
                <c:pt idx="207">
                  <c:v>12833169.145277208</c:v>
                </c:pt>
                <c:pt idx="208">
                  <c:v>12816837.306168798</c:v>
                </c:pt>
                <c:pt idx="209">
                  <c:v>12872864.969094573</c:v>
                </c:pt>
                <c:pt idx="210">
                  <c:v>12931401.235120716</c:v>
                </c:pt>
                <c:pt idx="211">
                  <c:v>13014167.881589761</c:v>
                </c:pt>
                <c:pt idx="212">
                  <c:v>13074224.659092946</c:v>
                </c:pt>
                <c:pt idx="213">
                  <c:v>13050826.737936057</c:v>
                </c:pt>
                <c:pt idx="214">
                  <c:v>13100466.493519161</c:v>
                </c:pt>
                <c:pt idx="215">
                  <c:v>13147914.889866486</c:v>
                </c:pt>
                <c:pt idx="216">
                  <c:v>13075837.021573653</c:v>
                </c:pt>
                <c:pt idx="217">
                  <c:v>13092331.512116171</c:v>
                </c:pt>
                <c:pt idx="218">
                  <c:v>13235889.990100499</c:v>
                </c:pt>
                <c:pt idx="219">
                  <c:v>13317545.617413072</c:v>
                </c:pt>
                <c:pt idx="220">
                  <c:v>13323509.069749188</c:v>
                </c:pt>
                <c:pt idx="221">
                  <c:v>13219335.880360899</c:v>
                </c:pt>
                <c:pt idx="222">
                  <c:v>13319055.005213669</c:v>
                </c:pt>
                <c:pt idx="223">
                  <c:v>13241124.829492176</c:v>
                </c:pt>
                <c:pt idx="224">
                  <c:v>13283879.01323238</c:v>
                </c:pt>
                <c:pt idx="225">
                  <c:v>13126263.781959459</c:v>
                </c:pt>
                <c:pt idx="226">
                  <c:v>13059587.761149708</c:v>
                </c:pt>
                <c:pt idx="227">
                  <c:v>12773216.017224152</c:v>
                </c:pt>
                <c:pt idx="228">
                  <c:v>12580183.883282473</c:v>
                </c:pt>
                <c:pt idx="229">
                  <c:v>12606823.752539037</c:v>
                </c:pt>
                <c:pt idx="230">
                  <c:v>12671744.360616021</c:v>
                </c:pt>
                <c:pt idx="231">
                  <c:v>12583132.207500575</c:v>
                </c:pt>
                <c:pt idx="232">
                  <c:v>12671265.828328593</c:v>
                </c:pt>
                <c:pt idx="233">
                  <c:v>12535495.031956073</c:v>
                </c:pt>
                <c:pt idx="234">
                  <c:v>12593433.623811942</c:v>
                </c:pt>
                <c:pt idx="235">
                  <c:v>12666921.894858697</c:v>
                </c:pt>
                <c:pt idx="236">
                  <c:v>12834568.302027453</c:v>
                </c:pt>
                <c:pt idx="237">
                  <c:v>12602558.489421202</c:v>
                </c:pt>
                <c:pt idx="238">
                  <c:v>12340824.327968534</c:v>
                </c:pt>
                <c:pt idx="239">
                  <c:v>12451966.999661522</c:v>
                </c:pt>
                <c:pt idx="240">
                  <c:v>12299160.58261933</c:v>
                </c:pt>
                <c:pt idx="241">
                  <c:v>12142038.566314109</c:v>
                </c:pt>
                <c:pt idx="242">
                  <c:v>11934095.795425419</c:v>
                </c:pt>
                <c:pt idx="243">
                  <c:v>12058620.004405942</c:v>
                </c:pt>
                <c:pt idx="244">
                  <c:v>12136551.844762631</c:v>
                </c:pt>
                <c:pt idx="245">
                  <c:v>12167463.778396463</c:v>
                </c:pt>
                <c:pt idx="246">
                  <c:v>12312601.1073932</c:v>
                </c:pt>
                <c:pt idx="247">
                  <c:v>12384983.790074563</c:v>
                </c:pt>
                <c:pt idx="248">
                  <c:v>12471733.824998558</c:v>
                </c:pt>
                <c:pt idx="249">
                  <c:v>12281437.924782069</c:v>
                </c:pt>
                <c:pt idx="250">
                  <c:v>12364691.765561501</c:v>
                </c:pt>
                <c:pt idx="251">
                  <c:v>12419935.334912673</c:v>
                </c:pt>
                <c:pt idx="252">
                  <c:v>12599846.977606609</c:v>
                </c:pt>
                <c:pt idx="253">
                  <c:v>12634683.767791202</c:v>
                </c:pt>
                <c:pt idx="254">
                  <c:v>12492455.873504013</c:v>
                </c:pt>
                <c:pt idx="255">
                  <c:v>12570265.553125463</c:v>
                </c:pt>
                <c:pt idx="256">
                  <c:v>12401867.581855219</c:v>
                </c:pt>
                <c:pt idx="257">
                  <c:v>12317753.22621388</c:v>
                </c:pt>
                <c:pt idx="258">
                  <c:v>12503827.580780843</c:v>
                </c:pt>
                <c:pt idx="259">
                  <c:v>12511421.616134711</c:v>
                </c:pt>
                <c:pt idx="260">
                  <c:v>12580002.162099803</c:v>
                </c:pt>
                <c:pt idx="261">
                  <c:v>12555749.93519005</c:v>
                </c:pt>
                <c:pt idx="262">
                  <c:v>12567072.789759424</c:v>
                </c:pt>
                <c:pt idx="263">
                  <c:v>12837668.755147275</c:v>
                </c:pt>
                <c:pt idx="264">
                  <c:v>12874651.647445163</c:v>
                </c:pt>
                <c:pt idx="265">
                  <c:v>12893977.622035213</c:v>
                </c:pt>
                <c:pt idx="266">
                  <c:v>12858258.073853433</c:v>
                </c:pt>
                <c:pt idx="267">
                  <c:v>12902288.6444853</c:v>
                </c:pt>
                <c:pt idx="268">
                  <c:v>13039867.899275411</c:v>
                </c:pt>
                <c:pt idx="269">
                  <c:v>13058523.511355545</c:v>
                </c:pt>
                <c:pt idx="270">
                  <c:v>13174472.240049951</c:v>
                </c:pt>
                <c:pt idx="271">
                  <c:v>13174556.70261205</c:v>
                </c:pt>
                <c:pt idx="272">
                  <c:v>13165505.831450505</c:v>
                </c:pt>
                <c:pt idx="273">
                  <c:v>13173284.680833552</c:v>
                </c:pt>
                <c:pt idx="274">
                  <c:v>13238033.222909156</c:v>
                </c:pt>
                <c:pt idx="275">
                  <c:v>13276672.182005508</c:v>
                </c:pt>
                <c:pt idx="276">
                  <c:v>13280180.160605114</c:v>
                </c:pt>
                <c:pt idx="277">
                  <c:v>13348555.232883163</c:v>
                </c:pt>
                <c:pt idx="278">
                  <c:v>13346071.218782024</c:v>
                </c:pt>
                <c:pt idx="279">
                  <c:v>13267695.473102251</c:v>
                </c:pt>
                <c:pt idx="280">
                  <c:v>13173598.39201346</c:v>
                </c:pt>
                <c:pt idx="281">
                  <c:v>13202273.535588086</c:v>
                </c:pt>
                <c:pt idx="282">
                  <c:v>13217167.268376609</c:v>
                </c:pt>
                <c:pt idx="283">
                  <c:v>12992950.21735031</c:v>
                </c:pt>
                <c:pt idx="284">
                  <c:v>12862852.300971255</c:v>
                </c:pt>
                <c:pt idx="285">
                  <c:v>12986859.928367877</c:v>
                </c:pt>
                <c:pt idx="286">
                  <c:v>12952957.152940303</c:v>
                </c:pt>
                <c:pt idx="287">
                  <c:v>13029749.514121305</c:v>
                </c:pt>
                <c:pt idx="288">
                  <c:v>13190797.256863611</c:v>
                </c:pt>
                <c:pt idx="289">
                  <c:v>13289156.281119019</c:v>
                </c:pt>
                <c:pt idx="290">
                  <c:v>13230090.017547354</c:v>
                </c:pt>
                <c:pt idx="291">
                  <c:v>13357246.441366937</c:v>
                </c:pt>
                <c:pt idx="292">
                  <c:v>13145979.531273823</c:v>
                </c:pt>
                <c:pt idx="293">
                  <c:v>13070374.137799179</c:v>
                </c:pt>
                <c:pt idx="294">
                  <c:v>12961557.979911029</c:v>
                </c:pt>
                <c:pt idx="295">
                  <c:v>13041700.071538517</c:v>
                </c:pt>
                <c:pt idx="296">
                  <c:v>12888919.481659239</c:v>
                </c:pt>
                <c:pt idx="297">
                  <c:v>12832342.987523681</c:v>
                </c:pt>
                <c:pt idx="298">
                  <c:v>12665005.834285442</c:v>
                </c:pt>
                <c:pt idx="299">
                  <c:v>12552567.111090105</c:v>
                </c:pt>
                <c:pt idx="300">
                  <c:v>12686882.513116499</c:v>
                </c:pt>
                <c:pt idx="301">
                  <c:v>12749886.002717096</c:v>
                </c:pt>
                <c:pt idx="302">
                  <c:v>12594787.125678323</c:v>
                </c:pt>
                <c:pt idx="303">
                  <c:v>12536184.62831087</c:v>
                </c:pt>
                <c:pt idx="304">
                  <c:v>12331707.838805066</c:v>
                </c:pt>
                <c:pt idx="305">
                  <c:v>12499453.837678112</c:v>
                </c:pt>
                <c:pt idx="306">
                  <c:v>12256498.909290073</c:v>
                </c:pt>
                <c:pt idx="307">
                  <c:v>12403141.031272946</c:v>
                </c:pt>
                <c:pt idx="308">
                  <c:v>12462655.415975716</c:v>
                </c:pt>
                <c:pt idx="309">
                  <c:v>12671238.139455752</c:v>
                </c:pt>
                <c:pt idx="310">
                  <c:v>12764436.770737927</c:v>
                </c:pt>
                <c:pt idx="311">
                  <c:v>12835352.936644331</c:v>
                </c:pt>
                <c:pt idx="312">
                  <c:v>12796989.913141113</c:v>
                </c:pt>
                <c:pt idx="313">
                  <c:v>12694257.083171252</c:v>
                </c:pt>
                <c:pt idx="314">
                  <c:v>12825998.848831819</c:v>
                </c:pt>
                <c:pt idx="315">
                  <c:v>12912747.205872416</c:v>
                </c:pt>
                <c:pt idx="316">
                  <c:v>12986498.081442771</c:v>
                </c:pt>
                <c:pt idx="317">
                  <c:v>13071657.351409156</c:v>
                </c:pt>
                <c:pt idx="318">
                  <c:v>12945107.356699441</c:v>
                </c:pt>
                <c:pt idx="319">
                  <c:v>12959288.858996708</c:v>
                </c:pt>
                <c:pt idx="320">
                  <c:v>12731363.012482481</c:v>
                </c:pt>
                <c:pt idx="321">
                  <c:v>12609709.909383764</c:v>
                </c:pt>
                <c:pt idx="322">
                  <c:v>12397705.842698622</c:v>
                </c:pt>
                <c:pt idx="323">
                  <c:v>12423209.372043768</c:v>
                </c:pt>
                <c:pt idx="324">
                  <c:v>12353515.956818277</c:v>
                </c:pt>
                <c:pt idx="325">
                  <c:v>12370834.897563715</c:v>
                </c:pt>
                <c:pt idx="326">
                  <c:v>12543544.054152533</c:v>
                </c:pt>
                <c:pt idx="327">
                  <c:v>12624705.093235761</c:v>
                </c:pt>
                <c:pt idx="328">
                  <c:v>12617446.639897838</c:v>
                </c:pt>
                <c:pt idx="329">
                  <c:v>12266629.477617212</c:v>
                </c:pt>
                <c:pt idx="330">
                  <c:v>12225974.65299404</c:v>
                </c:pt>
                <c:pt idx="331">
                  <c:v>12140659.41569544</c:v>
                </c:pt>
                <c:pt idx="332">
                  <c:v>12109032.80409738</c:v>
                </c:pt>
                <c:pt idx="333">
                  <c:v>12084301.82117644</c:v>
                </c:pt>
                <c:pt idx="334">
                  <c:v>11946377.255899031</c:v>
                </c:pt>
                <c:pt idx="335">
                  <c:v>11825685.517220998</c:v>
                </c:pt>
                <c:pt idx="336">
                  <c:v>11651445.428513341</c:v>
                </c:pt>
                <c:pt idx="337">
                  <c:v>11561591.037208712</c:v>
                </c:pt>
                <c:pt idx="338">
                  <c:v>11490537.126438342</c:v>
                </c:pt>
                <c:pt idx="339">
                  <c:v>11089743.276148815</c:v>
                </c:pt>
                <c:pt idx="340">
                  <c:v>11109761.8617581</c:v>
                </c:pt>
                <c:pt idx="341">
                  <c:v>11454535.240612475</c:v>
                </c:pt>
                <c:pt idx="342">
                  <c:v>11475404.96880053</c:v>
                </c:pt>
                <c:pt idx="343">
                  <c:v>11418983.026836682</c:v>
                </c:pt>
                <c:pt idx="344">
                  <c:v>11595920.307526406</c:v>
                </c:pt>
                <c:pt idx="345">
                  <c:v>11508906.742082849</c:v>
                </c:pt>
                <c:pt idx="346">
                  <c:v>11673331.27910147</c:v>
                </c:pt>
                <c:pt idx="347">
                  <c:v>11775770.92865137</c:v>
                </c:pt>
                <c:pt idx="348">
                  <c:v>11795515.454517446</c:v>
                </c:pt>
                <c:pt idx="349">
                  <c:v>11460855.148361605</c:v>
                </c:pt>
                <c:pt idx="350">
                  <c:v>11340746.442399953</c:v>
                </c:pt>
                <c:pt idx="351">
                  <c:v>11218481.078838604</c:v>
                </c:pt>
                <c:pt idx="352">
                  <c:v>11187877.846824247</c:v>
                </c:pt>
                <c:pt idx="353">
                  <c:v>11399045.096572602</c:v>
                </c:pt>
                <c:pt idx="354">
                  <c:v>11442655.784901926</c:v>
                </c:pt>
                <c:pt idx="355">
                  <c:v>11493405.58422281</c:v>
                </c:pt>
                <c:pt idx="356">
                  <c:v>11405760.099265592</c:v>
                </c:pt>
                <c:pt idx="357">
                  <c:v>11545574.782329028</c:v>
                </c:pt>
                <c:pt idx="358">
                  <c:v>11405213.10642801</c:v>
                </c:pt>
                <c:pt idx="359">
                  <c:v>11507663.029752141</c:v>
                </c:pt>
                <c:pt idx="360">
                  <c:v>11502681.116917672</c:v>
                </c:pt>
                <c:pt idx="361">
                  <c:v>11710003.073879052</c:v>
                </c:pt>
                <c:pt idx="362">
                  <c:v>11825337.994540198</c:v>
                </c:pt>
                <c:pt idx="363">
                  <c:v>11927761.720545068</c:v>
                </c:pt>
                <c:pt idx="364">
                  <c:v>11800356.422281155</c:v>
                </c:pt>
                <c:pt idx="365">
                  <c:v>11598676.533770034</c:v>
                </c:pt>
                <c:pt idx="366">
                  <c:v>11443945.969396407</c:v>
                </c:pt>
                <c:pt idx="367">
                  <c:v>11401809.284065917</c:v>
                </c:pt>
                <c:pt idx="368">
                  <c:v>11470389.327554282</c:v>
                </c:pt>
                <c:pt idx="369">
                  <c:v>11421789.633504953</c:v>
                </c:pt>
                <c:pt idx="370">
                  <c:v>11248307.961829824</c:v>
                </c:pt>
                <c:pt idx="371">
                  <c:v>11122021.024439838</c:v>
                </c:pt>
                <c:pt idx="372">
                  <c:v>11300060.115365401</c:v>
                </c:pt>
                <c:pt idx="373">
                  <c:v>11443331.848906914</c:v>
                </c:pt>
                <c:pt idx="374">
                  <c:v>11375593.993094049</c:v>
                </c:pt>
                <c:pt idx="375">
                  <c:v>11229336.702221027</c:v>
                </c:pt>
                <c:pt idx="376">
                  <c:v>11012901.314459549</c:v>
                </c:pt>
                <c:pt idx="377">
                  <c:v>11363916.788901679</c:v>
                </c:pt>
                <c:pt idx="378">
                  <c:v>11169485.016338971</c:v>
                </c:pt>
                <c:pt idx="379">
                  <c:v>11541092.694787895</c:v>
                </c:pt>
                <c:pt idx="380">
                  <c:v>11510525.558729906</c:v>
                </c:pt>
                <c:pt idx="381">
                  <c:v>11494870.857469879</c:v>
                </c:pt>
                <c:pt idx="382">
                  <c:v>11444299.267623939</c:v>
                </c:pt>
                <c:pt idx="383">
                  <c:v>11425908.095728002</c:v>
                </c:pt>
                <c:pt idx="384">
                  <c:v>11632054.273074824</c:v>
                </c:pt>
                <c:pt idx="385">
                  <c:v>11752281.225684684</c:v>
                </c:pt>
                <c:pt idx="386">
                  <c:v>11808817.422835914</c:v>
                </c:pt>
                <c:pt idx="387">
                  <c:v>11846871.31536863</c:v>
                </c:pt>
                <c:pt idx="388">
                  <c:v>11895281.568415707</c:v>
                </c:pt>
                <c:pt idx="389">
                  <c:v>11782923.041653877</c:v>
                </c:pt>
                <c:pt idx="390">
                  <c:v>11750615.842363188</c:v>
                </c:pt>
                <c:pt idx="391">
                  <c:v>11764479.026768964</c:v>
                </c:pt>
                <c:pt idx="392">
                  <c:v>11665611.339199813</c:v>
                </c:pt>
                <c:pt idx="393">
                  <c:v>11571017.871534359</c:v>
                </c:pt>
                <c:pt idx="394">
                  <c:v>11599498.448090803</c:v>
                </c:pt>
                <c:pt idx="395">
                  <c:v>11861967.39324384</c:v>
                </c:pt>
                <c:pt idx="396">
                  <c:v>11857990.129280435</c:v>
                </c:pt>
                <c:pt idx="397">
                  <c:v>11989171.537799407</c:v>
                </c:pt>
                <c:pt idx="398">
                  <c:v>12016108.478152599</c:v>
                </c:pt>
                <c:pt idx="399">
                  <c:v>11960383.507495012</c:v>
                </c:pt>
                <c:pt idx="400">
                  <c:v>11986036.864954175</c:v>
                </c:pt>
                <c:pt idx="401">
                  <c:v>11949209.421734145</c:v>
                </c:pt>
                <c:pt idx="402">
                  <c:v>12081397.898685146</c:v>
                </c:pt>
                <c:pt idx="403">
                  <c:v>12089726.595354423</c:v>
                </c:pt>
                <c:pt idx="404">
                  <c:v>12023717.054310709</c:v>
                </c:pt>
                <c:pt idx="405">
                  <c:v>12199470.949974876</c:v>
                </c:pt>
                <c:pt idx="406">
                  <c:v>12102004.548462169</c:v>
                </c:pt>
                <c:pt idx="407">
                  <c:v>12145801.330178179</c:v>
                </c:pt>
                <c:pt idx="408">
                  <c:v>11978627.699649286</c:v>
                </c:pt>
                <c:pt idx="409">
                  <c:v>12079452.324794343</c:v>
                </c:pt>
                <c:pt idx="410">
                  <c:v>12052271.304640323</c:v>
                </c:pt>
                <c:pt idx="411">
                  <c:v>12090592.281593783</c:v>
                </c:pt>
                <c:pt idx="412">
                  <c:v>12190770.51513673</c:v>
                </c:pt>
                <c:pt idx="413">
                  <c:v>12257607.151997708</c:v>
                </c:pt>
                <c:pt idx="414">
                  <c:v>12319033.548772201</c:v>
                </c:pt>
                <c:pt idx="415">
                  <c:v>12156641.798726104</c:v>
                </c:pt>
                <c:pt idx="416">
                  <c:v>12046667.878597056</c:v>
                </c:pt>
                <c:pt idx="417">
                  <c:v>12067584.913945118</c:v>
                </c:pt>
                <c:pt idx="418">
                  <c:v>11956782.072328102</c:v>
                </c:pt>
                <c:pt idx="419">
                  <c:v>11902509.10616741</c:v>
                </c:pt>
                <c:pt idx="420">
                  <c:v>11900401.296790309</c:v>
                </c:pt>
                <c:pt idx="421">
                  <c:v>11960087.030422129</c:v>
                </c:pt>
                <c:pt idx="422">
                  <c:v>11989422.433779215</c:v>
                </c:pt>
                <c:pt idx="423">
                  <c:v>11908736.244886894</c:v>
                </c:pt>
                <c:pt idx="424">
                  <c:v>11859468.453972833</c:v>
                </c:pt>
                <c:pt idx="425">
                  <c:v>11802655.208463078</c:v>
                </c:pt>
                <c:pt idx="426">
                  <c:v>11861830.408231732</c:v>
                </c:pt>
                <c:pt idx="427">
                  <c:v>11722867.075354312</c:v>
                </c:pt>
                <c:pt idx="428">
                  <c:v>11674697.807661526</c:v>
                </c:pt>
                <c:pt idx="429">
                  <c:v>11523486.257174589</c:v>
                </c:pt>
                <c:pt idx="430">
                  <c:v>11419984.30992185</c:v>
                </c:pt>
                <c:pt idx="431">
                  <c:v>11368143.426735191</c:v>
                </c:pt>
                <c:pt idx="432">
                  <c:v>11444735.791555109</c:v>
                </c:pt>
                <c:pt idx="433">
                  <c:v>11519734.316763269</c:v>
                </c:pt>
                <c:pt idx="434">
                  <c:v>11513852.823921639</c:v>
                </c:pt>
                <c:pt idx="435">
                  <c:v>11418978.554562002</c:v>
                </c:pt>
                <c:pt idx="436">
                  <c:v>11360768.78341352</c:v>
                </c:pt>
                <c:pt idx="437">
                  <c:v>11206299.867260028</c:v>
                </c:pt>
                <c:pt idx="438">
                  <c:v>11170721.515000101</c:v>
                </c:pt>
                <c:pt idx="439">
                  <c:v>11160330.1682394</c:v>
                </c:pt>
                <c:pt idx="440">
                  <c:v>11176462.572647193</c:v>
                </c:pt>
                <c:pt idx="441">
                  <c:v>10996596.708910681</c:v>
                </c:pt>
                <c:pt idx="442">
                  <c:v>10938251.501237974</c:v>
                </c:pt>
                <c:pt idx="443">
                  <c:v>10999109.789565274</c:v>
                </c:pt>
                <c:pt idx="444">
                  <c:v>10895232.381791987</c:v>
                </c:pt>
                <c:pt idx="445">
                  <c:v>10767483.295548286</c:v>
                </c:pt>
                <c:pt idx="446">
                  <c:v>10795197.433842346</c:v>
                </c:pt>
                <c:pt idx="447">
                  <c:v>10768874.871506665</c:v>
                </c:pt>
                <c:pt idx="448">
                  <c:v>10720005.736077562</c:v>
                </c:pt>
                <c:pt idx="449">
                  <c:v>10725687.691241657</c:v>
                </c:pt>
                <c:pt idx="450">
                  <c:v>10662138.98575842</c:v>
                </c:pt>
                <c:pt idx="451">
                  <c:v>10529927.856214728</c:v>
                </c:pt>
                <c:pt idx="452">
                  <c:v>10539800.694088342</c:v>
                </c:pt>
                <c:pt idx="453">
                  <c:v>10431256.128377385</c:v>
                </c:pt>
                <c:pt idx="454">
                  <c:v>10499619.898306144</c:v>
                </c:pt>
                <c:pt idx="455">
                  <c:v>10715292.038460193</c:v>
                </c:pt>
                <c:pt idx="456">
                  <c:v>10752107.878331456</c:v>
                </c:pt>
                <c:pt idx="457">
                  <c:v>10849333.567626398</c:v>
                </c:pt>
                <c:pt idx="458">
                  <c:v>10926770.473430013</c:v>
                </c:pt>
                <c:pt idx="459">
                  <c:v>10781035.514724933</c:v>
                </c:pt>
                <c:pt idx="460">
                  <c:v>10747972.746347507</c:v>
                </c:pt>
                <c:pt idx="461">
                  <c:v>10642632.029543109</c:v>
                </c:pt>
                <c:pt idx="462">
                  <c:v>10671804.488357129</c:v>
                </c:pt>
                <c:pt idx="463">
                  <c:v>10851129.144087646</c:v>
                </c:pt>
                <c:pt idx="464">
                  <c:v>10779076.277650656</c:v>
                </c:pt>
                <c:pt idx="465">
                  <c:v>10655178.52461182</c:v>
                </c:pt>
                <c:pt idx="466">
                  <c:v>10564190.347154843</c:v>
                </c:pt>
                <c:pt idx="467">
                  <c:v>10762278.355888857</c:v>
                </c:pt>
                <c:pt idx="468">
                  <c:v>10833793.328856058</c:v>
                </c:pt>
                <c:pt idx="469">
                  <c:v>10705243.693131985</c:v>
                </c:pt>
                <c:pt idx="470">
                  <c:v>10752592.341144498</c:v>
                </c:pt>
                <c:pt idx="471">
                  <c:v>10861195.431778347</c:v>
                </c:pt>
                <c:pt idx="472">
                  <c:v>10749295.333896006</c:v>
                </c:pt>
                <c:pt idx="473">
                  <c:v>10541895.138520403</c:v>
                </c:pt>
                <c:pt idx="474">
                  <c:v>10595208.620380679</c:v>
                </c:pt>
                <c:pt idx="475">
                  <c:v>10552057.493118251</c:v>
                </c:pt>
                <c:pt idx="476">
                  <c:v>10515294.529436257</c:v>
                </c:pt>
                <c:pt idx="477">
                  <c:v>10320153.362004414</c:v>
                </c:pt>
                <c:pt idx="478">
                  <c:v>10373526.704968587</c:v>
                </c:pt>
                <c:pt idx="479">
                  <c:v>10417817.585685667</c:v>
                </c:pt>
                <c:pt idx="480">
                  <c:v>10510895.856233286</c:v>
                </c:pt>
                <c:pt idx="481">
                  <c:v>10379640.824283214</c:v>
                </c:pt>
                <c:pt idx="482">
                  <c:v>10447714.894605385</c:v>
                </c:pt>
                <c:pt idx="483">
                  <c:v>10581369.955548905</c:v>
                </c:pt>
                <c:pt idx="484">
                  <c:v>10601370.525991283</c:v>
                </c:pt>
                <c:pt idx="485">
                  <c:v>10433896.626804721</c:v>
                </c:pt>
                <c:pt idx="486">
                  <c:v>10350095.47499324</c:v>
                </c:pt>
                <c:pt idx="487">
                  <c:v>10087791.638809521</c:v>
                </c:pt>
                <c:pt idx="488">
                  <c:v>9964957.2627233416</c:v>
                </c:pt>
                <c:pt idx="489">
                  <c:v>10247341.52432665</c:v>
                </c:pt>
                <c:pt idx="490">
                  <c:v>10085637.585993951</c:v>
                </c:pt>
                <c:pt idx="491">
                  <c:v>10038973.729654647</c:v>
                </c:pt>
                <c:pt idx="492">
                  <c:v>10027356.456452304</c:v>
                </c:pt>
                <c:pt idx="493">
                  <c:v>10176986.754907552</c:v>
                </c:pt>
                <c:pt idx="494">
                  <c:v>9692792.5760372765</c:v>
                </c:pt>
                <c:pt idx="495">
                  <c:v>9510728.1115229968</c:v>
                </c:pt>
                <c:pt idx="496">
                  <c:v>9633204.6502659395</c:v>
                </c:pt>
                <c:pt idx="497">
                  <c:v>10158315.285959179</c:v>
                </c:pt>
                <c:pt idx="498">
                  <c:v>10019539.488131296</c:v>
                </c:pt>
                <c:pt idx="499">
                  <c:v>9876783.8363053352</c:v>
                </c:pt>
                <c:pt idx="500">
                  <c:v>10000000</c:v>
                </c:pt>
                <c:pt idx="501">
                  <c:v>9934995.3702790402</c:v>
                </c:pt>
                <c:pt idx="502">
                  <c:v>9948804.6780191343</c:v>
                </c:pt>
                <c:pt idx="503">
                  <c:v>9960515.5245293546</c:v>
                </c:pt>
                <c:pt idx="504">
                  <c:v>9861942.8532493189</c:v>
                </c:pt>
                <c:pt idx="505">
                  <c:v>9830272.8190114498</c:v>
                </c:pt>
                <c:pt idx="506">
                  <c:v>9832890.0017662123</c:v>
                </c:pt>
                <c:pt idx="507">
                  <c:v>9751433.2019860502</c:v>
                </c:pt>
                <c:pt idx="508">
                  <c:v>9815011.4230951797</c:v>
                </c:pt>
                <c:pt idx="509">
                  <c:v>9967979.3741117101</c:v>
                </c:pt>
                <c:pt idx="510">
                  <c:v>10010234.759427158</c:v>
                </c:pt>
                <c:pt idx="511">
                  <c:v>10150128.372443853</c:v>
                </c:pt>
                <c:pt idx="512">
                  <c:v>10049374.129170472</c:v>
                </c:pt>
                <c:pt idx="513">
                  <c:v>10086520.18855875</c:v>
                </c:pt>
                <c:pt idx="514">
                  <c:v>9996670.2437527254</c:v>
                </c:pt>
                <c:pt idx="515">
                  <c:v>10043069.497665754</c:v>
                </c:pt>
                <c:pt idx="516">
                  <c:v>10058102.239972726</c:v>
                </c:pt>
                <c:pt idx="517">
                  <c:v>10131998.556155086</c:v>
                </c:pt>
                <c:pt idx="518">
                  <c:v>10096952.248217097</c:v>
                </c:pt>
                <c:pt idx="519">
                  <c:v>10040393.862235606</c:v>
                </c:pt>
                <c:pt idx="520">
                  <c:v>10191817.983892556</c:v>
                </c:pt>
                <c:pt idx="521">
                  <c:v>10085071.584288947</c:v>
                </c:pt>
                <c:pt idx="522">
                  <c:v>10215495.652255807</c:v>
                </c:pt>
                <c:pt idx="523">
                  <c:v>10193132.676897801</c:v>
                </c:pt>
                <c:pt idx="524">
                  <c:v>10174025.563587591</c:v>
                </c:pt>
                <c:pt idx="525">
                  <c:v>10199587.210359542</c:v>
                </c:pt>
                <c:pt idx="526">
                  <c:v>10234139.952309964</c:v>
                </c:pt>
                <c:pt idx="527">
                  <c:v>10303675.530875422</c:v>
                </c:pt>
                <c:pt idx="528">
                  <c:v>10298765.407863516</c:v>
                </c:pt>
                <c:pt idx="529">
                  <c:v>10370417.311485961</c:v>
                </c:pt>
                <c:pt idx="530">
                  <c:v>10386407.891449822</c:v>
                </c:pt>
                <c:pt idx="531">
                  <c:v>10423187.101013916</c:v>
                </c:pt>
                <c:pt idx="532">
                  <c:v>10423627.625624731</c:v>
                </c:pt>
                <c:pt idx="533">
                  <c:v>10389587.54936472</c:v>
                </c:pt>
                <c:pt idx="534">
                  <c:v>10358943.930557495</c:v>
                </c:pt>
                <c:pt idx="535">
                  <c:v>10250521.836857216</c:v>
                </c:pt>
                <c:pt idx="536">
                  <c:v>10186215.010958387</c:v>
                </c:pt>
                <c:pt idx="537">
                  <c:v>10107515.164588297</c:v>
                </c:pt>
                <c:pt idx="538">
                  <c:v>10085829.925348492</c:v>
                </c:pt>
                <c:pt idx="539">
                  <c:v>10006025.59320966</c:v>
                </c:pt>
                <c:pt idx="540">
                  <c:v>10118250.479090817</c:v>
                </c:pt>
                <c:pt idx="541">
                  <c:v>10245955.567038143</c:v>
                </c:pt>
                <c:pt idx="542">
                  <c:v>10282949.674330112</c:v>
                </c:pt>
                <c:pt idx="543">
                  <c:v>10224321.940116607</c:v>
                </c:pt>
                <c:pt idx="544">
                  <c:v>10217563.833931478</c:v>
                </c:pt>
                <c:pt idx="545">
                  <c:v>10179519.375498135</c:v>
                </c:pt>
                <c:pt idx="546">
                  <c:v>10049378.083021685</c:v>
                </c:pt>
                <c:pt idx="547">
                  <c:v>10046045.995977163</c:v>
                </c:pt>
                <c:pt idx="548">
                  <c:v>10035071.911831357</c:v>
                </c:pt>
                <c:pt idx="549">
                  <c:v>9961755.6002112888</c:v>
                </c:pt>
                <c:pt idx="550">
                  <c:v>10026686.468315747</c:v>
                </c:pt>
                <c:pt idx="551">
                  <c:v>10060646.909798346</c:v>
                </c:pt>
                <c:pt idx="552">
                  <c:v>10087603.213516556</c:v>
                </c:pt>
                <c:pt idx="553">
                  <c:v>10028685.653310476</c:v>
                </c:pt>
                <c:pt idx="554">
                  <c:v>9944455.9077739902</c:v>
                </c:pt>
                <c:pt idx="555">
                  <c:v>10092471.005031118</c:v>
                </c:pt>
                <c:pt idx="556">
                  <c:v>10039279.562226504</c:v>
                </c:pt>
                <c:pt idx="557">
                  <c:v>10162628.724808397</c:v>
                </c:pt>
                <c:pt idx="558">
                  <c:v>10120870.518380465</c:v>
                </c:pt>
                <c:pt idx="559">
                  <c:v>10211713.652283378</c:v>
                </c:pt>
                <c:pt idx="560">
                  <c:v>10235773.228642289</c:v>
                </c:pt>
                <c:pt idx="561">
                  <c:v>10210392.169616645</c:v>
                </c:pt>
                <c:pt idx="562">
                  <c:v>10202208.657153573</c:v>
                </c:pt>
                <c:pt idx="563">
                  <c:v>10110389.759780064</c:v>
                </c:pt>
                <c:pt idx="564">
                  <c:v>10101559.926157828</c:v>
                </c:pt>
                <c:pt idx="565">
                  <c:v>10082194.168090606</c:v>
                </c:pt>
                <c:pt idx="566">
                  <c:v>10103859.482270837</c:v>
                </c:pt>
                <c:pt idx="567">
                  <c:v>10113529.37667409</c:v>
                </c:pt>
                <c:pt idx="568">
                  <c:v>10182648.019866971</c:v>
                </c:pt>
                <c:pt idx="569">
                  <c:v>10287066.364767846</c:v>
                </c:pt>
                <c:pt idx="570">
                  <c:v>10347881.621647336</c:v>
                </c:pt>
                <c:pt idx="571">
                  <c:v>10372015.876103483</c:v>
                </c:pt>
                <c:pt idx="572">
                  <c:v>10460979.890891651</c:v>
                </c:pt>
                <c:pt idx="573">
                  <c:v>10492146.647542136</c:v>
                </c:pt>
                <c:pt idx="574">
                  <c:v>10396885.269523684</c:v>
                </c:pt>
                <c:pt idx="575">
                  <c:v>10217401.649710059</c:v>
                </c:pt>
                <c:pt idx="576">
                  <c:v>10069766.862658933</c:v>
                </c:pt>
                <c:pt idx="577">
                  <c:v>10047445.841092724</c:v>
                </c:pt>
                <c:pt idx="578">
                  <c:v>9999865.9359750375</c:v>
                </c:pt>
                <c:pt idx="579">
                  <c:v>10069659.152215239</c:v>
                </c:pt>
                <c:pt idx="580">
                  <c:v>10084003.588878183</c:v>
                </c:pt>
                <c:pt idx="581">
                  <c:v>10036079.28741779</c:v>
                </c:pt>
                <c:pt idx="582">
                  <c:v>9945745.8473121077</c:v>
                </c:pt>
                <c:pt idx="583">
                  <c:v>9965467.4399163667</c:v>
                </c:pt>
                <c:pt idx="584">
                  <c:v>9958583.9578488115</c:v>
                </c:pt>
                <c:pt idx="585">
                  <c:v>9976051.173455067</c:v>
                </c:pt>
                <c:pt idx="586">
                  <c:v>9966575.5962991044</c:v>
                </c:pt>
                <c:pt idx="587">
                  <c:v>9953114.9294233061</c:v>
                </c:pt>
                <c:pt idx="588">
                  <c:v>9991634.2672559079</c:v>
                </c:pt>
                <c:pt idx="589">
                  <c:v>9971234.4026580919</c:v>
                </c:pt>
                <c:pt idx="590">
                  <c:v>10089790.706400288</c:v>
                </c:pt>
                <c:pt idx="591">
                  <c:v>10011609.434405487</c:v>
                </c:pt>
                <c:pt idx="592">
                  <c:v>10029863.23261101</c:v>
                </c:pt>
                <c:pt idx="593">
                  <c:v>10068737.714853622</c:v>
                </c:pt>
                <c:pt idx="594">
                  <c:v>9948445.7031209227</c:v>
                </c:pt>
                <c:pt idx="595">
                  <c:v>9947921.6837094892</c:v>
                </c:pt>
                <c:pt idx="596">
                  <c:v>9909749.733527055</c:v>
                </c:pt>
                <c:pt idx="597">
                  <c:v>9928297.0719523579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9E-4313-B69E-363917CB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946383"/>
        <c:axId val="686954703"/>
      </c:scatterChart>
      <c:valAx>
        <c:axId val="686946383"/>
        <c:scaling>
          <c:orientation val="minMax"/>
          <c:max val="39850"/>
          <c:min val="3945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13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6954703"/>
        <c:crosses val="autoZero"/>
        <c:crossBetween val="midCat"/>
      </c:valAx>
      <c:valAx>
        <c:axId val="686954703"/>
        <c:scaling>
          <c:orientation val="minMax"/>
          <c:min val="5000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6946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7" Type="http://schemas.openxmlformats.org/officeDocument/2006/relationships/image" Target="../media/image8.png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png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86968</xdr:colOff>
      <xdr:row>4</xdr:row>
      <xdr:rowOff>4554</xdr:rowOff>
    </xdr:from>
    <xdr:to>
      <xdr:col>21</xdr:col>
      <xdr:colOff>372718</xdr:colOff>
      <xdr:row>17</xdr:row>
      <xdr:rowOff>57978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144251" y="766554"/>
          <a:ext cx="2737402" cy="252992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aseline="0"/>
            <a:t>Este archivo de Excel contiene los datos para ejemplificar el cálculo del VaR histórico durante el periodo 2006-2008 para un portafolio de activos. Los pasos a seguir son:</a:t>
          </a:r>
        </a:p>
        <a:p>
          <a:endParaRPr lang="en-US" sz="1100" baseline="0"/>
        </a:p>
        <a:p>
          <a:r>
            <a:rPr lang="en-US" sz="1100" baseline="0"/>
            <a:t>1. Obtener una base de datos con la información de los precios diarios de los activos que componen el portafolio.</a:t>
          </a:r>
        </a:p>
        <a:p>
          <a:endParaRPr lang="en-US" sz="1100" baseline="0"/>
        </a:p>
        <a:p>
          <a:r>
            <a:rPr lang="en-US" sz="1100" baseline="0"/>
            <a:t>2. Monetizar cada activo en la moneda de referencia o reportada. En este caso, USD. Tener cuidado con el método del tipo de cambio (directo o indirecto).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236457</xdr:colOff>
      <xdr:row>3</xdr:row>
      <xdr:rowOff>126553</xdr:rowOff>
    </xdr:from>
    <xdr:to>
      <xdr:col>17</xdr:col>
      <xdr:colOff>173182</xdr:colOff>
      <xdr:row>11</xdr:row>
      <xdr:rowOff>173182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9674866" y="698053"/>
          <a:ext cx="3703430" cy="157062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Las columnas B-E pronostican el valor</a:t>
          </a:r>
          <a:r>
            <a:rPr lang="en-US" sz="1100" baseline="0"/>
            <a:t> del índice respectivo para el día siguiente (26/09/08), suponiendo que los retornos históricos observados anteriormente pueden ocurrir nuevamente</a:t>
          </a:r>
          <a:r>
            <a:rPr lang="en-US" sz="1100"/>
            <a:t>.</a:t>
          </a:r>
        </a:p>
        <a:p>
          <a:r>
            <a:rPr lang="en-US" sz="1100"/>
            <a:t>La columna G es el valor pronosticado</a:t>
          </a:r>
          <a:r>
            <a:rPr lang="en-US" sz="1100" baseline="0"/>
            <a:t> del portafollio para el día siguiente.</a:t>
          </a:r>
        </a:p>
        <a:p>
          <a:r>
            <a:rPr lang="en-US" sz="1100" baseline="0"/>
            <a:t>La columna I es el cambio en dólares del valor del portafolio.</a:t>
          </a:r>
        </a:p>
        <a:p>
          <a:r>
            <a:rPr lang="en-US" sz="1100" baseline="0"/>
            <a:t>La columna J es el cambio % del valor del portafolio.</a:t>
          </a:r>
          <a:endParaRPr lang="en-US" sz="1100"/>
        </a:p>
      </xdr:txBody>
    </xdr:sp>
    <xdr:clientData/>
  </xdr:twoCellAnchor>
  <xdr:twoCellAnchor>
    <xdr:from>
      <xdr:col>15</xdr:col>
      <xdr:colOff>587087</xdr:colOff>
      <xdr:row>14</xdr:row>
      <xdr:rowOff>69272</xdr:rowOff>
    </xdr:from>
    <xdr:to>
      <xdr:col>22</xdr:col>
      <xdr:colOff>320387</xdr:colOff>
      <xdr:row>26</xdr:row>
      <xdr:rowOff>43295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6AC417D-3986-4C5C-9160-9EE548FD31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628650</xdr:colOff>
      <xdr:row>47</xdr:row>
      <xdr:rowOff>177510</xdr:rowOff>
    </xdr:from>
    <xdr:to>
      <xdr:col>22</xdr:col>
      <xdr:colOff>502228</xdr:colOff>
      <xdr:row>59</xdr:row>
      <xdr:rowOff>51954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883D0F-4260-4D31-BDCB-C6690B091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1156607</xdr:colOff>
      <xdr:row>0</xdr:row>
      <xdr:rowOff>170087</xdr:rowOff>
    </xdr:from>
    <xdr:to>
      <xdr:col>12</xdr:col>
      <xdr:colOff>214994</xdr:colOff>
      <xdr:row>17</xdr:row>
      <xdr:rowOff>20411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592911" y="170087"/>
          <a:ext cx="3916137" cy="344261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Una vez</a:t>
          </a:r>
          <a:r>
            <a:rPr lang="en-US" sz="1100" baseline="0"/>
            <a:t> ordenadas las G/P de menor a mayor, se determina el VaR a 1 día al 99% de confianza al identificar la 5ta observación de este vector ordenado, y se obtiene entonces que dicho VaR = USD $253,385</a:t>
          </a:r>
          <a:r>
            <a:rPr lang="en-US" sz="1100"/>
            <a:t> en la celda B6. </a:t>
          </a:r>
        </a:p>
        <a:p>
          <a:r>
            <a:rPr lang="en-US" sz="1100"/>
            <a:t>Esto significa que se</a:t>
          </a:r>
          <a:r>
            <a:rPr lang="en-US" sz="1100" baseline="0"/>
            <a:t> espera perder a lo más, USD $253,385 en 99 de 100 días de negocio, y solamente en una ocasión de 100, perder más de esa cantidad.</a:t>
          </a:r>
          <a:endParaRPr lang="en-US" sz="1100"/>
        </a:p>
        <a:p>
          <a:endParaRPr lang="en-US" sz="1100"/>
        </a:p>
        <a:p>
          <a:r>
            <a:rPr lang="en-US" sz="1100"/>
            <a:t>El CVaR es el promedio</a:t>
          </a:r>
          <a:r>
            <a:rPr lang="en-US" sz="1100" baseline="0"/>
            <a:t> de las pérdidas dado que se rebasa el VaR, por lo que </a:t>
          </a:r>
          <a:r>
            <a:rPr lang="en-US" sz="1100"/>
            <a:t>se obtiene al promediar las primeras cuatro observaciones de este vector ordenado, obteniendo USD $345,630</a:t>
          </a:r>
          <a:r>
            <a:rPr lang="en-US" sz="1100" baseline="0"/>
            <a:t> (celda D11).</a:t>
          </a:r>
        </a:p>
        <a:p>
          <a:r>
            <a:rPr lang="en-US" sz="1100" baseline="0"/>
            <a:t>Esta cantidad significica que, en caso de rebasar el VaR se espera perder, en promedio, USD $345,650 en un día de 100 días.</a:t>
          </a:r>
        </a:p>
        <a:p>
          <a:endParaRPr lang="en-US" sz="1100"/>
        </a:p>
        <a:p>
          <a:r>
            <a:rPr lang="en-US" sz="1100"/>
            <a:t>Con respecto al nivel del capital</a:t>
          </a:r>
          <a:r>
            <a:rPr lang="en-US" sz="1100" baseline="0"/>
            <a:t> regulatorio (asumiendo una ponderación del 100%), este portafolio requiere de USD $2,403,821 de capital, que representa el 24% del valor del portafolio.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241357</xdr:colOff>
      <xdr:row>2</xdr:row>
      <xdr:rowOff>11905</xdr:rowOff>
    </xdr:from>
    <xdr:to>
      <xdr:col>16</xdr:col>
      <xdr:colOff>410738</xdr:colOff>
      <xdr:row>4</xdr:row>
      <xdr:rowOff>12977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AE49C6-CBF9-4B73-A544-D8269D72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1507" y="399255"/>
          <a:ext cx="2315681" cy="3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574</xdr:row>
      <xdr:rowOff>52386</xdr:rowOff>
    </xdr:from>
    <xdr:to>
      <xdr:col>14</xdr:col>
      <xdr:colOff>438150</xdr:colOff>
      <xdr:row>589</xdr:row>
      <xdr:rowOff>133349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1BF326-4918-49F6-9A35-4F18CF24B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591</xdr:row>
      <xdr:rowOff>133350</xdr:rowOff>
    </xdr:from>
    <xdr:to>
      <xdr:col>14</xdr:col>
      <xdr:colOff>438150</xdr:colOff>
      <xdr:row>607</xdr:row>
      <xdr:rowOff>23813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985EA9FA-0227-4D3D-81A2-768129EAD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307699</xdr:colOff>
      <xdr:row>24</xdr:row>
      <xdr:rowOff>142875</xdr:rowOff>
    </xdr:from>
    <xdr:to>
      <xdr:col>8</xdr:col>
      <xdr:colOff>745849</xdr:colOff>
      <xdr:row>26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5B791-0E1C-4217-8AA9-DE13F8317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1699" y="4772853"/>
          <a:ext cx="120015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251345</xdr:colOff>
      <xdr:row>30</xdr:row>
      <xdr:rowOff>102577</xdr:rowOff>
    </xdr:from>
    <xdr:to>
      <xdr:col>8</xdr:col>
      <xdr:colOff>841895</xdr:colOff>
      <xdr:row>32</xdr:row>
      <xdr:rowOff>74002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5C65D7-2762-4EFC-A6FB-C4BD431A7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5345" y="5925251"/>
          <a:ext cx="13525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65942</xdr:colOff>
      <xdr:row>36</xdr:row>
      <xdr:rowOff>161192</xdr:rowOff>
    </xdr:from>
    <xdr:to>
      <xdr:col>7</xdr:col>
      <xdr:colOff>646967</xdr:colOff>
      <xdr:row>38</xdr:row>
      <xdr:rowOff>75467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82AE60-55CA-4E89-BC75-D2F38511D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9942" y="7165730"/>
          <a:ext cx="58102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36</xdr:row>
      <xdr:rowOff>168519</xdr:rowOff>
    </xdr:from>
    <xdr:to>
      <xdr:col>8</xdr:col>
      <xdr:colOff>1240302</xdr:colOff>
      <xdr:row>38</xdr:row>
      <xdr:rowOff>82794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4492EAE9-913F-4AEB-B3D8-F7CA5468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73057"/>
          <a:ext cx="1209675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337038</xdr:colOff>
      <xdr:row>44</xdr:row>
      <xdr:rowOff>153865</xdr:rowOff>
    </xdr:from>
    <xdr:to>
      <xdr:col>9</xdr:col>
      <xdr:colOff>436098</xdr:colOff>
      <xdr:row>46</xdr:row>
      <xdr:rowOff>106240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B162E9E-ACC7-4030-B878-EFD9AE089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9038" y="8719038"/>
          <a:ext cx="2842113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360045</xdr:colOff>
      <xdr:row>54</xdr:row>
      <xdr:rowOff>9375</xdr:rowOff>
    </xdr:from>
    <xdr:to>
      <xdr:col>15</xdr:col>
      <xdr:colOff>717425</xdr:colOff>
      <xdr:row>61</xdr:row>
      <xdr:rowOff>182546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E65094-B681-4C8B-B7B2-0034D3AC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08845" y="10098255"/>
          <a:ext cx="3672080" cy="1483811"/>
        </a:xfrm>
        <a:prstGeom prst="rect">
          <a:avLst/>
        </a:prstGeom>
      </xdr:spPr>
    </xdr:pic>
    <xdr:clientData/>
  </xdr:twoCellAnchor>
  <xdr:twoCellAnchor editAs="oneCell">
    <xdr:from>
      <xdr:col>20</xdr:col>
      <xdr:colOff>731520</xdr:colOff>
      <xdr:row>4</xdr:row>
      <xdr:rowOff>152400</xdr:rowOff>
    </xdr:from>
    <xdr:to>
      <xdr:col>29</xdr:col>
      <xdr:colOff>541616</xdr:colOff>
      <xdr:row>27</xdr:row>
      <xdr:rowOff>68943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EB6449-8C8B-6528-352C-E541F400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71720" y="891540"/>
          <a:ext cx="6873836" cy="4191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4"/>
  <sheetViews>
    <sheetView showGridLines="0" zoomScale="91" zoomScaleNormal="115" workbookViewId="0">
      <pane ySplit="3" topLeftCell="A491" activePane="bottomLeft" state="frozen"/>
      <selection pane="bottomLeft" activeCell="P504" sqref="P504"/>
    </sheetView>
  </sheetViews>
  <sheetFormatPr defaultColWidth="9.08984375" defaultRowHeight="14.5"/>
  <cols>
    <col min="2" max="2" width="13.54296875" customWidth="1"/>
    <col min="4" max="4" width="10.54296875" bestFit="1" customWidth="1"/>
    <col min="6" max="6" width="9.54296875" bestFit="1" customWidth="1"/>
    <col min="8" max="8" width="10.54296875" bestFit="1" customWidth="1"/>
    <col min="10" max="10" width="9.54296875" bestFit="1" customWidth="1"/>
    <col min="12" max="12" width="9.54296875" bestFit="1" customWidth="1"/>
    <col min="14" max="14" width="10.54296875" bestFit="1" customWidth="1"/>
  </cols>
  <sheetData>
    <row r="1" spans="1:21">
      <c r="C1" s="2"/>
      <c r="D1" s="3"/>
      <c r="E1" s="4"/>
      <c r="F1" s="4"/>
      <c r="G1" s="4" t="s">
        <v>0</v>
      </c>
      <c r="H1" s="5" t="s">
        <v>1</v>
      </c>
      <c r="I1" s="4"/>
      <c r="J1" s="4"/>
      <c r="K1" s="4" t="s">
        <v>0</v>
      </c>
      <c r="L1" s="5" t="s">
        <v>1</v>
      </c>
      <c r="M1" s="4"/>
      <c r="N1" s="4"/>
      <c r="O1" s="4" t="s">
        <v>0</v>
      </c>
      <c r="P1" s="5" t="s">
        <v>1</v>
      </c>
      <c r="Q1" s="1"/>
      <c r="R1" s="1"/>
      <c r="S1" s="1"/>
      <c r="T1" s="1"/>
      <c r="U1" s="1"/>
    </row>
    <row r="2" spans="1:21">
      <c r="A2" s="26" t="s">
        <v>2</v>
      </c>
      <c r="B2" s="4" t="s">
        <v>3</v>
      </c>
      <c r="C2" s="2"/>
      <c r="D2" s="3" t="s">
        <v>4</v>
      </c>
      <c r="E2" s="4"/>
      <c r="F2" s="4" t="s">
        <v>5</v>
      </c>
      <c r="G2" s="4" t="s">
        <v>6</v>
      </c>
      <c r="H2" s="5" t="s">
        <v>7</v>
      </c>
      <c r="I2" s="4"/>
      <c r="J2" s="4" t="s">
        <v>8</v>
      </c>
      <c r="K2" s="4" t="s">
        <v>9</v>
      </c>
      <c r="L2" s="5" t="s">
        <v>8</v>
      </c>
      <c r="M2" s="4"/>
      <c r="N2" s="4" t="s">
        <v>10</v>
      </c>
      <c r="O2" s="4" t="s">
        <v>11</v>
      </c>
      <c r="P2" s="5" t="s">
        <v>10</v>
      </c>
    </row>
    <row r="3" spans="1:21">
      <c r="C3" s="6"/>
      <c r="D3" s="7"/>
      <c r="E3" s="6"/>
      <c r="G3" s="6"/>
      <c r="H3" s="8"/>
      <c r="I3" s="6"/>
      <c r="K3" s="6"/>
      <c r="L3" s="8"/>
      <c r="M3" s="6"/>
      <c r="O3" s="6"/>
      <c r="P3" s="8"/>
    </row>
    <row r="4" spans="1:21">
      <c r="A4" s="1">
        <v>0</v>
      </c>
      <c r="B4" s="9">
        <v>38936</v>
      </c>
      <c r="C4" s="6"/>
      <c r="D4" s="12">
        <v>11219.38</v>
      </c>
      <c r="E4" s="6"/>
      <c r="F4" s="13">
        <v>5828.8</v>
      </c>
      <c r="G4" s="10">
        <v>1.9097999999999999</v>
      </c>
      <c r="H4" s="15">
        <f>F4*G4</f>
        <v>11131.84224</v>
      </c>
      <c r="I4" s="6"/>
      <c r="J4" s="13">
        <v>4956.34</v>
      </c>
      <c r="K4" s="11">
        <v>0.77759999999999996</v>
      </c>
      <c r="L4" s="15">
        <f>J4/K4</f>
        <v>6373.8940329218112</v>
      </c>
      <c r="M4" s="6"/>
      <c r="N4" s="13">
        <v>15154.06</v>
      </c>
      <c r="O4" s="11">
        <v>115</v>
      </c>
      <c r="P4" s="15">
        <f>N4/O4</f>
        <v>131.77443478260869</v>
      </c>
    </row>
    <row r="5" spans="1:21">
      <c r="A5" s="1">
        <v>1</v>
      </c>
      <c r="B5" s="9">
        <v>38937</v>
      </c>
      <c r="C5" s="6"/>
      <c r="D5" s="12">
        <v>11173.59</v>
      </c>
      <c r="E5" s="6"/>
      <c r="F5" s="13">
        <v>5818.1</v>
      </c>
      <c r="G5" s="10">
        <v>1.9072</v>
      </c>
      <c r="H5" s="15">
        <f t="shared" ref="H5:H68" si="0">F5*G5</f>
        <v>11096.28032</v>
      </c>
      <c r="I5" s="6"/>
      <c r="J5" s="13">
        <v>4967.95</v>
      </c>
      <c r="K5" s="11">
        <v>0.77890000000000004</v>
      </c>
      <c r="L5" s="15">
        <f t="shared" ref="L5:L68" si="1">J5/K5</f>
        <v>6378.1615098215425</v>
      </c>
      <c r="M5" s="6"/>
      <c r="N5" s="13">
        <v>15464.66</v>
      </c>
      <c r="O5" s="11">
        <v>115.08</v>
      </c>
      <c r="P5" s="15">
        <f t="shared" ref="P5:P68" si="2">N5/O5</f>
        <v>134.38182134167536</v>
      </c>
    </row>
    <row r="6" spans="1:21">
      <c r="A6" s="1">
        <v>2</v>
      </c>
      <c r="B6" s="9">
        <v>38938</v>
      </c>
      <c r="C6" s="6"/>
      <c r="D6" s="12">
        <v>11076.18</v>
      </c>
      <c r="E6" s="6"/>
      <c r="F6" s="13">
        <v>5860.5</v>
      </c>
      <c r="G6" s="10">
        <v>1.9086000000000001</v>
      </c>
      <c r="H6" s="15">
        <f>F6*G6</f>
        <v>11185.3503</v>
      </c>
      <c r="I6" s="6"/>
      <c r="J6" s="13">
        <v>5025.1499999999996</v>
      </c>
      <c r="K6" s="11">
        <v>0.7762</v>
      </c>
      <c r="L6" s="15">
        <f t="shared" si="1"/>
        <v>6474.040195825818</v>
      </c>
      <c r="M6" s="6"/>
      <c r="N6" s="13">
        <v>15656.59</v>
      </c>
      <c r="O6" s="11">
        <v>115.17</v>
      </c>
      <c r="P6" s="15">
        <f t="shared" si="2"/>
        <v>135.94330120691151</v>
      </c>
    </row>
    <row r="7" spans="1:21">
      <c r="A7" s="1">
        <v>3</v>
      </c>
      <c r="B7" s="9">
        <v>38939</v>
      </c>
      <c r="C7" s="6"/>
      <c r="D7" s="12">
        <v>11124.37</v>
      </c>
      <c r="E7" s="6"/>
      <c r="F7" s="13">
        <v>5823.4</v>
      </c>
      <c r="G7" s="10">
        <v>1.8917999999999999</v>
      </c>
      <c r="H7" s="15">
        <f t="shared" si="0"/>
        <v>11016.708119999999</v>
      </c>
      <c r="I7" s="6"/>
      <c r="J7" s="13">
        <v>4976.6400000000003</v>
      </c>
      <c r="K7" s="11">
        <v>0.78280000000000005</v>
      </c>
      <c r="L7" s="15">
        <f t="shared" si="1"/>
        <v>6357.4859478794069</v>
      </c>
      <c r="M7" s="6"/>
      <c r="N7" s="13">
        <v>15630.91</v>
      </c>
      <c r="O7" s="11">
        <v>115.41</v>
      </c>
      <c r="P7" s="15">
        <f t="shared" si="2"/>
        <v>135.43809028680357</v>
      </c>
    </row>
    <row r="8" spans="1:21">
      <c r="A8" s="1">
        <v>4</v>
      </c>
      <c r="B8" s="9">
        <v>38940</v>
      </c>
      <c r="C8" s="6"/>
      <c r="D8" s="12">
        <v>11088.02</v>
      </c>
      <c r="E8" s="6"/>
      <c r="F8" s="13">
        <v>5820.1</v>
      </c>
      <c r="G8" s="10">
        <v>1.897</v>
      </c>
      <c r="H8" s="15">
        <f t="shared" si="0"/>
        <v>11040.729700000002</v>
      </c>
      <c r="I8" s="6"/>
      <c r="J8" s="13">
        <v>4985.5200000000004</v>
      </c>
      <c r="K8" s="11">
        <v>0.7833</v>
      </c>
      <c r="L8" s="15">
        <f t="shared" si="1"/>
        <v>6364.7644580620454</v>
      </c>
      <c r="M8" s="6"/>
      <c r="N8" s="13">
        <v>15565.02</v>
      </c>
      <c r="O8" s="11">
        <v>116.07</v>
      </c>
      <c r="P8" s="15">
        <f t="shared" si="2"/>
        <v>134.10028431119153</v>
      </c>
    </row>
    <row r="9" spans="1:21">
      <c r="A9" s="1">
        <v>5</v>
      </c>
      <c r="B9" s="9">
        <v>38943</v>
      </c>
      <c r="C9" s="6"/>
      <c r="D9" s="12">
        <v>11097.87</v>
      </c>
      <c r="E9" s="6"/>
      <c r="F9" s="13">
        <v>5870.9</v>
      </c>
      <c r="G9" s="10">
        <v>1.8923000000000001</v>
      </c>
      <c r="H9" s="15">
        <f t="shared" si="0"/>
        <v>11109.504069999999</v>
      </c>
      <c r="I9" s="6"/>
      <c r="J9" s="13">
        <v>5046.93</v>
      </c>
      <c r="K9" s="11">
        <v>0.78469999999999995</v>
      </c>
      <c r="L9" s="15">
        <f t="shared" si="1"/>
        <v>6431.6681534344343</v>
      </c>
      <c r="M9" s="6"/>
      <c r="N9" s="13">
        <v>15857.11</v>
      </c>
      <c r="O9" s="11">
        <v>116.45</v>
      </c>
      <c r="P9" s="15">
        <f t="shared" si="2"/>
        <v>136.17097466723916</v>
      </c>
    </row>
    <row r="10" spans="1:21">
      <c r="A10" s="1">
        <v>6</v>
      </c>
      <c r="B10" s="9">
        <v>38944</v>
      </c>
      <c r="C10" s="6"/>
      <c r="D10" s="12">
        <v>11230.26</v>
      </c>
      <c r="E10" s="6"/>
      <c r="F10" s="13">
        <v>5897.9</v>
      </c>
      <c r="G10" s="10">
        <v>1.8955</v>
      </c>
      <c r="H10" s="15">
        <f t="shared" si="0"/>
        <v>11179.469449999999</v>
      </c>
      <c r="I10" s="6"/>
      <c r="J10" s="13">
        <v>5115.0200000000004</v>
      </c>
      <c r="K10" s="11">
        <v>0.78200000000000003</v>
      </c>
      <c r="L10" s="15">
        <f t="shared" si="1"/>
        <v>6540.9462915601025</v>
      </c>
      <c r="M10" s="6"/>
      <c r="N10" s="13">
        <v>15816.19</v>
      </c>
      <c r="O10" s="11">
        <v>116.02</v>
      </c>
      <c r="P10" s="15">
        <f t="shared" si="2"/>
        <v>136.32296155835201</v>
      </c>
    </row>
    <row r="11" spans="1:21">
      <c r="A11" s="1">
        <v>7</v>
      </c>
      <c r="B11" s="9">
        <v>38945</v>
      </c>
      <c r="C11" s="6"/>
      <c r="D11" s="12">
        <v>11327.12</v>
      </c>
      <c r="E11" s="6"/>
      <c r="F11" s="13">
        <v>5896.6</v>
      </c>
      <c r="G11" s="10">
        <v>1.9</v>
      </c>
      <c r="H11" s="15">
        <f t="shared" si="0"/>
        <v>11203.54</v>
      </c>
      <c r="I11" s="6"/>
      <c r="J11" s="13">
        <v>5137.3100000000004</v>
      </c>
      <c r="K11" s="11">
        <v>0.77800000000000002</v>
      </c>
      <c r="L11" s="15">
        <f t="shared" si="1"/>
        <v>6603.2262210796916</v>
      </c>
      <c r="M11" s="6"/>
      <c r="N11" s="13">
        <v>16071.36</v>
      </c>
      <c r="O11" s="11">
        <v>115.78</v>
      </c>
      <c r="P11" s="15">
        <f t="shared" si="2"/>
        <v>138.80946622905512</v>
      </c>
    </row>
    <row r="12" spans="1:21">
      <c r="A12" s="1">
        <v>8</v>
      </c>
      <c r="B12" s="9">
        <v>38946</v>
      </c>
      <c r="C12" s="6"/>
      <c r="D12" s="12">
        <v>11334.96</v>
      </c>
      <c r="E12" s="6"/>
      <c r="F12" s="13">
        <v>5900.4</v>
      </c>
      <c r="G12" s="10">
        <v>1.8931</v>
      </c>
      <c r="H12" s="15">
        <f t="shared" si="0"/>
        <v>11170.04724</v>
      </c>
      <c r="I12" s="6"/>
      <c r="J12" s="13">
        <v>5144.84</v>
      </c>
      <c r="K12" s="11">
        <v>0.77749999999999997</v>
      </c>
      <c r="L12" s="15">
        <f t="shared" si="1"/>
        <v>6617.1575562700973</v>
      </c>
      <c r="M12" s="6"/>
      <c r="N12" s="13">
        <v>16020.84</v>
      </c>
      <c r="O12" s="11">
        <v>115.53</v>
      </c>
      <c r="P12" s="15">
        <f t="shared" si="2"/>
        <v>138.67255258374448</v>
      </c>
    </row>
    <row r="13" spans="1:21">
      <c r="A13" s="1">
        <v>9</v>
      </c>
      <c r="B13" s="9">
        <v>38947</v>
      </c>
      <c r="C13" s="6"/>
      <c r="D13" s="12">
        <v>11381.47</v>
      </c>
      <c r="E13" s="6"/>
      <c r="F13" s="13">
        <v>5903.4</v>
      </c>
      <c r="G13" s="10">
        <v>1.8795999999999999</v>
      </c>
      <c r="H13" s="15">
        <f t="shared" si="0"/>
        <v>11096.030639999999</v>
      </c>
      <c r="I13" s="6"/>
      <c r="J13" s="13">
        <v>5135.6899999999996</v>
      </c>
      <c r="K13" s="11">
        <v>0.78</v>
      </c>
      <c r="L13" s="15">
        <f t="shared" si="1"/>
        <v>6584.2179487179483</v>
      </c>
      <c r="M13" s="6"/>
      <c r="N13" s="13">
        <v>16105.98</v>
      </c>
      <c r="O13" s="11">
        <v>115.74</v>
      </c>
      <c r="P13" s="15">
        <f t="shared" si="2"/>
        <v>139.15655780196994</v>
      </c>
    </row>
    <row r="14" spans="1:21">
      <c r="A14" s="1">
        <v>10</v>
      </c>
      <c r="B14" s="9">
        <v>38950</v>
      </c>
      <c r="C14" s="6"/>
      <c r="D14" s="12">
        <v>11345.04</v>
      </c>
      <c r="E14" s="6"/>
      <c r="F14" s="13">
        <v>5915.2</v>
      </c>
      <c r="G14" s="10">
        <v>1.897</v>
      </c>
      <c r="H14" s="15">
        <f t="shared" si="0"/>
        <v>11221.134399999999</v>
      </c>
      <c r="I14" s="6"/>
      <c r="J14" s="13">
        <v>5104.6499999999996</v>
      </c>
      <c r="K14" s="11">
        <v>0.77410000000000001</v>
      </c>
      <c r="L14" s="15">
        <f t="shared" si="1"/>
        <v>6594.3030616199449</v>
      </c>
      <c r="M14" s="6"/>
      <c r="N14" s="13">
        <v>15969.04</v>
      </c>
      <c r="O14" s="11">
        <v>115.86</v>
      </c>
      <c r="P14" s="15">
        <f t="shared" si="2"/>
        <v>137.83048506818574</v>
      </c>
    </row>
    <row r="15" spans="1:21">
      <c r="A15" s="1">
        <v>11</v>
      </c>
      <c r="B15" s="9">
        <v>38951</v>
      </c>
      <c r="C15" s="6"/>
      <c r="D15" s="12">
        <v>11339.84</v>
      </c>
      <c r="E15" s="6"/>
      <c r="F15" s="13">
        <v>5902.6</v>
      </c>
      <c r="G15" s="10">
        <v>1.8885000000000001</v>
      </c>
      <c r="H15" s="15">
        <f t="shared" si="0"/>
        <v>11147.060100000001</v>
      </c>
      <c r="I15" s="6"/>
      <c r="J15" s="13">
        <v>5128.33</v>
      </c>
      <c r="K15" s="11">
        <v>0.78039999999999998</v>
      </c>
      <c r="L15" s="15">
        <f t="shared" si="1"/>
        <v>6571.4120963608402</v>
      </c>
      <c r="M15" s="6"/>
      <c r="N15" s="13">
        <v>16181.17</v>
      </c>
      <c r="O15" s="11">
        <v>116.46</v>
      </c>
      <c r="P15" s="15">
        <f t="shared" si="2"/>
        <v>138.94186845268763</v>
      </c>
    </row>
    <row r="16" spans="1:21">
      <c r="A16" s="1">
        <v>12</v>
      </c>
      <c r="B16" s="9">
        <v>38952</v>
      </c>
      <c r="C16" s="6"/>
      <c r="D16" s="12">
        <v>11297.9</v>
      </c>
      <c r="E16" s="6"/>
      <c r="F16" s="13">
        <v>5860</v>
      </c>
      <c r="G16" s="10">
        <v>1.8936999999999999</v>
      </c>
      <c r="H16" s="15">
        <f t="shared" si="0"/>
        <v>11097.082</v>
      </c>
      <c r="I16" s="6"/>
      <c r="J16" s="13">
        <v>5082.7299999999996</v>
      </c>
      <c r="K16" s="11">
        <v>0.78159999999999996</v>
      </c>
      <c r="L16" s="15">
        <f t="shared" si="1"/>
        <v>6502.9810644831114</v>
      </c>
      <c r="M16" s="6"/>
      <c r="N16" s="13">
        <v>16163.03</v>
      </c>
      <c r="O16" s="11">
        <v>116.53</v>
      </c>
      <c r="P16" s="15">
        <f t="shared" si="2"/>
        <v>138.7027374924912</v>
      </c>
    </row>
    <row r="17" spans="1:16">
      <c r="A17" s="1">
        <v>13</v>
      </c>
      <c r="B17" s="9">
        <v>38953</v>
      </c>
      <c r="C17" s="6"/>
      <c r="D17" s="12">
        <v>11304.46</v>
      </c>
      <c r="E17" s="6"/>
      <c r="F17" s="13">
        <v>5869.1</v>
      </c>
      <c r="G17" s="10">
        <v>1.8914</v>
      </c>
      <c r="H17" s="15">
        <f t="shared" si="0"/>
        <v>11100.81574</v>
      </c>
      <c r="I17" s="6"/>
      <c r="J17" s="13">
        <v>5112.8500000000004</v>
      </c>
      <c r="K17" s="11">
        <v>0.78159999999999996</v>
      </c>
      <c r="L17" s="15">
        <f t="shared" si="1"/>
        <v>6541.5174002047088</v>
      </c>
      <c r="M17" s="6"/>
      <c r="N17" s="13">
        <v>15960.62</v>
      </c>
      <c r="O17" s="11">
        <v>116.32</v>
      </c>
      <c r="P17" s="15">
        <f t="shared" si="2"/>
        <v>137.21303301237967</v>
      </c>
    </row>
    <row r="18" spans="1:16">
      <c r="A18" s="1">
        <v>14</v>
      </c>
      <c r="B18" s="9">
        <v>38954</v>
      </c>
      <c r="C18" s="6"/>
      <c r="D18" s="12">
        <v>11284.05</v>
      </c>
      <c r="E18" s="6"/>
      <c r="F18" s="13">
        <v>5878.6</v>
      </c>
      <c r="G18" s="10">
        <v>1.8862000000000001</v>
      </c>
      <c r="H18" s="15">
        <f t="shared" si="0"/>
        <v>11088.215320000001</v>
      </c>
      <c r="I18" s="6"/>
      <c r="J18" s="13">
        <v>5111.13</v>
      </c>
      <c r="K18" s="11">
        <v>0.78449999999999998</v>
      </c>
      <c r="L18" s="15">
        <f t="shared" si="1"/>
        <v>6515.1434034416825</v>
      </c>
      <c r="M18" s="6"/>
      <c r="N18" s="13">
        <v>15938.66</v>
      </c>
      <c r="O18" s="11">
        <v>117.3</v>
      </c>
      <c r="P18" s="15">
        <f t="shared" si="2"/>
        <v>135.87945439045183</v>
      </c>
    </row>
    <row r="19" spans="1:16">
      <c r="A19" s="1">
        <v>15</v>
      </c>
      <c r="B19" s="9">
        <v>38958</v>
      </c>
      <c r="C19" s="6"/>
      <c r="D19" s="12">
        <v>11369.94</v>
      </c>
      <c r="E19" s="6"/>
      <c r="F19" s="13">
        <v>5888.3</v>
      </c>
      <c r="G19" s="10">
        <v>1.8929</v>
      </c>
      <c r="H19" s="15">
        <f t="shared" si="0"/>
        <v>11145.96307</v>
      </c>
      <c r="I19" s="6"/>
      <c r="J19" s="13">
        <v>5160.32</v>
      </c>
      <c r="K19" s="11">
        <v>0.78380000000000005</v>
      </c>
      <c r="L19" s="15">
        <f t="shared" si="1"/>
        <v>6583.7203368206165</v>
      </c>
      <c r="M19" s="6"/>
      <c r="N19" s="13">
        <v>15890.56</v>
      </c>
      <c r="O19" s="11">
        <v>116.92</v>
      </c>
      <c r="P19" s="15">
        <f t="shared" si="2"/>
        <v>135.90968183373246</v>
      </c>
    </row>
    <row r="20" spans="1:16">
      <c r="A20" s="1">
        <v>16</v>
      </c>
      <c r="B20" s="9">
        <v>38959</v>
      </c>
      <c r="C20" s="6"/>
      <c r="D20" s="12">
        <v>11382.91</v>
      </c>
      <c r="E20" s="6"/>
      <c r="F20" s="13">
        <v>5929.3</v>
      </c>
      <c r="G20" s="10">
        <v>1.9058999999999999</v>
      </c>
      <c r="H20" s="15">
        <f t="shared" si="0"/>
        <v>11300.65287</v>
      </c>
      <c r="I20" s="6"/>
      <c r="J20" s="13">
        <v>5182.79</v>
      </c>
      <c r="K20" s="11">
        <v>0.7792</v>
      </c>
      <c r="L20" s="15">
        <f t="shared" si="1"/>
        <v>6651.4245379876793</v>
      </c>
      <c r="M20" s="6"/>
      <c r="N20" s="13">
        <v>15872.02</v>
      </c>
      <c r="O20" s="11">
        <v>117.05</v>
      </c>
      <c r="P20" s="15">
        <f t="shared" si="2"/>
        <v>135.60034173430159</v>
      </c>
    </row>
    <row r="21" spans="1:16">
      <c r="A21" s="1">
        <v>17</v>
      </c>
      <c r="B21" s="9">
        <v>38960</v>
      </c>
      <c r="C21" s="6"/>
      <c r="D21" s="12">
        <v>11381.15</v>
      </c>
      <c r="E21" s="6"/>
      <c r="F21" s="13">
        <v>5906.1</v>
      </c>
      <c r="G21" s="10">
        <v>1.9017999999999999</v>
      </c>
      <c r="H21" s="15">
        <f t="shared" si="0"/>
        <v>11232.22098</v>
      </c>
      <c r="I21" s="6"/>
      <c r="J21" s="13">
        <v>5165.04</v>
      </c>
      <c r="K21" s="11">
        <v>0.78129999999999999</v>
      </c>
      <c r="L21" s="15">
        <f t="shared" si="1"/>
        <v>6610.8281070011517</v>
      </c>
      <c r="M21" s="6"/>
      <c r="N21" s="13">
        <v>16140.76</v>
      </c>
      <c r="O21" s="11">
        <v>117.3</v>
      </c>
      <c r="P21" s="15">
        <f t="shared" si="2"/>
        <v>137.60238704177323</v>
      </c>
    </row>
    <row r="22" spans="1:16">
      <c r="A22" s="1">
        <v>18</v>
      </c>
      <c r="B22" s="9">
        <v>38961</v>
      </c>
      <c r="C22" s="6"/>
      <c r="D22" s="12">
        <v>11464.15</v>
      </c>
      <c r="E22" s="6"/>
      <c r="F22" s="13">
        <v>5949.1</v>
      </c>
      <c r="G22" s="10">
        <v>1.9034</v>
      </c>
      <c r="H22" s="15">
        <f t="shared" si="0"/>
        <v>11323.516940000001</v>
      </c>
      <c r="I22" s="6"/>
      <c r="J22" s="13">
        <v>5183.45</v>
      </c>
      <c r="K22" s="11">
        <v>0.78100000000000003</v>
      </c>
      <c r="L22" s="15">
        <f t="shared" si="1"/>
        <v>6636.9398207426375</v>
      </c>
      <c r="M22" s="6"/>
      <c r="N22" s="13">
        <v>16134.25</v>
      </c>
      <c r="O22" s="11">
        <v>117.32</v>
      </c>
      <c r="P22" s="15">
        <f t="shared" si="2"/>
        <v>137.52344016365498</v>
      </c>
    </row>
    <row r="23" spans="1:16">
      <c r="A23" s="1">
        <v>19</v>
      </c>
      <c r="B23" s="9">
        <v>38965</v>
      </c>
      <c r="C23" s="6"/>
      <c r="D23" s="12">
        <v>11469.28</v>
      </c>
      <c r="E23" s="6"/>
      <c r="F23" s="13">
        <v>5981.7</v>
      </c>
      <c r="G23" s="10">
        <v>1.8926000000000001</v>
      </c>
      <c r="H23" s="15">
        <f t="shared" si="0"/>
        <v>11320.96542</v>
      </c>
      <c r="I23" s="6"/>
      <c r="J23" s="13">
        <v>5172.8500000000004</v>
      </c>
      <c r="K23" s="11">
        <v>0.78080000000000005</v>
      </c>
      <c r="L23" s="15">
        <f t="shared" si="1"/>
        <v>6625.0640368852455</v>
      </c>
      <c r="M23" s="6"/>
      <c r="N23" s="13">
        <v>16385.96</v>
      </c>
      <c r="O23" s="11">
        <v>116.1</v>
      </c>
      <c r="P23" s="15">
        <f t="shared" si="2"/>
        <v>141.13660637381568</v>
      </c>
    </row>
    <row r="24" spans="1:16">
      <c r="A24" s="1">
        <v>20</v>
      </c>
      <c r="B24" s="9">
        <v>38966</v>
      </c>
      <c r="C24" s="6"/>
      <c r="D24" s="12">
        <v>11406.2</v>
      </c>
      <c r="E24" s="6"/>
      <c r="F24" s="13">
        <v>5929.3</v>
      </c>
      <c r="G24" s="10">
        <v>1.8806</v>
      </c>
      <c r="H24" s="15">
        <f t="shared" si="0"/>
        <v>11150.641580000001</v>
      </c>
      <c r="I24" s="6"/>
      <c r="J24" s="13">
        <v>5115.5200000000004</v>
      </c>
      <c r="K24" s="11">
        <v>0.78200000000000003</v>
      </c>
      <c r="L24" s="15">
        <f t="shared" si="1"/>
        <v>6541.5856777493609</v>
      </c>
      <c r="M24" s="6"/>
      <c r="N24" s="13">
        <v>16284.09</v>
      </c>
      <c r="O24" s="11">
        <v>116.63</v>
      </c>
      <c r="P24" s="15">
        <f t="shared" si="2"/>
        <v>139.62179542141817</v>
      </c>
    </row>
    <row r="25" spans="1:16">
      <c r="A25" s="1">
        <v>21</v>
      </c>
      <c r="B25" s="9">
        <v>38967</v>
      </c>
      <c r="C25" s="6"/>
      <c r="D25" s="12">
        <v>11331.44</v>
      </c>
      <c r="E25" s="6"/>
      <c r="F25" s="13">
        <v>5858.1</v>
      </c>
      <c r="G25" s="10">
        <v>1.8740000000000001</v>
      </c>
      <c r="H25" s="15">
        <f t="shared" si="0"/>
        <v>10978.079400000001</v>
      </c>
      <c r="I25" s="6"/>
      <c r="J25" s="13">
        <v>5060.09</v>
      </c>
      <c r="K25" s="11">
        <v>0.78539999999999999</v>
      </c>
      <c r="L25" s="15">
        <f t="shared" si="1"/>
        <v>6442.6916221033871</v>
      </c>
      <c r="M25" s="6"/>
      <c r="N25" s="13">
        <v>16012.41</v>
      </c>
      <c r="O25" s="11">
        <v>116.45</v>
      </c>
      <c r="P25" s="15">
        <f>N25/O25</f>
        <v>137.50459424645771</v>
      </c>
    </row>
    <row r="26" spans="1:16">
      <c r="A26" s="1">
        <v>22</v>
      </c>
      <c r="B26" s="9">
        <v>38968</v>
      </c>
      <c r="C26" s="6"/>
      <c r="D26" s="12">
        <v>11392.11</v>
      </c>
      <c r="E26" s="6"/>
      <c r="F26" s="13">
        <v>5879.3</v>
      </c>
      <c r="G26" s="10">
        <v>1.8651</v>
      </c>
      <c r="H26" s="15">
        <f t="shared" si="0"/>
        <v>10965.48243</v>
      </c>
      <c r="I26" s="6"/>
      <c r="J26" s="13">
        <v>5073.57</v>
      </c>
      <c r="K26" s="11">
        <v>0.7893</v>
      </c>
      <c r="L26" s="15">
        <f t="shared" si="1"/>
        <v>6427.9361459521087</v>
      </c>
      <c r="M26" s="6"/>
      <c r="N26" s="13">
        <v>16080.46</v>
      </c>
      <c r="O26" s="11">
        <v>116.74</v>
      </c>
      <c r="P26" s="15">
        <f t="shared" si="2"/>
        <v>137.74593112900462</v>
      </c>
    </row>
    <row r="27" spans="1:16">
      <c r="A27" s="1">
        <v>23</v>
      </c>
      <c r="B27" s="9">
        <v>38971</v>
      </c>
      <c r="C27" s="6"/>
      <c r="D27" s="12">
        <v>11396.84</v>
      </c>
      <c r="E27" s="6"/>
      <c r="F27" s="13">
        <v>5850.8</v>
      </c>
      <c r="G27" s="10">
        <v>1.8625</v>
      </c>
      <c r="H27" s="15">
        <f t="shared" si="0"/>
        <v>10897.115</v>
      </c>
      <c r="I27" s="6"/>
      <c r="J27" s="13">
        <v>5058.3100000000004</v>
      </c>
      <c r="K27" s="11">
        <v>0.78790000000000004</v>
      </c>
      <c r="L27" s="15">
        <f t="shared" si="1"/>
        <v>6419.9898464272119</v>
      </c>
      <c r="M27" s="6"/>
      <c r="N27" s="13">
        <v>15794.38</v>
      </c>
      <c r="O27" s="11">
        <v>117.74</v>
      </c>
      <c r="P27" s="15">
        <f t="shared" si="2"/>
        <v>134.14625445897741</v>
      </c>
    </row>
    <row r="28" spans="1:16">
      <c r="A28" s="1">
        <v>24</v>
      </c>
      <c r="B28" s="9">
        <v>38972</v>
      </c>
      <c r="C28" s="6"/>
      <c r="D28" s="12">
        <v>11498.09</v>
      </c>
      <c r="E28" s="6"/>
      <c r="F28" s="13">
        <v>5895.5</v>
      </c>
      <c r="G28" s="10">
        <v>1.8755999999999999</v>
      </c>
      <c r="H28" s="15">
        <f t="shared" si="0"/>
        <v>11057.5998</v>
      </c>
      <c r="I28" s="6"/>
      <c r="J28" s="13">
        <v>5125.97</v>
      </c>
      <c r="K28" s="11">
        <v>0.78810000000000002</v>
      </c>
      <c r="L28" s="15">
        <f t="shared" si="1"/>
        <v>6504.2126633675934</v>
      </c>
      <c r="M28" s="6"/>
      <c r="N28" s="13">
        <v>15719.34</v>
      </c>
      <c r="O28" s="11">
        <v>117.77</v>
      </c>
      <c r="P28" s="15">
        <f t="shared" si="2"/>
        <v>133.47490872038719</v>
      </c>
    </row>
    <row r="29" spans="1:16">
      <c r="A29" s="1">
        <v>25</v>
      </c>
      <c r="B29" s="9">
        <v>38973</v>
      </c>
      <c r="C29" s="6"/>
      <c r="D29" s="12">
        <v>11543.32</v>
      </c>
      <c r="E29" s="6"/>
      <c r="F29" s="13">
        <v>5892.2</v>
      </c>
      <c r="G29" s="10">
        <v>1.8746</v>
      </c>
      <c r="H29" s="15">
        <f t="shared" si="0"/>
        <v>11045.518120000001</v>
      </c>
      <c r="I29" s="6"/>
      <c r="J29" s="13">
        <v>5137.93</v>
      </c>
      <c r="K29" s="11">
        <v>0.78879999999999995</v>
      </c>
      <c r="L29" s="15">
        <f t="shared" si="1"/>
        <v>6513.6029411764712</v>
      </c>
      <c r="M29" s="6"/>
      <c r="N29" s="13">
        <v>15750.05</v>
      </c>
      <c r="O29" s="11">
        <v>117.67</v>
      </c>
      <c r="P29" s="15">
        <f t="shared" si="2"/>
        <v>133.84932438174556</v>
      </c>
    </row>
    <row r="30" spans="1:16">
      <c r="A30" s="1">
        <v>26</v>
      </c>
      <c r="B30" s="9">
        <v>38974</v>
      </c>
      <c r="C30" s="6"/>
      <c r="D30" s="12">
        <v>11527.39</v>
      </c>
      <c r="E30" s="6"/>
      <c r="F30" s="13">
        <v>5877.2</v>
      </c>
      <c r="G30" s="10">
        <v>1.8907</v>
      </c>
      <c r="H30" s="15">
        <f t="shared" si="0"/>
        <v>11112.02204</v>
      </c>
      <c r="I30" s="6"/>
      <c r="J30" s="13">
        <v>5123.8500000000004</v>
      </c>
      <c r="K30" s="11">
        <v>0.7843</v>
      </c>
      <c r="L30" s="15">
        <f t="shared" si="1"/>
        <v>6533.0230779038639</v>
      </c>
      <c r="M30" s="6"/>
      <c r="N30" s="13">
        <v>15942.39</v>
      </c>
      <c r="O30" s="11">
        <v>117.41</v>
      </c>
      <c r="P30" s="15">
        <f t="shared" si="2"/>
        <v>135.78391959798995</v>
      </c>
    </row>
    <row r="31" spans="1:16">
      <c r="A31" s="1">
        <v>27</v>
      </c>
      <c r="B31" s="9">
        <v>38975</v>
      </c>
      <c r="C31" s="6"/>
      <c r="D31" s="12">
        <v>11560.77</v>
      </c>
      <c r="E31" s="6"/>
      <c r="F31" s="13">
        <v>5877</v>
      </c>
      <c r="G31" s="10">
        <v>1.8779999999999999</v>
      </c>
      <c r="H31" s="15">
        <f t="shared" si="0"/>
        <v>11037.005999999999</v>
      </c>
      <c r="I31" s="6"/>
      <c r="J31" s="13">
        <v>5144.88</v>
      </c>
      <c r="K31" s="11">
        <v>0.79049999999999998</v>
      </c>
      <c r="L31" s="15">
        <f t="shared" si="1"/>
        <v>6508.3870967741941</v>
      </c>
      <c r="M31" s="6"/>
      <c r="N31" s="13">
        <v>15866.93</v>
      </c>
      <c r="O31" s="11">
        <v>117.59</v>
      </c>
      <c r="P31" s="15">
        <f t="shared" si="2"/>
        <v>134.93434815885703</v>
      </c>
    </row>
    <row r="32" spans="1:16">
      <c r="A32" s="1">
        <v>28</v>
      </c>
      <c r="B32" s="9">
        <v>38979</v>
      </c>
      <c r="C32" s="6"/>
      <c r="D32" s="12">
        <v>11540.91</v>
      </c>
      <c r="E32" s="6"/>
      <c r="F32" s="13">
        <v>5831.8</v>
      </c>
      <c r="G32" s="10">
        <v>1.8868</v>
      </c>
      <c r="H32" s="15">
        <f t="shared" si="0"/>
        <v>11003.44024</v>
      </c>
      <c r="I32" s="6"/>
      <c r="J32" s="13">
        <v>5115.99</v>
      </c>
      <c r="K32" s="11">
        <v>0.78720000000000001</v>
      </c>
      <c r="L32" s="15">
        <f t="shared" si="1"/>
        <v>6498.9710365853653</v>
      </c>
      <c r="M32" s="6"/>
      <c r="N32" s="13">
        <v>15874.28</v>
      </c>
      <c r="O32" s="11">
        <v>117.18</v>
      </c>
      <c r="P32" s="15">
        <f t="shared" si="2"/>
        <v>135.46919269499915</v>
      </c>
    </row>
    <row r="33" spans="1:16">
      <c r="A33" s="1">
        <v>29</v>
      </c>
      <c r="B33" s="9">
        <v>38980</v>
      </c>
      <c r="C33" s="6"/>
      <c r="D33" s="12">
        <v>11613.19</v>
      </c>
      <c r="E33" s="6"/>
      <c r="F33" s="13">
        <v>5866.2</v>
      </c>
      <c r="G33" s="10">
        <v>1.8892</v>
      </c>
      <c r="H33" s="15">
        <f t="shared" si="0"/>
        <v>11082.42504</v>
      </c>
      <c r="I33" s="6"/>
      <c r="J33" s="13">
        <v>5192.74</v>
      </c>
      <c r="K33" s="11">
        <v>0.78720000000000001</v>
      </c>
      <c r="L33" s="15">
        <f t="shared" si="1"/>
        <v>6596.4684959349588</v>
      </c>
      <c r="M33" s="6"/>
      <c r="N33" s="13">
        <v>15718.67</v>
      </c>
      <c r="O33" s="11">
        <v>117.25</v>
      </c>
      <c r="P33" s="15">
        <f t="shared" si="2"/>
        <v>134.0611513859275</v>
      </c>
    </row>
    <row r="34" spans="1:16">
      <c r="A34" s="1">
        <v>30</v>
      </c>
      <c r="B34" s="9">
        <v>38981</v>
      </c>
      <c r="C34" s="6"/>
      <c r="D34" s="12">
        <v>11533.23</v>
      </c>
      <c r="E34" s="6"/>
      <c r="F34" s="13">
        <v>5896.7</v>
      </c>
      <c r="G34" s="10">
        <v>1.8969</v>
      </c>
      <c r="H34" s="15">
        <f t="shared" si="0"/>
        <v>11185.45023</v>
      </c>
      <c r="I34" s="6"/>
      <c r="J34" s="13">
        <v>5208.32</v>
      </c>
      <c r="K34" s="11">
        <v>0.78610000000000002</v>
      </c>
      <c r="L34" s="15">
        <f t="shared" si="1"/>
        <v>6625.5183818852556</v>
      </c>
      <c r="M34" s="6"/>
      <c r="N34" s="13">
        <v>15834.23</v>
      </c>
      <c r="O34" s="11">
        <v>116.78</v>
      </c>
      <c r="P34" s="15">
        <f t="shared" si="2"/>
        <v>135.59025518068162</v>
      </c>
    </row>
    <row r="35" spans="1:16">
      <c r="A35" s="1">
        <v>31</v>
      </c>
      <c r="B35" s="9">
        <v>38982</v>
      </c>
      <c r="C35" s="6"/>
      <c r="D35" s="12">
        <v>11508.1</v>
      </c>
      <c r="E35" s="6"/>
      <c r="F35" s="13">
        <v>5822.3</v>
      </c>
      <c r="G35" s="10">
        <v>1.9024000000000001</v>
      </c>
      <c r="H35" s="15">
        <f t="shared" si="0"/>
        <v>11076.34352</v>
      </c>
      <c r="I35" s="6"/>
      <c r="J35" s="13">
        <v>5141.95</v>
      </c>
      <c r="K35" s="11">
        <v>0.78110000000000002</v>
      </c>
      <c r="L35" s="15">
        <f t="shared" si="1"/>
        <v>6582.9599283062344</v>
      </c>
      <c r="M35" s="6"/>
      <c r="N35" s="13">
        <v>15634.67</v>
      </c>
      <c r="O35" s="11">
        <v>116.38</v>
      </c>
      <c r="P35" s="15">
        <f t="shared" si="2"/>
        <v>134.34155353153463</v>
      </c>
    </row>
    <row r="36" spans="1:16">
      <c r="A36" s="1">
        <v>32</v>
      </c>
      <c r="B36" s="9">
        <v>38985</v>
      </c>
      <c r="C36" s="6"/>
      <c r="D36" s="12">
        <v>11575.81</v>
      </c>
      <c r="E36" s="6"/>
      <c r="F36" s="13">
        <v>5798.3</v>
      </c>
      <c r="G36" s="10">
        <v>1.8993</v>
      </c>
      <c r="H36" s="15">
        <f t="shared" si="0"/>
        <v>11012.71119</v>
      </c>
      <c r="I36" s="6"/>
      <c r="J36" s="13">
        <v>5146.49</v>
      </c>
      <c r="K36" s="11">
        <v>0.78490000000000004</v>
      </c>
      <c r="L36" s="15">
        <f t="shared" si="1"/>
        <v>6556.8734870684157</v>
      </c>
      <c r="M36" s="6"/>
      <c r="N36" s="13">
        <v>15633.81</v>
      </c>
      <c r="O36" s="11">
        <v>116.49</v>
      </c>
      <c r="P36" s="15">
        <f t="shared" si="2"/>
        <v>134.2073139325264</v>
      </c>
    </row>
    <row r="37" spans="1:16">
      <c r="A37" s="1">
        <v>33</v>
      </c>
      <c r="B37" s="9">
        <v>38986</v>
      </c>
      <c r="C37" s="6"/>
      <c r="D37" s="12">
        <v>11669.39</v>
      </c>
      <c r="E37" s="6"/>
      <c r="F37" s="13">
        <v>5873.6</v>
      </c>
      <c r="G37" s="10">
        <v>1.8951</v>
      </c>
      <c r="H37" s="15">
        <f t="shared" si="0"/>
        <v>11131.059360000001</v>
      </c>
      <c r="I37" s="6"/>
      <c r="J37" s="13">
        <v>5219.59</v>
      </c>
      <c r="K37" s="11">
        <v>0.78900000000000003</v>
      </c>
      <c r="L37" s="15">
        <f t="shared" si="1"/>
        <v>6615.4499366286436</v>
      </c>
      <c r="M37" s="6"/>
      <c r="N37" s="13">
        <v>15557.45</v>
      </c>
      <c r="O37" s="11">
        <v>117.04</v>
      </c>
      <c r="P37" s="15">
        <f t="shared" si="2"/>
        <v>132.92421394395078</v>
      </c>
    </row>
    <row r="38" spans="1:16">
      <c r="A38" s="1">
        <v>34</v>
      </c>
      <c r="B38" s="9">
        <v>38987</v>
      </c>
      <c r="C38" s="6"/>
      <c r="D38" s="12">
        <v>11689.24</v>
      </c>
      <c r="E38" s="6"/>
      <c r="F38" s="13">
        <v>5930.1</v>
      </c>
      <c r="G38" s="10">
        <v>1.8883000000000001</v>
      </c>
      <c r="H38" s="15">
        <f t="shared" si="0"/>
        <v>11197.807830000002</v>
      </c>
      <c r="I38" s="6"/>
      <c r="J38" s="13">
        <v>5243.1</v>
      </c>
      <c r="K38" s="11">
        <v>0.78680000000000005</v>
      </c>
      <c r="L38" s="15">
        <f t="shared" si="1"/>
        <v>6663.8281647178446</v>
      </c>
      <c r="M38" s="6"/>
      <c r="N38" s="13">
        <v>15947.87</v>
      </c>
      <c r="O38" s="11">
        <v>117.37</v>
      </c>
      <c r="P38" s="15">
        <f t="shared" si="2"/>
        <v>135.8768850643265</v>
      </c>
    </row>
    <row r="39" spans="1:16">
      <c r="A39" s="1">
        <v>35</v>
      </c>
      <c r="B39" s="9">
        <v>38988</v>
      </c>
      <c r="C39" s="6"/>
      <c r="D39" s="12">
        <v>11718.45</v>
      </c>
      <c r="E39" s="6"/>
      <c r="F39" s="13">
        <v>5971.3</v>
      </c>
      <c r="G39" s="10">
        <v>1.8736999999999999</v>
      </c>
      <c r="H39" s="15">
        <f t="shared" si="0"/>
        <v>11188.42481</v>
      </c>
      <c r="I39" s="6"/>
      <c r="J39" s="13">
        <v>5250.01</v>
      </c>
      <c r="K39" s="11">
        <v>0.78810000000000002</v>
      </c>
      <c r="L39" s="15">
        <f t="shared" si="1"/>
        <v>6661.6038573785054</v>
      </c>
      <c r="M39" s="6"/>
      <c r="N39" s="13">
        <v>16024.85</v>
      </c>
      <c r="O39" s="11">
        <v>117.85</v>
      </c>
      <c r="P39" s="15">
        <f t="shared" si="2"/>
        <v>135.97666525243955</v>
      </c>
    </row>
    <row r="40" spans="1:16">
      <c r="A40" s="1">
        <v>36</v>
      </c>
      <c r="B40" s="9">
        <v>38989</v>
      </c>
      <c r="C40" s="6"/>
      <c r="D40" s="12">
        <v>11679.07</v>
      </c>
      <c r="E40" s="6"/>
      <c r="F40" s="13">
        <v>5960.8</v>
      </c>
      <c r="G40" s="10">
        <v>1.8682000000000001</v>
      </c>
      <c r="H40" s="15">
        <f t="shared" si="0"/>
        <v>11135.966560000001</v>
      </c>
      <c r="I40" s="6"/>
      <c r="J40" s="13">
        <v>5250.01</v>
      </c>
      <c r="K40" s="11">
        <v>0.78949999999999998</v>
      </c>
      <c r="L40" s="15">
        <f t="shared" si="1"/>
        <v>6649.7910069664349</v>
      </c>
      <c r="M40" s="6"/>
      <c r="N40" s="13">
        <v>16127.58</v>
      </c>
      <c r="O40" s="11">
        <v>118.09</v>
      </c>
      <c r="P40" s="15">
        <f t="shared" si="2"/>
        <v>136.57024303497332</v>
      </c>
    </row>
    <row r="41" spans="1:16">
      <c r="A41" s="1">
        <v>37</v>
      </c>
      <c r="B41" s="9">
        <v>38992</v>
      </c>
      <c r="C41" s="6"/>
      <c r="D41" s="12">
        <v>11670.35</v>
      </c>
      <c r="E41" s="6"/>
      <c r="F41" s="13">
        <v>5957.8</v>
      </c>
      <c r="G41" s="10">
        <v>1.885</v>
      </c>
      <c r="H41" s="15">
        <f t="shared" si="0"/>
        <v>11230.453</v>
      </c>
      <c r="I41" s="6"/>
      <c r="J41" s="13">
        <v>5243.13</v>
      </c>
      <c r="K41" s="11">
        <v>0.78469999999999995</v>
      </c>
      <c r="L41" s="15">
        <f t="shared" si="1"/>
        <v>6681.7000127437241</v>
      </c>
      <c r="M41" s="6"/>
      <c r="N41" s="13">
        <v>16254.29</v>
      </c>
      <c r="O41" s="11">
        <v>117.73</v>
      </c>
      <c r="P41" s="15">
        <f t="shared" si="2"/>
        <v>138.06412978849912</v>
      </c>
    </row>
    <row r="42" spans="1:16">
      <c r="A42" s="1">
        <v>38</v>
      </c>
      <c r="B42" s="9">
        <v>38993</v>
      </c>
      <c r="C42" s="6"/>
      <c r="D42" s="12">
        <v>11727.34</v>
      </c>
      <c r="E42" s="6"/>
      <c r="F42" s="13">
        <v>5937.1</v>
      </c>
      <c r="G42" s="10">
        <v>1.8891</v>
      </c>
      <c r="H42" s="15">
        <f t="shared" si="0"/>
        <v>11215.775610000001</v>
      </c>
      <c r="I42" s="6"/>
      <c r="J42" s="13">
        <v>5219.79</v>
      </c>
      <c r="K42" s="11">
        <v>0.78490000000000004</v>
      </c>
      <c r="L42" s="15">
        <f t="shared" si="1"/>
        <v>6650.2611797681229</v>
      </c>
      <c r="M42" s="6"/>
      <c r="N42" s="13">
        <v>16242.09</v>
      </c>
      <c r="O42" s="11">
        <v>117.89</v>
      </c>
      <c r="P42" s="15">
        <f t="shared" si="2"/>
        <v>137.77326321146833</v>
      </c>
    </row>
    <row r="43" spans="1:16">
      <c r="A43" s="1">
        <v>39</v>
      </c>
      <c r="B43" s="9">
        <v>38994</v>
      </c>
      <c r="C43" s="6"/>
      <c r="D43" s="12">
        <v>11850.61</v>
      </c>
      <c r="E43" s="6"/>
      <c r="F43" s="13">
        <v>5966.5</v>
      </c>
      <c r="G43" s="10">
        <v>1.8841000000000001</v>
      </c>
      <c r="H43" s="15">
        <f t="shared" si="0"/>
        <v>11241.48265</v>
      </c>
      <c r="I43" s="6"/>
      <c r="J43" s="13">
        <v>5256.55</v>
      </c>
      <c r="K43" s="11">
        <v>0.78810000000000002</v>
      </c>
      <c r="L43" s="15">
        <f t="shared" si="1"/>
        <v>6669.90229666286</v>
      </c>
      <c r="M43" s="6"/>
      <c r="N43" s="13">
        <v>16082.55</v>
      </c>
      <c r="O43" s="11">
        <v>117.98</v>
      </c>
      <c r="P43" s="15">
        <f t="shared" si="2"/>
        <v>136.3159010001695</v>
      </c>
    </row>
    <row r="44" spans="1:16">
      <c r="A44" s="1">
        <v>40</v>
      </c>
      <c r="B44" s="9">
        <v>38995</v>
      </c>
      <c r="C44" s="6"/>
      <c r="D44" s="12">
        <v>11866.69</v>
      </c>
      <c r="E44" s="6"/>
      <c r="F44" s="13">
        <v>6004.5</v>
      </c>
      <c r="G44" s="10">
        <v>1.8769</v>
      </c>
      <c r="H44" s="15">
        <f t="shared" si="0"/>
        <v>11269.84605</v>
      </c>
      <c r="I44" s="6"/>
      <c r="J44" s="13">
        <v>5288.53</v>
      </c>
      <c r="K44" s="11">
        <v>0.78810000000000002</v>
      </c>
      <c r="L44" s="15">
        <f t="shared" si="1"/>
        <v>6710.480903438649</v>
      </c>
      <c r="M44" s="6"/>
      <c r="N44" s="13">
        <v>16449.330000000002</v>
      </c>
      <c r="O44" s="11">
        <v>117.69</v>
      </c>
      <c r="P44" s="15">
        <f t="shared" si="2"/>
        <v>139.76828957430538</v>
      </c>
    </row>
    <row r="45" spans="1:16">
      <c r="A45" s="1">
        <v>41</v>
      </c>
      <c r="B45" s="9">
        <v>38996</v>
      </c>
      <c r="C45" s="6"/>
      <c r="D45" s="12">
        <v>11850.21</v>
      </c>
      <c r="E45" s="6"/>
      <c r="F45" s="13">
        <v>6001.2</v>
      </c>
      <c r="G45" s="10">
        <v>1.8696999999999999</v>
      </c>
      <c r="H45" s="15">
        <f t="shared" si="0"/>
        <v>11220.44364</v>
      </c>
      <c r="I45" s="6"/>
      <c r="J45" s="13">
        <v>5282.06</v>
      </c>
      <c r="K45" s="11">
        <v>0.79449999999999998</v>
      </c>
      <c r="L45" s="15">
        <f t="shared" si="1"/>
        <v>6648.2819383259921</v>
      </c>
      <c r="M45" s="6"/>
      <c r="N45" s="13">
        <v>16436.060000000001</v>
      </c>
      <c r="O45" s="11">
        <v>118.99</v>
      </c>
      <c r="P45" s="15">
        <f t="shared" si="2"/>
        <v>138.12975880326078</v>
      </c>
    </row>
    <row r="46" spans="1:16">
      <c r="A46" s="1">
        <v>42</v>
      </c>
      <c r="B46" s="9">
        <v>39000</v>
      </c>
      <c r="C46" s="6"/>
      <c r="D46" s="12">
        <v>11867.17</v>
      </c>
      <c r="E46" s="6"/>
      <c r="F46" s="13">
        <v>6072.7</v>
      </c>
      <c r="G46" s="10">
        <v>1.8556999999999999</v>
      </c>
      <c r="H46" s="15">
        <f t="shared" si="0"/>
        <v>11269.10939</v>
      </c>
      <c r="I46" s="6"/>
      <c r="J46" s="13">
        <v>5309.79</v>
      </c>
      <c r="K46" s="11">
        <v>0.79749999999999999</v>
      </c>
      <c r="L46" s="15">
        <f t="shared" si="1"/>
        <v>6658.0438871473352</v>
      </c>
      <c r="M46" s="6"/>
      <c r="N46" s="13">
        <v>16477.25</v>
      </c>
      <c r="O46" s="11">
        <v>119.65</v>
      </c>
      <c r="P46" s="15">
        <f t="shared" si="2"/>
        <v>137.71207689093188</v>
      </c>
    </row>
    <row r="47" spans="1:16">
      <c r="A47" s="1">
        <v>43</v>
      </c>
      <c r="B47" s="9">
        <v>39001</v>
      </c>
      <c r="C47" s="6"/>
      <c r="D47" s="12">
        <v>11852.13</v>
      </c>
      <c r="E47" s="6"/>
      <c r="F47" s="13">
        <v>6073.5</v>
      </c>
      <c r="G47" s="10">
        <v>1.8565</v>
      </c>
      <c r="H47" s="15">
        <f t="shared" si="0"/>
        <v>11275.45275</v>
      </c>
      <c r="I47" s="6"/>
      <c r="J47" s="13">
        <v>5313.19</v>
      </c>
      <c r="K47" s="11">
        <v>0.79690000000000005</v>
      </c>
      <c r="L47" s="15">
        <f t="shared" si="1"/>
        <v>6667.3233780900982</v>
      </c>
      <c r="M47" s="6"/>
      <c r="N47" s="13">
        <v>16400.57</v>
      </c>
      <c r="O47" s="11">
        <v>119.59</v>
      </c>
      <c r="P47" s="15">
        <f t="shared" si="2"/>
        <v>137.13997825905176</v>
      </c>
    </row>
    <row r="48" spans="1:16">
      <c r="A48" s="1">
        <v>44</v>
      </c>
      <c r="B48" s="9">
        <v>39002</v>
      </c>
      <c r="C48" s="6"/>
      <c r="D48" s="12">
        <v>11947.7</v>
      </c>
      <c r="E48" s="6"/>
      <c r="F48" s="13">
        <v>6121.3</v>
      </c>
      <c r="G48" s="10">
        <v>1.8566</v>
      </c>
      <c r="H48" s="15">
        <f t="shared" si="0"/>
        <v>11364.80558</v>
      </c>
      <c r="I48" s="6"/>
      <c r="J48" s="13">
        <v>5361.51</v>
      </c>
      <c r="K48" s="11">
        <v>0.79759999999999998</v>
      </c>
      <c r="L48" s="15">
        <f t="shared" si="1"/>
        <v>6722.0536609829496</v>
      </c>
      <c r="M48" s="6"/>
      <c r="N48" s="13">
        <v>16368.81</v>
      </c>
      <c r="O48" s="11">
        <v>119.51</v>
      </c>
      <c r="P48" s="15">
        <f t="shared" si="2"/>
        <v>136.96602794745209</v>
      </c>
    </row>
    <row r="49" spans="1:16">
      <c r="A49" s="1">
        <v>45</v>
      </c>
      <c r="B49" s="9">
        <v>39003</v>
      </c>
      <c r="C49" s="6"/>
      <c r="D49" s="12">
        <v>11960.51</v>
      </c>
      <c r="E49" s="6"/>
      <c r="F49" s="13">
        <v>6157.3</v>
      </c>
      <c r="G49" s="10">
        <v>1.8554999999999999</v>
      </c>
      <c r="H49" s="15">
        <f t="shared" si="0"/>
        <v>11424.870150000001</v>
      </c>
      <c r="I49" s="6"/>
      <c r="J49" s="13">
        <v>5353.23</v>
      </c>
      <c r="K49" s="11">
        <v>0.8004</v>
      </c>
      <c r="L49" s="15">
        <f t="shared" si="1"/>
        <v>6688.1934032983499</v>
      </c>
      <c r="M49" s="6"/>
      <c r="N49" s="13">
        <v>16536.54</v>
      </c>
      <c r="O49" s="11">
        <v>119.87</v>
      </c>
      <c r="P49" s="15">
        <f t="shared" si="2"/>
        <v>137.95395011262201</v>
      </c>
    </row>
    <row r="50" spans="1:16">
      <c r="A50" s="1">
        <v>46</v>
      </c>
      <c r="B50" s="9">
        <v>39006</v>
      </c>
      <c r="C50" s="6"/>
      <c r="D50" s="12">
        <v>11980.59</v>
      </c>
      <c r="E50" s="6"/>
      <c r="F50" s="13">
        <v>6172.4</v>
      </c>
      <c r="G50" s="10">
        <v>1.8602000000000001</v>
      </c>
      <c r="H50" s="15">
        <f t="shared" si="0"/>
        <v>11481.89848</v>
      </c>
      <c r="I50" s="6"/>
      <c r="J50" s="13">
        <v>5361.97</v>
      </c>
      <c r="K50" s="11">
        <v>0.79900000000000004</v>
      </c>
      <c r="L50" s="15">
        <f t="shared" si="1"/>
        <v>6710.8510638297876</v>
      </c>
      <c r="M50" s="6"/>
      <c r="N50" s="13">
        <v>16692.759999999998</v>
      </c>
      <c r="O50" s="11">
        <v>119.25</v>
      </c>
      <c r="P50" s="15">
        <f t="shared" si="2"/>
        <v>139.98121593291404</v>
      </c>
    </row>
    <row r="51" spans="1:16">
      <c r="A51" s="1">
        <v>47</v>
      </c>
      <c r="B51" s="9">
        <v>39007</v>
      </c>
      <c r="C51" s="6"/>
      <c r="D51" s="12">
        <v>11950.02</v>
      </c>
      <c r="E51" s="6"/>
      <c r="F51" s="13">
        <v>6108.6</v>
      </c>
      <c r="G51" s="10">
        <v>1.8693</v>
      </c>
      <c r="H51" s="15">
        <f t="shared" si="0"/>
        <v>11418.805980000001</v>
      </c>
      <c r="I51" s="6"/>
      <c r="J51" s="13">
        <v>5302.99</v>
      </c>
      <c r="K51" s="11">
        <v>0.79749999999999999</v>
      </c>
      <c r="L51" s="15">
        <f t="shared" si="1"/>
        <v>6649.5172413793098</v>
      </c>
      <c r="M51" s="6"/>
      <c r="N51" s="13">
        <v>16611.59</v>
      </c>
      <c r="O51" s="11">
        <v>118.7</v>
      </c>
      <c r="P51" s="15">
        <f t="shared" si="2"/>
        <v>139.94599831508003</v>
      </c>
    </row>
    <row r="52" spans="1:16">
      <c r="A52" s="1">
        <v>48</v>
      </c>
      <c r="B52" s="9">
        <v>39008</v>
      </c>
      <c r="C52" s="6"/>
      <c r="D52" s="12">
        <v>11992.68</v>
      </c>
      <c r="E52" s="6"/>
      <c r="F52" s="13">
        <v>6150.4</v>
      </c>
      <c r="G52" s="10">
        <v>1.867</v>
      </c>
      <c r="H52" s="15">
        <f t="shared" si="0"/>
        <v>11482.7968</v>
      </c>
      <c r="I52" s="6"/>
      <c r="J52" s="13">
        <v>5361.29</v>
      </c>
      <c r="K52" s="11">
        <v>0.79910000000000003</v>
      </c>
      <c r="L52" s="15">
        <f t="shared" si="1"/>
        <v>6709.160305343511</v>
      </c>
      <c r="M52" s="6"/>
      <c r="N52" s="13">
        <v>16653</v>
      </c>
      <c r="O52" s="11">
        <v>119.08</v>
      </c>
      <c r="P52" s="15">
        <f t="shared" si="2"/>
        <v>139.84716157205241</v>
      </c>
    </row>
    <row r="53" spans="1:16">
      <c r="A53" s="1">
        <v>49</v>
      </c>
      <c r="B53" s="9">
        <v>39009</v>
      </c>
      <c r="C53" s="6"/>
      <c r="D53" s="12">
        <v>12011.73</v>
      </c>
      <c r="E53" s="6"/>
      <c r="F53" s="13">
        <v>6156</v>
      </c>
      <c r="G53" s="10">
        <v>1.8757999999999999</v>
      </c>
      <c r="H53" s="15">
        <f t="shared" si="0"/>
        <v>11547.424799999999</v>
      </c>
      <c r="I53" s="6"/>
      <c r="J53" s="13">
        <v>5359.74</v>
      </c>
      <c r="K53" s="11">
        <v>0.79379999999999995</v>
      </c>
      <c r="L53" s="15">
        <f t="shared" si="1"/>
        <v>6752.0030234315946</v>
      </c>
      <c r="M53" s="6"/>
      <c r="N53" s="13">
        <v>16551.36</v>
      </c>
      <c r="O53" s="11">
        <v>118.31</v>
      </c>
      <c r="P53" s="15">
        <f t="shared" si="2"/>
        <v>139.89823345448397</v>
      </c>
    </row>
    <row r="54" spans="1:16">
      <c r="A54" s="1">
        <v>50</v>
      </c>
      <c r="B54" s="9">
        <v>39010</v>
      </c>
      <c r="C54" s="6"/>
      <c r="D54" s="12">
        <v>12002.37</v>
      </c>
      <c r="E54" s="6"/>
      <c r="F54" s="13">
        <v>6155.2</v>
      </c>
      <c r="G54" s="10">
        <v>1.8805000000000001</v>
      </c>
      <c r="H54" s="15">
        <f t="shared" si="0"/>
        <v>11574.8536</v>
      </c>
      <c r="I54" s="6"/>
      <c r="J54" s="13">
        <v>5375.35</v>
      </c>
      <c r="K54" s="11">
        <v>0.79349999999999998</v>
      </c>
      <c r="L54" s="15">
        <f t="shared" si="1"/>
        <v>6774.2281033396348</v>
      </c>
      <c r="M54" s="6"/>
      <c r="N54" s="13">
        <v>16651.63</v>
      </c>
      <c r="O54" s="11">
        <v>118.77</v>
      </c>
      <c r="P54" s="15">
        <f t="shared" si="2"/>
        <v>140.20063989222868</v>
      </c>
    </row>
    <row r="55" spans="1:16">
      <c r="A55" s="1">
        <v>51</v>
      </c>
      <c r="B55" s="9">
        <v>39013</v>
      </c>
      <c r="C55" s="6"/>
      <c r="D55" s="12">
        <v>12116.91</v>
      </c>
      <c r="E55" s="6"/>
      <c r="F55" s="13">
        <v>6166.1</v>
      </c>
      <c r="G55" s="10">
        <v>1.8720000000000001</v>
      </c>
      <c r="H55" s="15">
        <f t="shared" si="0"/>
        <v>11542.939200000001</v>
      </c>
      <c r="I55" s="6"/>
      <c r="J55" s="13">
        <v>5411.81</v>
      </c>
      <c r="K55" s="11">
        <v>0.79669999999999996</v>
      </c>
      <c r="L55" s="15">
        <f t="shared" si="1"/>
        <v>6792.7827287561195</v>
      </c>
      <c r="M55" s="6"/>
      <c r="N55" s="13">
        <v>16788.82</v>
      </c>
      <c r="O55" s="11">
        <v>119.31</v>
      </c>
      <c r="P55" s="15">
        <f t="shared" si="2"/>
        <v>140.71595004609838</v>
      </c>
    </row>
    <row r="56" spans="1:16">
      <c r="A56" s="1">
        <v>52</v>
      </c>
      <c r="B56" s="9">
        <v>39014</v>
      </c>
      <c r="C56" s="6"/>
      <c r="D56" s="12">
        <v>12127.88</v>
      </c>
      <c r="E56" s="6"/>
      <c r="F56" s="13">
        <v>6182.5</v>
      </c>
      <c r="G56" s="10">
        <v>1.8715999999999999</v>
      </c>
      <c r="H56" s="15">
        <f t="shared" si="0"/>
        <v>11571.166999999999</v>
      </c>
      <c r="I56" s="6"/>
      <c r="J56" s="13">
        <v>5404.54</v>
      </c>
      <c r="K56" s="11">
        <v>0.79710000000000003</v>
      </c>
      <c r="L56" s="15">
        <f t="shared" si="1"/>
        <v>6780.2534186425792</v>
      </c>
      <c r="M56" s="6"/>
      <c r="N56" s="13">
        <v>16780.47</v>
      </c>
      <c r="O56" s="11">
        <v>119.47</v>
      </c>
      <c r="P56" s="15">
        <f t="shared" si="2"/>
        <v>140.45760441951955</v>
      </c>
    </row>
    <row r="57" spans="1:16">
      <c r="A57" s="1">
        <v>53</v>
      </c>
      <c r="B57" s="9">
        <v>39015</v>
      </c>
      <c r="C57" s="6"/>
      <c r="D57" s="12">
        <v>12134.68</v>
      </c>
      <c r="E57" s="6"/>
      <c r="F57" s="13">
        <v>6214.6</v>
      </c>
      <c r="G57" s="10">
        <v>1.8769</v>
      </c>
      <c r="H57" s="15">
        <f t="shared" si="0"/>
        <v>11664.18274</v>
      </c>
      <c r="I57" s="6"/>
      <c r="J57" s="13">
        <v>5422.28</v>
      </c>
      <c r="K57" s="11">
        <v>0.7944</v>
      </c>
      <c r="L57" s="15">
        <f t="shared" si="1"/>
        <v>6825.6294058408857</v>
      </c>
      <c r="M57" s="6"/>
      <c r="N57" s="13">
        <v>16699.3</v>
      </c>
      <c r="O57" s="11">
        <v>119.13</v>
      </c>
      <c r="P57" s="15">
        <f t="shared" si="2"/>
        <v>140.17711743473515</v>
      </c>
    </row>
    <row r="58" spans="1:16">
      <c r="A58" s="1">
        <v>54</v>
      </c>
      <c r="B58" s="9">
        <v>39016</v>
      </c>
      <c r="C58" s="6"/>
      <c r="D58" s="12">
        <v>12163.66</v>
      </c>
      <c r="E58" s="6"/>
      <c r="F58" s="13">
        <v>6184.8</v>
      </c>
      <c r="G58" s="10">
        <v>1.8873</v>
      </c>
      <c r="H58" s="15">
        <f t="shared" si="0"/>
        <v>11672.573039999999</v>
      </c>
      <c r="I58" s="6"/>
      <c r="J58" s="13">
        <v>5433.79</v>
      </c>
      <c r="K58" s="11">
        <v>0.7893</v>
      </c>
      <c r="L58" s="15">
        <f t="shared" si="1"/>
        <v>6884.3152160141899</v>
      </c>
      <c r="M58" s="6"/>
      <c r="N58" s="13">
        <v>16811.599999999999</v>
      </c>
      <c r="O58" s="11">
        <v>118.6</v>
      </c>
      <c r="P58" s="15">
        <f t="shared" si="2"/>
        <v>141.75042158516018</v>
      </c>
    </row>
    <row r="59" spans="1:16">
      <c r="A59" s="1">
        <v>55</v>
      </c>
      <c r="B59" s="9">
        <v>39017</v>
      </c>
      <c r="C59" s="6"/>
      <c r="D59" s="12">
        <v>12090.26</v>
      </c>
      <c r="E59" s="6"/>
      <c r="F59" s="13">
        <v>6160.9</v>
      </c>
      <c r="G59" s="10">
        <v>1.8967000000000001</v>
      </c>
      <c r="H59" s="15">
        <f t="shared" si="0"/>
        <v>11685.37903</v>
      </c>
      <c r="I59" s="6"/>
      <c r="J59" s="13">
        <v>5396.03</v>
      </c>
      <c r="K59" s="11">
        <v>0.78600000000000003</v>
      </c>
      <c r="L59" s="15">
        <f t="shared" si="1"/>
        <v>6865.1781170483455</v>
      </c>
      <c r="M59" s="6"/>
      <c r="N59" s="13">
        <v>16669.07</v>
      </c>
      <c r="O59" s="11">
        <v>117.61</v>
      </c>
      <c r="P59" s="15">
        <f t="shared" si="2"/>
        <v>141.73174049825695</v>
      </c>
    </row>
    <row r="60" spans="1:16">
      <c r="A60" s="1">
        <v>56</v>
      </c>
      <c r="B60" s="9">
        <v>39020</v>
      </c>
      <c r="C60" s="6"/>
      <c r="D60" s="12">
        <v>12086.49</v>
      </c>
      <c r="E60" s="6"/>
      <c r="F60" s="13">
        <v>6126.8</v>
      </c>
      <c r="G60" s="10">
        <v>1.9025000000000001</v>
      </c>
      <c r="H60" s="15">
        <f t="shared" si="0"/>
        <v>11656.237000000001</v>
      </c>
      <c r="I60" s="6"/>
      <c r="J60" s="13">
        <v>5362.23</v>
      </c>
      <c r="K60" s="11">
        <v>0.7863</v>
      </c>
      <c r="L60" s="15">
        <f t="shared" si="1"/>
        <v>6819.5726821823728</v>
      </c>
      <c r="M60" s="6"/>
      <c r="N60" s="13">
        <v>16351.85</v>
      </c>
      <c r="O60" s="11">
        <v>117.48</v>
      </c>
      <c r="P60" s="15">
        <f t="shared" si="2"/>
        <v>139.18837248893428</v>
      </c>
    </row>
    <row r="61" spans="1:16">
      <c r="A61" s="1">
        <v>57</v>
      </c>
      <c r="B61" s="9">
        <v>39021</v>
      </c>
      <c r="C61" s="6"/>
      <c r="D61" s="12">
        <v>12080.73</v>
      </c>
      <c r="E61" s="6"/>
      <c r="F61" s="13">
        <v>6129.2</v>
      </c>
      <c r="G61" s="10">
        <v>1.9073</v>
      </c>
      <c r="H61" s="15">
        <f t="shared" si="0"/>
        <v>11690.22316</v>
      </c>
      <c r="I61" s="6"/>
      <c r="J61" s="13">
        <v>5348.73</v>
      </c>
      <c r="K61" s="11">
        <v>0.78349999999999997</v>
      </c>
      <c r="L61" s="15">
        <f t="shared" si="1"/>
        <v>6826.7134652201657</v>
      </c>
      <c r="M61" s="6"/>
      <c r="N61" s="13">
        <v>16399.39</v>
      </c>
      <c r="O61" s="11">
        <v>117.15</v>
      </c>
      <c r="P61" s="15">
        <f t="shared" si="2"/>
        <v>139.98625693555269</v>
      </c>
    </row>
    <row r="62" spans="1:16">
      <c r="A62" s="1">
        <v>58</v>
      </c>
      <c r="B62" s="9">
        <v>39022</v>
      </c>
      <c r="C62" s="6"/>
      <c r="D62" s="12">
        <v>12031.02</v>
      </c>
      <c r="E62" s="6"/>
      <c r="F62" s="13">
        <v>6149.6</v>
      </c>
      <c r="G62" s="10">
        <v>1.907</v>
      </c>
      <c r="H62" s="15">
        <f t="shared" si="0"/>
        <v>11727.287200000001</v>
      </c>
      <c r="I62" s="6"/>
      <c r="J62" s="13">
        <v>5370.86</v>
      </c>
      <c r="K62" s="11">
        <v>0.78280000000000005</v>
      </c>
      <c r="L62" s="15">
        <f t="shared" si="1"/>
        <v>6861.0884006131828</v>
      </c>
      <c r="M62" s="6"/>
      <c r="N62" s="13">
        <v>16375.26</v>
      </c>
      <c r="O62" s="11">
        <v>116.97</v>
      </c>
      <c r="P62" s="15">
        <f t="shared" si="2"/>
        <v>139.99538343164915</v>
      </c>
    </row>
    <row r="63" spans="1:16">
      <c r="A63" s="1">
        <v>59</v>
      </c>
      <c r="B63" s="9">
        <v>39023</v>
      </c>
      <c r="C63" s="6"/>
      <c r="D63" s="12">
        <v>12018.54</v>
      </c>
      <c r="E63" s="6"/>
      <c r="F63" s="13">
        <v>6149.3</v>
      </c>
      <c r="G63" s="10">
        <v>1.9072</v>
      </c>
      <c r="H63" s="15">
        <f t="shared" si="0"/>
        <v>11727.944960000001</v>
      </c>
      <c r="I63" s="6"/>
      <c r="J63" s="13">
        <v>5310.07</v>
      </c>
      <c r="K63" s="11">
        <v>0.78320000000000001</v>
      </c>
      <c r="L63" s="15">
        <f t="shared" si="1"/>
        <v>6779.9668028600609</v>
      </c>
      <c r="M63" s="6"/>
      <c r="N63" s="13">
        <v>16350.02</v>
      </c>
      <c r="O63" s="11">
        <v>117.11</v>
      </c>
      <c r="P63" s="15">
        <f t="shared" si="2"/>
        <v>139.61250106737256</v>
      </c>
    </row>
    <row r="64" spans="1:16">
      <c r="A64" s="1">
        <v>60</v>
      </c>
      <c r="B64" s="9">
        <v>39027</v>
      </c>
      <c r="C64" s="6"/>
      <c r="D64" s="12">
        <v>12105.55</v>
      </c>
      <c r="E64" s="6"/>
      <c r="F64" s="13">
        <v>6224.5</v>
      </c>
      <c r="G64" s="10">
        <v>1.8965000000000001</v>
      </c>
      <c r="H64" s="15">
        <f t="shared" si="0"/>
        <v>11804.76425</v>
      </c>
      <c r="I64" s="6"/>
      <c r="J64" s="13">
        <v>5402.36</v>
      </c>
      <c r="K64" s="11">
        <v>0.78659999999999997</v>
      </c>
      <c r="L64" s="15">
        <f t="shared" si="1"/>
        <v>6867.9888126112382</v>
      </c>
      <c r="M64" s="6"/>
      <c r="N64" s="13">
        <v>16364.76</v>
      </c>
      <c r="O64" s="11">
        <v>118.36</v>
      </c>
      <c r="P64" s="15">
        <f t="shared" si="2"/>
        <v>138.26258871240285</v>
      </c>
    </row>
    <row r="65" spans="1:16">
      <c r="A65" s="1">
        <v>61</v>
      </c>
      <c r="B65" s="9">
        <v>39028</v>
      </c>
      <c r="C65" s="6"/>
      <c r="D65" s="12">
        <v>12156.77</v>
      </c>
      <c r="E65" s="6"/>
      <c r="F65" s="13">
        <v>6244</v>
      </c>
      <c r="G65" s="10">
        <v>1.909</v>
      </c>
      <c r="H65" s="15">
        <f t="shared" si="0"/>
        <v>11919.796</v>
      </c>
      <c r="I65" s="6"/>
      <c r="J65" s="13">
        <v>5437.78</v>
      </c>
      <c r="K65" s="11">
        <v>0.78120000000000001</v>
      </c>
      <c r="L65" s="15">
        <f t="shared" si="1"/>
        <v>6960.8038914490526</v>
      </c>
      <c r="M65" s="6"/>
      <c r="N65" s="13">
        <v>16393.41</v>
      </c>
      <c r="O65" s="11">
        <v>117.45</v>
      </c>
      <c r="P65" s="15">
        <f t="shared" si="2"/>
        <v>139.57777777777778</v>
      </c>
    </row>
    <row r="66" spans="1:16">
      <c r="A66" s="1">
        <v>62</v>
      </c>
      <c r="B66" s="9">
        <v>39029</v>
      </c>
      <c r="C66" s="6"/>
      <c r="D66" s="12">
        <v>12176.54</v>
      </c>
      <c r="E66" s="6"/>
      <c r="F66" s="13">
        <v>6239</v>
      </c>
      <c r="G66" s="10">
        <v>1.9033</v>
      </c>
      <c r="H66" s="15">
        <f t="shared" si="0"/>
        <v>11874.688700000001</v>
      </c>
      <c r="I66" s="6"/>
      <c r="J66" s="13">
        <v>5437.16</v>
      </c>
      <c r="K66" s="11">
        <v>0.78390000000000004</v>
      </c>
      <c r="L66" s="15">
        <f t="shared" si="1"/>
        <v>6936.0377599183566</v>
      </c>
      <c r="M66" s="6"/>
      <c r="N66" s="13">
        <v>16215.74</v>
      </c>
      <c r="O66" s="11">
        <v>117.92</v>
      </c>
      <c r="P66" s="15">
        <f t="shared" si="2"/>
        <v>137.51475576662145</v>
      </c>
    </row>
    <row r="67" spans="1:16">
      <c r="A67" s="1">
        <v>63</v>
      </c>
      <c r="B67" s="9">
        <v>39030</v>
      </c>
      <c r="C67" s="6"/>
      <c r="D67" s="12">
        <v>12103.3</v>
      </c>
      <c r="E67" s="6"/>
      <c r="F67" s="13">
        <v>6231.5</v>
      </c>
      <c r="G67" s="10">
        <v>1.8988</v>
      </c>
      <c r="H67" s="15">
        <f t="shared" si="0"/>
        <v>11832.3722</v>
      </c>
      <c r="I67" s="6"/>
      <c r="J67" s="13">
        <v>5448.6</v>
      </c>
      <c r="K67" s="11">
        <v>0.78159999999999996</v>
      </c>
      <c r="L67" s="15">
        <f t="shared" si="1"/>
        <v>6971.0849539406354</v>
      </c>
      <c r="M67" s="6"/>
      <c r="N67" s="13">
        <v>16198.57</v>
      </c>
      <c r="O67" s="11">
        <v>118.29</v>
      </c>
      <c r="P67" s="15">
        <f t="shared" si="2"/>
        <v>136.93947079212106</v>
      </c>
    </row>
    <row r="68" spans="1:16">
      <c r="A68" s="1">
        <v>64</v>
      </c>
      <c r="B68" s="9">
        <v>39031</v>
      </c>
      <c r="C68" s="6"/>
      <c r="D68" s="12">
        <v>12108.43</v>
      </c>
      <c r="E68" s="6"/>
      <c r="F68" s="13">
        <v>6208.4</v>
      </c>
      <c r="G68" s="10">
        <v>1.9119999999999999</v>
      </c>
      <c r="H68" s="15">
        <f t="shared" si="0"/>
        <v>11870.460799999999</v>
      </c>
      <c r="I68" s="6"/>
      <c r="J68" s="13">
        <v>5447.5</v>
      </c>
      <c r="K68" s="11">
        <v>0.77769999999999995</v>
      </c>
      <c r="L68" s="15">
        <f t="shared" si="1"/>
        <v>7004.6290343320052</v>
      </c>
      <c r="M68" s="6"/>
      <c r="N68" s="13">
        <v>16112.43</v>
      </c>
      <c r="O68" s="11">
        <v>117.47</v>
      </c>
      <c r="P68" s="15">
        <f t="shared" si="2"/>
        <v>137.16208393632417</v>
      </c>
    </row>
    <row r="69" spans="1:16">
      <c r="A69" s="1">
        <v>65</v>
      </c>
      <c r="B69" s="9">
        <v>39034</v>
      </c>
      <c r="C69" s="6"/>
      <c r="D69" s="12">
        <v>12131.88</v>
      </c>
      <c r="E69" s="6"/>
      <c r="F69" s="13">
        <v>6194.2</v>
      </c>
      <c r="G69" s="10">
        <v>1.9032</v>
      </c>
      <c r="H69" s="15">
        <f t="shared" ref="H69:H132" si="3">F69*G69</f>
        <v>11788.801439999999</v>
      </c>
      <c r="I69" s="6"/>
      <c r="J69" s="13">
        <v>5490.56</v>
      </c>
      <c r="K69" s="11">
        <v>0.78039999999999998</v>
      </c>
      <c r="L69" s="15">
        <f t="shared" ref="L69:L132" si="4">J69/K69</f>
        <v>7035.5715017939528</v>
      </c>
      <c r="M69" s="6"/>
      <c r="N69" s="13">
        <v>16022.49</v>
      </c>
      <c r="O69" s="11">
        <v>118.11</v>
      </c>
      <c r="P69" s="15">
        <f t="shared" ref="P69:P132" si="5">N69/O69</f>
        <v>135.65735331470663</v>
      </c>
    </row>
    <row r="70" spans="1:16">
      <c r="A70" s="1">
        <v>66</v>
      </c>
      <c r="B70" s="9">
        <v>39035</v>
      </c>
      <c r="C70" s="6"/>
      <c r="D70" s="12">
        <v>12218.01</v>
      </c>
      <c r="E70" s="6"/>
      <c r="F70" s="13">
        <v>6186.6</v>
      </c>
      <c r="G70" s="10">
        <v>1.8935999999999999</v>
      </c>
      <c r="H70" s="15">
        <f t="shared" si="3"/>
        <v>11714.945760000001</v>
      </c>
      <c r="I70" s="6"/>
      <c r="J70" s="13">
        <v>5476.28</v>
      </c>
      <c r="K70" s="11">
        <v>0.78069999999999995</v>
      </c>
      <c r="L70" s="15">
        <f t="shared" si="4"/>
        <v>7014.5766619700271</v>
      </c>
      <c r="M70" s="6"/>
      <c r="N70" s="13">
        <v>16289.55</v>
      </c>
      <c r="O70" s="11">
        <v>117.73</v>
      </c>
      <c r="P70" s="15">
        <f t="shared" si="5"/>
        <v>138.36362864180751</v>
      </c>
    </row>
    <row r="71" spans="1:16">
      <c r="A71" s="1">
        <v>67</v>
      </c>
      <c r="B71" s="9">
        <v>39036</v>
      </c>
      <c r="C71" s="6"/>
      <c r="D71" s="12">
        <v>12251.71</v>
      </c>
      <c r="E71" s="6"/>
      <c r="F71" s="13">
        <v>6229.8</v>
      </c>
      <c r="G71" s="10">
        <v>1.8875</v>
      </c>
      <c r="H71" s="15">
        <f t="shared" si="3"/>
        <v>11758.747499999999</v>
      </c>
      <c r="I71" s="6"/>
      <c r="J71" s="13">
        <v>5511.53</v>
      </c>
      <c r="K71" s="11">
        <v>0.78080000000000005</v>
      </c>
      <c r="L71" s="15">
        <f t="shared" si="4"/>
        <v>7058.8242827868844</v>
      </c>
      <c r="M71" s="6"/>
      <c r="N71" s="13">
        <v>16243.47</v>
      </c>
      <c r="O71" s="11">
        <v>118.1</v>
      </c>
      <c r="P71" s="15">
        <f t="shared" si="5"/>
        <v>137.53996613039797</v>
      </c>
    </row>
    <row r="72" spans="1:16">
      <c r="A72" s="1">
        <v>68</v>
      </c>
      <c r="B72" s="9">
        <v>39037</v>
      </c>
      <c r="C72" s="6"/>
      <c r="D72" s="12">
        <v>12305.82</v>
      </c>
      <c r="E72" s="6"/>
      <c r="F72" s="13">
        <v>6254.9</v>
      </c>
      <c r="G72" s="10">
        <v>1.8891</v>
      </c>
      <c r="H72" s="15">
        <f t="shared" si="3"/>
        <v>11816.131589999999</v>
      </c>
      <c r="I72" s="6"/>
      <c r="J72" s="13">
        <v>5505.72</v>
      </c>
      <c r="K72" s="11">
        <v>0.78080000000000005</v>
      </c>
      <c r="L72" s="15">
        <f t="shared" si="4"/>
        <v>7051.3831967213109</v>
      </c>
      <c r="M72" s="6"/>
      <c r="N72" s="13">
        <v>16163.87</v>
      </c>
      <c r="O72" s="11">
        <v>118.12</v>
      </c>
      <c r="P72" s="15">
        <f t="shared" si="5"/>
        <v>136.84278699627498</v>
      </c>
    </row>
    <row r="73" spans="1:16">
      <c r="A73" s="1">
        <v>69</v>
      </c>
      <c r="B73" s="9">
        <v>39038</v>
      </c>
      <c r="C73" s="6"/>
      <c r="D73" s="12">
        <v>12342.55</v>
      </c>
      <c r="E73" s="6"/>
      <c r="F73" s="13">
        <v>6192</v>
      </c>
      <c r="G73" s="10">
        <v>1.8945000000000001</v>
      </c>
      <c r="H73" s="15">
        <f t="shared" si="3"/>
        <v>11730.744000000001</v>
      </c>
      <c r="I73" s="6"/>
      <c r="J73" s="13">
        <v>5439.71</v>
      </c>
      <c r="K73" s="11">
        <v>0.77949999999999997</v>
      </c>
      <c r="L73" s="15">
        <f t="shared" si="4"/>
        <v>6978.4605516356642</v>
      </c>
      <c r="M73" s="6"/>
      <c r="N73" s="13">
        <v>16091.73</v>
      </c>
      <c r="O73" s="11">
        <v>117.68</v>
      </c>
      <c r="P73" s="15">
        <f t="shared" si="5"/>
        <v>136.74141740312712</v>
      </c>
    </row>
    <row r="74" spans="1:16">
      <c r="A74" s="1">
        <v>70</v>
      </c>
      <c r="B74" s="9">
        <v>39041</v>
      </c>
      <c r="C74" s="6"/>
      <c r="D74" s="12">
        <v>12316.54</v>
      </c>
      <c r="E74" s="6"/>
      <c r="F74" s="13">
        <v>6204.5</v>
      </c>
      <c r="G74" s="10">
        <v>1.8973</v>
      </c>
      <c r="H74" s="15">
        <f t="shared" si="3"/>
        <v>11771.797849999999</v>
      </c>
      <c r="I74" s="6"/>
      <c r="J74" s="13">
        <v>5454.74</v>
      </c>
      <c r="K74" s="11">
        <v>0.7802</v>
      </c>
      <c r="L74" s="15">
        <f t="shared" si="4"/>
        <v>6991.4637272494228</v>
      </c>
      <c r="M74" s="6"/>
      <c r="N74" s="13">
        <v>15725.94</v>
      </c>
      <c r="O74" s="11">
        <v>118.18</v>
      </c>
      <c r="P74" s="15">
        <f t="shared" si="5"/>
        <v>133.06769334912843</v>
      </c>
    </row>
    <row r="75" spans="1:16">
      <c r="A75" s="1">
        <v>71</v>
      </c>
      <c r="B75" s="9">
        <v>39042</v>
      </c>
      <c r="C75" s="6"/>
      <c r="D75" s="12">
        <v>12321.59</v>
      </c>
      <c r="E75" s="6"/>
      <c r="F75" s="13">
        <v>6202.6</v>
      </c>
      <c r="G75" s="10">
        <v>1.8992</v>
      </c>
      <c r="H75" s="15">
        <f t="shared" si="3"/>
        <v>11779.977920000001</v>
      </c>
      <c r="I75" s="6"/>
      <c r="J75" s="13">
        <v>5459.35</v>
      </c>
      <c r="K75" s="11">
        <v>0.77959999999999996</v>
      </c>
      <c r="L75" s="15">
        <f t="shared" si="4"/>
        <v>7002.7578245253981</v>
      </c>
      <c r="M75" s="6"/>
      <c r="N75" s="13">
        <v>15734.14</v>
      </c>
      <c r="O75" s="11">
        <v>117.9</v>
      </c>
      <c r="P75" s="15">
        <f t="shared" si="5"/>
        <v>133.45326547921965</v>
      </c>
    </row>
    <row r="76" spans="1:16">
      <c r="A76" s="1">
        <v>72</v>
      </c>
      <c r="B76" s="9">
        <v>39043</v>
      </c>
      <c r="C76" s="6"/>
      <c r="D76" s="12">
        <v>12326.95</v>
      </c>
      <c r="E76" s="6"/>
      <c r="F76" s="13">
        <v>6160.3</v>
      </c>
      <c r="G76" s="10">
        <v>1.9139999999999999</v>
      </c>
      <c r="H76" s="15">
        <f t="shared" si="3"/>
        <v>11790.814200000001</v>
      </c>
      <c r="I76" s="6"/>
      <c r="J76" s="13">
        <v>5452.49</v>
      </c>
      <c r="K76" s="11">
        <v>0.77310000000000001</v>
      </c>
      <c r="L76" s="15">
        <f t="shared" si="4"/>
        <v>7052.7616091061955</v>
      </c>
      <c r="M76" s="6"/>
      <c r="N76" s="13">
        <v>15914.23</v>
      </c>
      <c r="O76" s="11">
        <v>116.62</v>
      </c>
      <c r="P76" s="15">
        <f t="shared" si="5"/>
        <v>136.46227062253473</v>
      </c>
    </row>
    <row r="77" spans="1:16">
      <c r="A77" s="1">
        <v>73</v>
      </c>
      <c r="B77" s="9">
        <v>39045</v>
      </c>
      <c r="C77" s="6"/>
      <c r="D77" s="12">
        <v>12280.17</v>
      </c>
      <c r="E77" s="6"/>
      <c r="F77" s="13">
        <v>6122.1</v>
      </c>
      <c r="G77" s="10">
        <v>1.9319999999999999</v>
      </c>
      <c r="H77" s="15">
        <f t="shared" si="3"/>
        <v>11827.897199999999</v>
      </c>
      <c r="I77" s="6"/>
      <c r="J77" s="13">
        <v>5389.46</v>
      </c>
      <c r="K77" s="11">
        <v>0.76380000000000003</v>
      </c>
      <c r="L77" s="15">
        <f t="shared" si="4"/>
        <v>7056.1141660120447</v>
      </c>
      <c r="M77" s="6"/>
      <c r="N77" s="13">
        <v>15734.6</v>
      </c>
      <c r="O77" s="11">
        <v>115.86</v>
      </c>
      <c r="P77" s="15">
        <f t="shared" si="5"/>
        <v>135.80700845848438</v>
      </c>
    </row>
    <row r="78" spans="1:16">
      <c r="A78" s="1">
        <v>74</v>
      </c>
      <c r="B78" s="9">
        <v>39048</v>
      </c>
      <c r="C78" s="6"/>
      <c r="D78" s="12">
        <v>12121.71</v>
      </c>
      <c r="E78" s="6"/>
      <c r="F78" s="13">
        <v>6050.1</v>
      </c>
      <c r="G78" s="10">
        <v>1.9370000000000001</v>
      </c>
      <c r="H78" s="15">
        <f t="shared" si="3"/>
        <v>11719.0437</v>
      </c>
      <c r="I78" s="6"/>
      <c r="J78" s="13">
        <v>5308.65</v>
      </c>
      <c r="K78" s="11">
        <v>0.76200000000000001</v>
      </c>
      <c r="L78" s="15">
        <f t="shared" si="4"/>
        <v>6966.7322834645665</v>
      </c>
      <c r="M78" s="6"/>
      <c r="N78" s="13">
        <v>15885.38</v>
      </c>
      <c r="O78" s="11">
        <v>116.09</v>
      </c>
      <c r="P78" s="15">
        <f t="shared" si="5"/>
        <v>136.83676457920578</v>
      </c>
    </row>
    <row r="79" spans="1:16">
      <c r="A79" s="1">
        <v>75</v>
      </c>
      <c r="B79" s="9">
        <v>39049</v>
      </c>
      <c r="C79" s="6"/>
      <c r="D79" s="12">
        <v>12136.44</v>
      </c>
      <c r="E79" s="6"/>
      <c r="F79" s="13">
        <v>6025.9</v>
      </c>
      <c r="G79" s="10">
        <v>1.9474</v>
      </c>
      <c r="H79" s="15">
        <f t="shared" si="3"/>
        <v>11734.837659999999</v>
      </c>
      <c r="I79" s="6"/>
      <c r="J79" s="13">
        <v>5306.24</v>
      </c>
      <c r="K79" s="11">
        <v>0.76039999999999996</v>
      </c>
      <c r="L79" s="15">
        <f t="shared" si="4"/>
        <v>6978.2219884271435</v>
      </c>
      <c r="M79" s="6"/>
      <c r="N79" s="13">
        <v>15855.26</v>
      </c>
      <c r="O79" s="11">
        <v>116.24</v>
      </c>
      <c r="P79" s="15">
        <f t="shared" si="5"/>
        <v>136.40106675843083</v>
      </c>
    </row>
    <row r="80" spans="1:16">
      <c r="A80" s="1">
        <v>76</v>
      </c>
      <c r="B80" s="9">
        <v>39050</v>
      </c>
      <c r="C80" s="6"/>
      <c r="D80" s="12">
        <v>12226.73</v>
      </c>
      <c r="E80" s="6"/>
      <c r="F80" s="13">
        <v>6084.4</v>
      </c>
      <c r="G80" s="10">
        <v>1.9494</v>
      </c>
      <c r="H80" s="15">
        <f t="shared" si="3"/>
        <v>11860.92936</v>
      </c>
      <c r="I80" s="6"/>
      <c r="J80" s="13">
        <v>5381.25</v>
      </c>
      <c r="K80" s="11">
        <v>0.76029999999999998</v>
      </c>
      <c r="L80" s="15">
        <f t="shared" si="4"/>
        <v>7077.7982375378142</v>
      </c>
      <c r="M80" s="6"/>
      <c r="N80" s="13">
        <v>16076.2</v>
      </c>
      <c r="O80" s="11">
        <v>116.16</v>
      </c>
      <c r="P80" s="15">
        <f t="shared" si="5"/>
        <v>138.39703856749313</v>
      </c>
    </row>
    <row r="81" spans="1:16">
      <c r="A81" s="1">
        <v>77</v>
      </c>
      <c r="B81" s="9">
        <v>39051</v>
      </c>
      <c r="C81" s="6"/>
      <c r="D81" s="12">
        <v>12221.93</v>
      </c>
      <c r="E81" s="6"/>
      <c r="F81" s="13">
        <v>6048.8</v>
      </c>
      <c r="G81" s="10">
        <v>1.9670000000000001</v>
      </c>
      <c r="H81" s="15">
        <f t="shared" si="3"/>
        <v>11897.989600000001</v>
      </c>
      <c r="I81" s="6"/>
      <c r="J81" s="13">
        <v>5327.64</v>
      </c>
      <c r="K81" s="11">
        <v>0.75439999999999996</v>
      </c>
      <c r="L81" s="15">
        <f t="shared" si="4"/>
        <v>7062.0890774125137</v>
      </c>
      <c r="M81" s="6"/>
      <c r="N81" s="13">
        <v>16274.33</v>
      </c>
      <c r="O81" s="11">
        <v>115.65</v>
      </c>
      <c r="P81" s="15">
        <f t="shared" si="5"/>
        <v>140.72053610030264</v>
      </c>
    </row>
    <row r="82" spans="1:16">
      <c r="A82" s="1">
        <v>78</v>
      </c>
      <c r="B82" s="9">
        <v>39052</v>
      </c>
      <c r="C82" s="6"/>
      <c r="D82" s="12">
        <v>12194.13</v>
      </c>
      <c r="E82" s="6"/>
      <c r="F82" s="13">
        <v>6021.5</v>
      </c>
      <c r="G82" s="10">
        <v>1.9806999999999999</v>
      </c>
      <c r="H82" s="15">
        <f t="shared" si="3"/>
        <v>11926.785049999999</v>
      </c>
      <c r="I82" s="6"/>
      <c r="J82" s="13">
        <v>5254.05</v>
      </c>
      <c r="K82" s="11">
        <v>0.74990000000000001</v>
      </c>
      <c r="L82" s="15">
        <f t="shared" si="4"/>
        <v>7006.3341778903859</v>
      </c>
      <c r="M82" s="6"/>
      <c r="N82" s="13">
        <v>16321.78</v>
      </c>
      <c r="O82" s="11">
        <v>115.17</v>
      </c>
      <c r="P82" s="15">
        <f t="shared" si="5"/>
        <v>141.71902405140227</v>
      </c>
    </row>
    <row r="83" spans="1:16">
      <c r="A83" s="1">
        <v>79</v>
      </c>
      <c r="B83" s="9">
        <v>39055</v>
      </c>
      <c r="C83" s="6"/>
      <c r="D83" s="12">
        <v>12283.85</v>
      </c>
      <c r="E83" s="6"/>
      <c r="F83" s="13">
        <v>6050.4</v>
      </c>
      <c r="G83" s="10">
        <v>1.9789000000000001</v>
      </c>
      <c r="H83" s="15">
        <f t="shared" si="3"/>
        <v>11973.136559999999</v>
      </c>
      <c r="I83" s="6"/>
      <c r="J83" s="13">
        <v>5296.08</v>
      </c>
      <c r="K83" s="11">
        <v>0.75049999999999994</v>
      </c>
      <c r="L83" s="15">
        <f t="shared" si="4"/>
        <v>7056.7355096602269</v>
      </c>
      <c r="M83" s="6"/>
      <c r="N83" s="13">
        <v>16303.59</v>
      </c>
      <c r="O83" s="11">
        <v>115.43</v>
      </c>
      <c r="P83" s="15">
        <f t="shared" si="5"/>
        <v>141.24222472494151</v>
      </c>
    </row>
    <row r="84" spans="1:16">
      <c r="A84" s="1">
        <v>80</v>
      </c>
      <c r="B84" s="9">
        <v>39056</v>
      </c>
      <c r="C84" s="6"/>
      <c r="D84" s="12">
        <v>12331.6</v>
      </c>
      <c r="E84" s="6"/>
      <c r="F84" s="13">
        <v>6086.4</v>
      </c>
      <c r="G84" s="10">
        <v>1.9710000000000001</v>
      </c>
      <c r="H84" s="15">
        <f t="shared" si="3"/>
        <v>11996.294400000001</v>
      </c>
      <c r="I84" s="6"/>
      <c r="J84" s="13">
        <v>5359.69</v>
      </c>
      <c r="K84" s="11">
        <v>0.75139999999999996</v>
      </c>
      <c r="L84" s="15">
        <f t="shared" si="4"/>
        <v>7132.9385147724242</v>
      </c>
      <c r="M84" s="6"/>
      <c r="N84" s="13">
        <v>16265.76</v>
      </c>
      <c r="O84" s="11">
        <v>115.09</v>
      </c>
      <c r="P84" s="15">
        <f t="shared" si="5"/>
        <v>141.33078460335389</v>
      </c>
    </row>
    <row r="85" spans="1:16">
      <c r="A85" s="1">
        <v>81</v>
      </c>
      <c r="B85" s="9">
        <v>39057</v>
      </c>
      <c r="C85" s="6"/>
      <c r="D85" s="12">
        <v>12309.25</v>
      </c>
      <c r="E85" s="6"/>
      <c r="F85" s="13">
        <v>6090.3</v>
      </c>
      <c r="G85" s="10">
        <v>1.9702999999999999</v>
      </c>
      <c r="H85" s="15">
        <f t="shared" si="3"/>
        <v>11999.71809</v>
      </c>
      <c r="I85" s="6"/>
      <c r="J85" s="13">
        <v>5350.62</v>
      </c>
      <c r="K85" s="11">
        <v>0.75090000000000001</v>
      </c>
      <c r="L85" s="15">
        <f t="shared" si="4"/>
        <v>7125.6092688773469</v>
      </c>
      <c r="M85" s="6"/>
      <c r="N85" s="13">
        <v>16371.28</v>
      </c>
      <c r="O85" s="11">
        <v>114.9</v>
      </c>
      <c r="P85" s="15">
        <f t="shared" si="5"/>
        <v>142.4828546562228</v>
      </c>
    </row>
    <row r="86" spans="1:16">
      <c r="A86" s="1">
        <v>82</v>
      </c>
      <c r="B86" s="9">
        <v>39058</v>
      </c>
      <c r="C86" s="6"/>
      <c r="D86" s="12">
        <v>12278.41</v>
      </c>
      <c r="E86" s="6"/>
      <c r="F86" s="13">
        <v>6131.5</v>
      </c>
      <c r="G86" s="10">
        <v>1.9643999999999999</v>
      </c>
      <c r="H86" s="15">
        <f t="shared" si="3"/>
        <v>12044.7186</v>
      </c>
      <c r="I86" s="6"/>
      <c r="J86" s="13">
        <v>5379.21</v>
      </c>
      <c r="K86" s="11">
        <v>0.752</v>
      </c>
      <c r="L86" s="15">
        <f t="shared" si="4"/>
        <v>7153.2047872340427</v>
      </c>
      <c r="M86" s="6"/>
      <c r="N86" s="13">
        <v>16473.36</v>
      </c>
      <c r="O86" s="11">
        <v>115.16</v>
      </c>
      <c r="P86" s="15">
        <f t="shared" si="5"/>
        <v>143.04758596734979</v>
      </c>
    </row>
    <row r="87" spans="1:16">
      <c r="A87" s="1">
        <v>83</v>
      </c>
      <c r="B87" s="9">
        <v>39059</v>
      </c>
      <c r="C87" s="6"/>
      <c r="D87" s="12">
        <v>12307.48</v>
      </c>
      <c r="E87" s="6"/>
      <c r="F87" s="13">
        <v>6152.4</v>
      </c>
      <c r="G87" s="10">
        <v>1.9666999999999999</v>
      </c>
      <c r="H87" s="15">
        <f t="shared" si="3"/>
        <v>12099.925079999999</v>
      </c>
      <c r="I87" s="6"/>
      <c r="J87" s="13">
        <v>5384.16</v>
      </c>
      <c r="K87" s="11">
        <v>0.751</v>
      </c>
      <c r="L87" s="15">
        <f t="shared" si="4"/>
        <v>7169.3209054593872</v>
      </c>
      <c r="M87" s="6"/>
      <c r="N87" s="13">
        <v>16417.82</v>
      </c>
      <c r="O87" s="11">
        <v>115.49</v>
      </c>
      <c r="P87" s="15">
        <f t="shared" si="5"/>
        <v>142.15793575201317</v>
      </c>
    </row>
    <row r="88" spans="1:16">
      <c r="A88" s="1">
        <v>84</v>
      </c>
      <c r="B88" s="9">
        <v>39062</v>
      </c>
      <c r="C88" s="6"/>
      <c r="D88" s="12">
        <v>12328.48</v>
      </c>
      <c r="E88" s="6"/>
      <c r="F88" s="13">
        <v>6159.8</v>
      </c>
      <c r="G88" s="10">
        <v>1.9539</v>
      </c>
      <c r="H88" s="15">
        <f t="shared" si="3"/>
        <v>12035.63322</v>
      </c>
      <c r="I88" s="6"/>
      <c r="J88" s="13">
        <v>5427.56</v>
      </c>
      <c r="K88" s="11">
        <v>0.75670000000000004</v>
      </c>
      <c r="L88" s="15">
        <f t="shared" si="4"/>
        <v>7172.6708074534163</v>
      </c>
      <c r="M88" s="6"/>
      <c r="N88" s="13">
        <v>16527.990000000002</v>
      </c>
      <c r="O88" s="11">
        <v>117.06</v>
      </c>
      <c r="P88" s="15">
        <f t="shared" si="5"/>
        <v>141.19246540235778</v>
      </c>
    </row>
    <row r="89" spans="1:16">
      <c r="A89" s="1">
        <v>85</v>
      </c>
      <c r="B89" s="9">
        <v>39063</v>
      </c>
      <c r="C89" s="6"/>
      <c r="D89" s="12">
        <v>12315.58</v>
      </c>
      <c r="E89" s="6"/>
      <c r="F89" s="13">
        <v>6156.4</v>
      </c>
      <c r="G89" s="10">
        <v>1.9663999999999999</v>
      </c>
      <c r="H89" s="15">
        <f t="shared" si="3"/>
        <v>12105.944959999999</v>
      </c>
      <c r="I89" s="6"/>
      <c r="J89" s="13">
        <v>5426.82</v>
      </c>
      <c r="K89" s="11">
        <v>0.75529999999999997</v>
      </c>
      <c r="L89" s="15">
        <f t="shared" si="4"/>
        <v>7184.9860982391101</v>
      </c>
      <c r="M89" s="6"/>
      <c r="N89" s="13">
        <v>16637.78</v>
      </c>
      <c r="O89" s="11">
        <v>117.08</v>
      </c>
      <c r="P89" s="15">
        <f t="shared" si="5"/>
        <v>142.10608131192348</v>
      </c>
    </row>
    <row r="90" spans="1:16">
      <c r="A90" s="1">
        <v>86</v>
      </c>
      <c r="B90" s="9">
        <v>39064</v>
      </c>
      <c r="C90" s="6"/>
      <c r="D90" s="12">
        <v>12317.5</v>
      </c>
      <c r="E90" s="6"/>
      <c r="F90" s="13">
        <v>6192.5</v>
      </c>
      <c r="G90" s="10">
        <v>1.9672000000000001</v>
      </c>
      <c r="H90" s="15">
        <f t="shared" si="3"/>
        <v>12181.886</v>
      </c>
      <c r="I90" s="6"/>
      <c r="J90" s="13">
        <v>5475.85</v>
      </c>
      <c r="K90" s="11">
        <v>0.75629999999999997</v>
      </c>
      <c r="L90" s="15">
        <f t="shared" si="4"/>
        <v>7240.3146899378562</v>
      </c>
      <c r="M90" s="6"/>
      <c r="N90" s="13">
        <v>16692.93</v>
      </c>
      <c r="O90" s="11">
        <v>117.26</v>
      </c>
      <c r="P90" s="15">
        <f t="shared" si="5"/>
        <v>142.35826368753197</v>
      </c>
    </row>
    <row r="91" spans="1:16">
      <c r="A91" s="1">
        <v>87</v>
      </c>
      <c r="B91" s="9">
        <v>39065</v>
      </c>
      <c r="C91" s="6"/>
      <c r="D91" s="12">
        <v>12416.76</v>
      </c>
      <c r="E91" s="6"/>
      <c r="F91" s="13">
        <v>6228</v>
      </c>
      <c r="G91" s="10">
        <v>1.9626999999999999</v>
      </c>
      <c r="H91" s="15">
        <f t="shared" si="3"/>
        <v>12223.695599999999</v>
      </c>
      <c r="I91" s="6"/>
      <c r="J91" s="13">
        <v>5509.58</v>
      </c>
      <c r="K91" s="11">
        <v>0.75919999999999999</v>
      </c>
      <c r="L91" s="15">
        <f t="shared" si="4"/>
        <v>7257.0864067439406</v>
      </c>
      <c r="M91" s="6"/>
      <c r="N91" s="13">
        <v>16829.2</v>
      </c>
      <c r="O91" s="11">
        <v>117.63</v>
      </c>
      <c r="P91" s="15">
        <f t="shared" si="5"/>
        <v>143.06894499702457</v>
      </c>
    </row>
    <row r="92" spans="1:16">
      <c r="A92" s="1">
        <v>88</v>
      </c>
      <c r="B92" s="9">
        <v>39066</v>
      </c>
      <c r="C92" s="6"/>
      <c r="D92" s="12">
        <v>12445.52</v>
      </c>
      <c r="E92" s="6"/>
      <c r="F92" s="13">
        <v>6260</v>
      </c>
      <c r="G92" s="10">
        <v>1.952</v>
      </c>
      <c r="H92" s="15">
        <f t="shared" si="3"/>
        <v>12219.52</v>
      </c>
      <c r="I92" s="6"/>
      <c r="J92" s="13">
        <v>5541.62</v>
      </c>
      <c r="K92" s="11">
        <v>0.76390000000000002</v>
      </c>
      <c r="L92" s="15">
        <f t="shared" si="4"/>
        <v>7254.3788453986117</v>
      </c>
      <c r="M92" s="6"/>
      <c r="N92" s="13">
        <v>16914.310000000001</v>
      </c>
      <c r="O92" s="11">
        <v>117.7</v>
      </c>
      <c r="P92" s="15">
        <f t="shared" si="5"/>
        <v>143.70696686491081</v>
      </c>
    </row>
    <row r="93" spans="1:16">
      <c r="A93" s="1">
        <v>89</v>
      </c>
      <c r="B93" s="9">
        <v>39069</v>
      </c>
      <c r="C93" s="6"/>
      <c r="D93" s="12">
        <v>12441.27</v>
      </c>
      <c r="E93" s="6"/>
      <c r="F93" s="13">
        <v>6247.4</v>
      </c>
      <c r="G93" s="10">
        <v>1.9458</v>
      </c>
      <c r="H93" s="15">
        <f t="shared" si="3"/>
        <v>12156.190919999999</v>
      </c>
      <c r="I93" s="6"/>
      <c r="J93" s="13">
        <v>5530.32</v>
      </c>
      <c r="K93" s="11">
        <v>0.76529999999999998</v>
      </c>
      <c r="L93" s="15">
        <f t="shared" si="4"/>
        <v>7226.3426107408859</v>
      </c>
      <c r="M93" s="6"/>
      <c r="N93" s="13">
        <v>16962.11</v>
      </c>
      <c r="O93" s="11">
        <v>118.12</v>
      </c>
      <c r="P93" s="15">
        <f t="shared" si="5"/>
        <v>143.60066034541146</v>
      </c>
    </row>
    <row r="94" spans="1:16">
      <c r="A94" s="1">
        <v>90</v>
      </c>
      <c r="B94" s="9">
        <v>39070</v>
      </c>
      <c r="C94" s="6"/>
      <c r="D94" s="12">
        <v>12471.32</v>
      </c>
      <c r="E94" s="6"/>
      <c r="F94" s="13">
        <v>6203.9</v>
      </c>
      <c r="G94" s="10">
        <v>1.9626999999999999</v>
      </c>
      <c r="H94" s="15">
        <f t="shared" si="3"/>
        <v>12176.394529999998</v>
      </c>
      <c r="I94" s="6"/>
      <c r="J94" s="13">
        <v>5484.76</v>
      </c>
      <c r="K94" s="11">
        <v>0.75939999999999996</v>
      </c>
      <c r="L94" s="15">
        <f t="shared" si="4"/>
        <v>7222.4914406110092</v>
      </c>
      <c r="M94" s="6"/>
      <c r="N94" s="13">
        <v>16776.88</v>
      </c>
      <c r="O94" s="11">
        <v>118.12</v>
      </c>
      <c r="P94" s="15">
        <f t="shared" si="5"/>
        <v>142.03250931256349</v>
      </c>
    </row>
    <row r="95" spans="1:16">
      <c r="A95" s="1">
        <v>91</v>
      </c>
      <c r="B95" s="9">
        <v>39071</v>
      </c>
      <c r="C95" s="6"/>
      <c r="D95" s="12">
        <v>12463.87</v>
      </c>
      <c r="E95" s="6"/>
      <c r="F95" s="13">
        <v>6198.6</v>
      </c>
      <c r="G95" s="10">
        <v>1.9656</v>
      </c>
      <c r="H95" s="15">
        <f t="shared" si="3"/>
        <v>12183.96816</v>
      </c>
      <c r="I95" s="6"/>
      <c r="J95" s="13">
        <v>5514.42</v>
      </c>
      <c r="K95" s="11">
        <v>0.75839999999999996</v>
      </c>
      <c r="L95" s="15">
        <f t="shared" si="4"/>
        <v>7271.1234177215192</v>
      </c>
      <c r="M95" s="6"/>
      <c r="N95" s="13">
        <v>17011.04</v>
      </c>
      <c r="O95" s="11">
        <v>118.34</v>
      </c>
      <c r="P95" s="15">
        <f t="shared" si="5"/>
        <v>143.7471691735677</v>
      </c>
    </row>
    <row r="96" spans="1:16">
      <c r="A96" s="1">
        <v>92</v>
      </c>
      <c r="B96" s="9">
        <v>39072</v>
      </c>
      <c r="C96" s="6"/>
      <c r="D96" s="12">
        <v>12421.25</v>
      </c>
      <c r="E96" s="6"/>
      <c r="F96" s="13">
        <v>6183.7</v>
      </c>
      <c r="G96" s="10">
        <v>1.9619</v>
      </c>
      <c r="H96" s="15">
        <f t="shared" si="3"/>
        <v>12131.801029999999</v>
      </c>
      <c r="I96" s="6"/>
      <c r="J96" s="13">
        <v>5510.39</v>
      </c>
      <c r="K96" s="11">
        <v>0.75960000000000005</v>
      </c>
      <c r="L96" s="15">
        <f t="shared" si="4"/>
        <v>7254.331226961559</v>
      </c>
      <c r="M96" s="6"/>
      <c r="N96" s="13">
        <v>17047.830000000002</v>
      </c>
      <c r="O96" s="11">
        <v>118.45</v>
      </c>
      <c r="P96" s="15">
        <f t="shared" si="5"/>
        <v>143.92427184466021</v>
      </c>
    </row>
    <row r="97" spans="1:16">
      <c r="A97" s="1">
        <v>93</v>
      </c>
      <c r="B97" s="9">
        <v>39073</v>
      </c>
      <c r="C97" s="6"/>
      <c r="D97" s="12">
        <v>12343.21</v>
      </c>
      <c r="E97" s="6"/>
      <c r="F97" s="13">
        <v>6190</v>
      </c>
      <c r="G97" s="10">
        <v>1.9601999999999999</v>
      </c>
      <c r="H97" s="15">
        <f t="shared" si="3"/>
        <v>12133.637999999999</v>
      </c>
      <c r="I97" s="6"/>
      <c r="J97" s="13">
        <v>5453.94</v>
      </c>
      <c r="K97" s="11">
        <v>0.7601</v>
      </c>
      <c r="L97" s="15">
        <f t="shared" si="4"/>
        <v>7175.2927246414938</v>
      </c>
      <c r="M97" s="6"/>
      <c r="N97" s="13">
        <v>17104.96</v>
      </c>
      <c r="O97" s="11">
        <v>118.81</v>
      </c>
      <c r="P97" s="15">
        <f t="shared" si="5"/>
        <v>143.96902617624778</v>
      </c>
    </row>
    <row r="98" spans="1:16">
      <c r="A98" s="1">
        <v>94</v>
      </c>
      <c r="B98" s="9">
        <v>39078</v>
      </c>
      <c r="C98" s="6"/>
      <c r="D98" s="12">
        <v>12510.57</v>
      </c>
      <c r="E98" s="6"/>
      <c r="F98" s="13">
        <v>6245.2</v>
      </c>
      <c r="G98" s="10">
        <v>1.9552</v>
      </c>
      <c r="H98" s="15">
        <f t="shared" si="3"/>
        <v>12210.615040000001</v>
      </c>
      <c r="I98" s="6"/>
      <c r="J98" s="13">
        <v>5540.01</v>
      </c>
      <c r="K98" s="11">
        <v>0.76180000000000003</v>
      </c>
      <c r="L98" s="15">
        <f t="shared" si="4"/>
        <v>7272.263061170911</v>
      </c>
      <c r="M98" s="6"/>
      <c r="N98" s="13">
        <v>17248.63</v>
      </c>
      <c r="O98" s="11">
        <v>118.69</v>
      </c>
      <c r="P98" s="15">
        <f t="shared" si="5"/>
        <v>145.32504844553037</v>
      </c>
    </row>
    <row r="99" spans="1:16">
      <c r="A99" s="1">
        <v>95</v>
      </c>
      <c r="B99" s="9">
        <v>39079</v>
      </c>
      <c r="C99" s="6"/>
      <c r="D99" s="12">
        <v>12501.52</v>
      </c>
      <c r="E99" s="6"/>
      <c r="F99" s="13">
        <v>6240.9</v>
      </c>
      <c r="G99" s="10">
        <v>1.9599</v>
      </c>
      <c r="H99" s="15">
        <f t="shared" si="3"/>
        <v>12231.53991</v>
      </c>
      <c r="I99" s="6"/>
      <c r="J99" s="13">
        <v>5533.36</v>
      </c>
      <c r="K99" s="11">
        <v>0.76070000000000004</v>
      </c>
      <c r="L99" s="15">
        <f t="shared" si="4"/>
        <v>7274.0370711187052</v>
      </c>
      <c r="M99" s="6"/>
      <c r="N99" s="13">
        <v>17224.810000000001</v>
      </c>
      <c r="O99" s="11">
        <v>118.98</v>
      </c>
      <c r="P99" s="15">
        <f t="shared" si="5"/>
        <v>144.77063371995294</v>
      </c>
    </row>
    <row r="100" spans="1:16">
      <c r="A100" s="1">
        <v>96</v>
      </c>
      <c r="B100" s="9">
        <v>39080</v>
      </c>
      <c r="C100" s="6"/>
      <c r="D100" s="12">
        <v>12463.15</v>
      </c>
      <c r="E100" s="6"/>
      <c r="F100" s="13">
        <v>6220.8</v>
      </c>
      <c r="G100" s="10">
        <v>1.9570000000000001</v>
      </c>
      <c r="H100" s="15">
        <f t="shared" si="3"/>
        <v>12174.105600000001</v>
      </c>
      <c r="I100" s="6"/>
      <c r="J100" s="13">
        <v>5541.76</v>
      </c>
      <c r="K100" s="11">
        <v>0.75839999999999996</v>
      </c>
      <c r="L100" s="15">
        <f t="shared" si="4"/>
        <v>7307.172995780591</v>
      </c>
      <c r="M100" s="6"/>
      <c r="N100" s="13">
        <v>17225.830000000002</v>
      </c>
      <c r="O100" s="11">
        <v>119.16</v>
      </c>
      <c r="P100" s="15">
        <f t="shared" si="5"/>
        <v>144.56050688150387</v>
      </c>
    </row>
    <row r="101" spans="1:16">
      <c r="A101" s="1">
        <v>97</v>
      </c>
      <c r="B101" s="9">
        <v>39086</v>
      </c>
      <c r="C101" s="6"/>
      <c r="D101" s="12">
        <v>12480.69</v>
      </c>
      <c r="E101" s="6"/>
      <c r="F101" s="13">
        <v>6287</v>
      </c>
      <c r="G101" s="10">
        <v>1.9447000000000001</v>
      </c>
      <c r="H101" s="15">
        <f t="shared" si="3"/>
        <v>12226.3289</v>
      </c>
      <c r="I101" s="6"/>
      <c r="J101" s="13">
        <v>5574.56</v>
      </c>
      <c r="K101" s="11">
        <v>0.76390000000000002</v>
      </c>
      <c r="L101" s="15">
        <f t="shared" si="4"/>
        <v>7297.4996727320331</v>
      </c>
      <c r="M101" s="6"/>
      <c r="N101" s="13">
        <v>17353.669999999998</v>
      </c>
      <c r="O101" s="11">
        <v>119.24</v>
      </c>
      <c r="P101" s="15">
        <f t="shared" si="5"/>
        <v>145.53564240187856</v>
      </c>
    </row>
    <row r="102" spans="1:16">
      <c r="A102" s="1">
        <v>98</v>
      </c>
      <c r="B102" s="9">
        <v>39087</v>
      </c>
      <c r="C102" s="6"/>
      <c r="D102" s="12">
        <v>12398.01</v>
      </c>
      <c r="E102" s="6"/>
      <c r="F102" s="13">
        <v>6220.1</v>
      </c>
      <c r="G102" s="10">
        <v>1.9275</v>
      </c>
      <c r="H102" s="15">
        <f t="shared" si="3"/>
        <v>11989.242750000001</v>
      </c>
      <c r="I102" s="6"/>
      <c r="J102" s="13">
        <v>5517.35</v>
      </c>
      <c r="K102" s="11">
        <v>0.76980000000000004</v>
      </c>
      <c r="L102" s="15">
        <f t="shared" si="4"/>
        <v>7167.2512340867761</v>
      </c>
      <c r="M102" s="6"/>
      <c r="N102" s="13">
        <v>17091.59</v>
      </c>
      <c r="O102" s="11">
        <v>118.74</v>
      </c>
      <c r="P102" s="15">
        <f t="shared" si="5"/>
        <v>143.94130032002695</v>
      </c>
    </row>
    <row r="103" spans="1:16">
      <c r="A103" s="1">
        <v>99</v>
      </c>
      <c r="B103" s="9">
        <v>39091</v>
      </c>
      <c r="C103" s="6"/>
      <c r="D103" s="12">
        <v>12416.6</v>
      </c>
      <c r="E103" s="6"/>
      <c r="F103" s="13">
        <v>6196.1</v>
      </c>
      <c r="G103" s="10">
        <v>1.9406000000000001</v>
      </c>
      <c r="H103" s="15">
        <f t="shared" si="3"/>
        <v>12024.151660000001</v>
      </c>
      <c r="I103" s="6"/>
      <c r="J103" s="13">
        <v>5533.03</v>
      </c>
      <c r="K103" s="11">
        <v>0.76910000000000001</v>
      </c>
      <c r="L103" s="15">
        <f t="shared" si="4"/>
        <v>7194.162007541282</v>
      </c>
      <c r="M103" s="6"/>
      <c r="N103" s="13">
        <v>17237.77</v>
      </c>
      <c r="O103" s="11">
        <v>119.4</v>
      </c>
      <c r="P103" s="15">
        <f t="shared" si="5"/>
        <v>144.36993299832494</v>
      </c>
    </row>
    <row r="104" spans="1:16">
      <c r="A104" s="1">
        <v>100</v>
      </c>
      <c r="B104" s="9">
        <v>39092</v>
      </c>
      <c r="C104" s="6"/>
      <c r="D104" s="12">
        <v>12442.16</v>
      </c>
      <c r="E104" s="6"/>
      <c r="F104" s="13">
        <v>6160.7</v>
      </c>
      <c r="G104" s="10">
        <v>1.9351</v>
      </c>
      <c r="H104" s="15">
        <f t="shared" si="3"/>
        <v>11921.57057</v>
      </c>
      <c r="I104" s="6"/>
      <c r="J104" s="13">
        <v>5501.95</v>
      </c>
      <c r="K104" s="11">
        <v>0.77239999999999998</v>
      </c>
      <c r="L104" s="15">
        <f t="shared" si="4"/>
        <v>7123.1874676333509</v>
      </c>
      <c r="M104" s="6"/>
      <c r="N104" s="13">
        <v>16942.400000000001</v>
      </c>
      <c r="O104" s="11">
        <v>119.63</v>
      </c>
      <c r="P104" s="15">
        <f t="shared" si="5"/>
        <v>141.62333862743461</v>
      </c>
    </row>
    <row r="105" spans="1:16">
      <c r="A105" s="1">
        <v>101</v>
      </c>
      <c r="B105" s="9">
        <v>39093</v>
      </c>
      <c r="C105" s="6"/>
      <c r="D105" s="12">
        <v>12514.98</v>
      </c>
      <c r="E105" s="6"/>
      <c r="F105" s="13">
        <v>6230.1</v>
      </c>
      <c r="G105" s="10">
        <v>1.9415</v>
      </c>
      <c r="H105" s="15">
        <f t="shared" si="3"/>
        <v>12095.739150000001</v>
      </c>
      <c r="I105" s="6"/>
      <c r="J105" s="13">
        <v>5609.8</v>
      </c>
      <c r="K105" s="11">
        <v>0.77580000000000005</v>
      </c>
      <c r="L105" s="15">
        <f t="shared" si="4"/>
        <v>7230.9873678783188</v>
      </c>
      <c r="M105" s="6"/>
      <c r="N105" s="13">
        <v>16838.169999999998</v>
      </c>
      <c r="O105" s="11">
        <v>120.45</v>
      </c>
      <c r="P105" s="15">
        <f t="shared" si="5"/>
        <v>139.79385637193855</v>
      </c>
    </row>
    <row r="106" spans="1:16">
      <c r="A106" s="1">
        <v>102</v>
      </c>
      <c r="B106" s="9">
        <v>39094</v>
      </c>
      <c r="C106" s="6"/>
      <c r="D106" s="12">
        <v>12556.08</v>
      </c>
      <c r="E106" s="6"/>
      <c r="F106" s="13">
        <v>6239</v>
      </c>
      <c r="G106" s="10">
        <v>1.9603999999999999</v>
      </c>
      <c r="H106" s="15">
        <f t="shared" si="3"/>
        <v>12230.935599999999</v>
      </c>
      <c r="I106" s="6"/>
      <c r="J106" s="13">
        <v>5617.62</v>
      </c>
      <c r="K106" s="11">
        <v>0.7732</v>
      </c>
      <c r="L106" s="15">
        <f t="shared" si="4"/>
        <v>7265.4164511122608</v>
      </c>
      <c r="M106" s="6"/>
      <c r="N106" s="13">
        <v>17057.009999999998</v>
      </c>
      <c r="O106" s="11">
        <v>120.35</v>
      </c>
      <c r="P106" s="15">
        <f t="shared" si="5"/>
        <v>141.72837557125052</v>
      </c>
    </row>
    <row r="107" spans="1:16">
      <c r="A107" s="1">
        <v>103</v>
      </c>
      <c r="B107" s="9">
        <v>39098</v>
      </c>
      <c r="C107" s="6"/>
      <c r="D107" s="12">
        <v>12582.59</v>
      </c>
      <c r="E107" s="6"/>
      <c r="F107" s="13">
        <v>6215.7</v>
      </c>
      <c r="G107" s="10">
        <v>1.9610000000000001</v>
      </c>
      <c r="H107" s="15">
        <f t="shared" si="3"/>
        <v>12188.9877</v>
      </c>
      <c r="I107" s="6"/>
      <c r="J107" s="13">
        <v>5591.54</v>
      </c>
      <c r="K107" s="11">
        <v>0.77329999999999999</v>
      </c>
      <c r="L107" s="15">
        <f t="shared" si="4"/>
        <v>7230.7513254881678</v>
      </c>
      <c r="M107" s="6"/>
      <c r="N107" s="13">
        <v>17202.46</v>
      </c>
      <c r="O107" s="11">
        <v>120.74</v>
      </c>
      <c r="P107" s="15">
        <f t="shared" si="5"/>
        <v>142.47523604439291</v>
      </c>
    </row>
    <row r="108" spans="1:16">
      <c r="A108" s="1">
        <v>104</v>
      </c>
      <c r="B108" s="9">
        <v>39099</v>
      </c>
      <c r="C108" s="6"/>
      <c r="D108" s="12">
        <v>12577.15</v>
      </c>
      <c r="E108" s="6"/>
      <c r="F108" s="13">
        <v>6204.5</v>
      </c>
      <c r="G108" s="10">
        <v>1.9714</v>
      </c>
      <c r="H108" s="15">
        <f t="shared" si="3"/>
        <v>12231.551300000001</v>
      </c>
      <c r="I108" s="6"/>
      <c r="J108" s="13">
        <v>5561.78</v>
      </c>
      <c r="K108" s="11">
        <v>0.7722</v>
      </c>
      <c r="L108" s="15">
        <f t="shared" si="4"/>
        <v>7202.5123025123021</v>
      </c>
      <c r="M108" s="6"/>
      <c r="N108" s="13">
        <v>17261.349999999999</v>
      </c>
      <c r="O108" s="11">
        <v>120.53</v>
      </c>
      <c r="P108" s="15">
        <f t="shared" si="5"/>
        <v>143.21206338670868</v>
      </c>
    </row>
    <row r="109" spans="1:16">
      <c r="A109" s="1">
        <v>105</v>
      </c>
      <c r="B109" s="9">
        <v>39100</v>
      </c>
      <c r="C109" s="6"/>
      <c r="D109" s="12">
        <v>12567.93</v>
      </c>
      <c r="E109" s="6"/>
      <c r="F109" s="13">
        <v>6210.3</v>
      </c>
      <c r="G109" s="10">
        <v>1.9722</v>
      </c>
      <c r="H109" s="15">
        <f t="shared" si="3"/>
        <v>12247.953659999999</v>
      </c>
      <c r="I109" s="6"/>
      <c r="J109" s="13">
        <v>5555.04</v>
      </c>
      <c r="K109" s="11">
        <v>0.77210000000000001</v>
      </c>
      <c r="L109" s="15">
        <f t="shared" si="4"/>
        <v>7194.7157104002072</v>
      </c>
      <c r="M109" s="6"/>
      <c r="N109" s="13">
        <v>17370.93</v>
      </c>
      <c r="O109" s="11">
        <v>121.31</v>
      </c>
      <c r="P109" s="15">
        <f t="shared" si="5"/>
        <v>143.19454290660292</v>
      </c>
    </row>
    <row r="110" spans="1:16">
      <c r="A110" s="1">
        <v>106</v>
      </c>
      <c r="B110" s="9">
        <v>39101</v>
      </c>
      <c r="C110" s="6"/>
      <c r="D110" s="12">
        <v>12565.53</v>
      </c>
      <c r="E110" s="6"/>
      <c r="F110" s="13">
        <v>6237.2</v>
      </c>
      <c r="G110" s="10">
        <v>1.974</v>
      </c>
      <c r="H110" s="15">
        <f t="shared" si="3"/>
        <v>12312.2328</v>
      </c>
      <c r="I110" s="6"/>
      <c r="J110" s="13">
        <v>5614.7</v>
      </c>
      <c r="K110" s="11">
        <v>0.77249999999999996</v>
      </c>
      <c r="L110" s="15">
        <f t="shared" si="4"/>
        <v>7268.2200647249192</v>
      </c>
      <c r="M110" s="6"/>
      <c r="N110" s="13">
        <v>17310.439999999999</v>
      </c>
      <c r="O110" s="11">
        <v>121.38</v>
      </c>
      <c r="P110" s="15">
        <f t="shared" si="5"/>
        <v>142.61361014994233</v>
      </c>
    </row>
    <row r="111" spans="1:16">
      <c r="A111" s="1">
        <v>107</v>
      </c>
      <c r="B111" s="9">
        <v>39104</v>
      </c>
      <c r="C111" s="6"/>
      <c r="D111" s="12">
        <v>12477.16</v>
      </c>
      <c r="E111" s="6"/>
      <c r="F111" s="13">
        <v>6218.4</v>
      </c>
      <c r="G111" s="10">
        <v>1.9762999999999999</v>
      </c>
      <c r="H111" s="15">
        <f t="shared" si="3"/>
        <v>12289.423919999999</v>
      </c>
      <c r="I111" s="6"/>
      <c r="J111" s="13">
        <v>5579.78</v>
      </c>
      <c r="K111" s="11">
        <v>0.77170000000000005</v>
      </c>
      <c r="L111" s="15">
        <f t="shared" si="4"/>
        <v>7230.5040818971092</v>
      </c>
      <c r="M111" s="6"/>
      <c r="N111" s="13">
        <v>17424.18</v>
      </c>
      <c r="O111" s="11">
        <v>121.58</v>
      </c>
      <c r="P111" s="15">
        <f t="shared" si="5"/>
        <v>143.31452541536439</v>
      </c>
    </row>
    <row r="112" spans="1:16">
      <c r="A112" s="1">
        <v>108</v>
      </c>
      <c r="B112" s="9">
        <v>39105</v>
      </c>
      <c r="C112" s="6"/>
      <c r="D112" s="12">
        <v>12533.8</v>
      </c>
      <c r="E112" s="6"/>
      <c r="F112" s="13">
        <v>6227.6</v>
      </c>
      <c r="G112" s="10">
        <v>1.9864999999999999</v>
      </c>
      <c r="H112" s="15">
        <f t="shared" si="3"/>
        <v>12371.127399999999</v>
      </c>
      <c r="I112" s="6"/>
      <c r="J112" s="13">
        <v>5575.07</v>
      </c>
      <c r="K112" s="11">
        <v>0.76729999999999998</v>
      </c>
      <c r="L112" s="15">
        <f t="shared" si="4"/>
        <v>7265.8282288544242</v>
      </c>
      <c r="M112" s="6"/>
      <c r="N112" s="13">
        <v>17408.57</v>
      </c>
      <c r="O112" s="11">
        <v>121.38</v>
      </c>
      <c r="P112" s="15">
        <f t="shared" si="5"/>
        <v>143.4220629428242</v>
      </c>
    </row>
    <row r="113" spans="1:16">
      <c r="A113" s="1">
        <v>109</v>
      </c>
      <c r="B113" s="9">
        <v>39106</v>
      </c>
      <c r="C113" s="6"/>
      <c r="D113" s="12">
        <v>12621.77</v>
      </c>
      <c r="E113" s="6"/>
      <c r="F113" s="13">
        <v>6314.8</v>
      </c>
      <c r="G113" s="10">
        <v>1.9655</v>
      </c>
      <c r="H113" s="15">
        <f t="shared" si="3"/>
        <v>12411.7394</v>
      </c>
      <c r="I113" s="6"/>
      <c r="J113" s="13">
        <v>5638.08</v>
      </c>
      <c r="K113" s="11">
        <v>0.77139999999999997</v>
      </c>
      <c r="L113" s="15">
        <f t="shared" si="4"/>
        <v>7308.8929219600732</v>
      </c>
      <c r="M113" s="6"/>
      <c r="N113" s="13">
        <v>17507.400000000001</v>
      </c>
      <c r="O113" s="11">
        <v>120.98</v>
      </c>
      <c r="P113" s="15">
        <f t="shared" si="5"/>
        <v>144.71317573152587</v>
      </c>
    </row>
    <row r="114" spans="1:16">
      <c r="A114" s="1">
        <v>110</v>
      </c>
      <c r="B114" s="9">
        <v>39107</v>
      </c>
      <c r="C114" s="6"/>
      <c r="D114" s="12">
        <v>12502.56</v>
      </c>
      <c r="E114" s="6"/>
      <c r="F114" s="13">
        <v>6269.3</v>
      </c>
      <c r="G114" s="10">
        <v>1.9708000000000001</v>
      </c>
      <c r="H114" s="15">
        <f t="shared" si="3"/>
        <v>12355.536440000002</v>
      </c>
      <c r="I114" s="6"/>
      <c r="J114" s="13">
        <v>5609.2</v>
      </c>
      <c r="K114" s="11">
        <v>0.77059999999999995</v>
      </c>
      <c r="L114" s="15">
        <f t="shared" si="4"/>
        <v>7279.0033739942901</v>
      </c>
      <c r="M114" s="6"/>
      <c r="N114" s="13">
        <v>17458.3</v>
      </c>
      <c r="O114" s="11">
        <v>120.95</v>
      </c>
      <c r="P114" s="15">
        <f t="shared" si="5"/>
        <v>144.34311699049192</v>
      </c>
    </row>
    <row r="115" spans="1:16">
      <c r="A115" s="1">
        <v>111</v>
      </c>
      <c r="B115" s="9">
        <v>39108</v>
      </c>
      <c r="C115" s="6"/>
      <c r="D115" s="12">
        <v>12487.02</v>
      </c>
      <c r="E115" s="6"/>
      <c r="F115" s="13">
        <v>6228</v>
      </c>
      <c r="G115" s="10">
        <v>1.9596</v>
      </c>
      <c r="H115" s="15">
        <f t="shared" si="3"/>
        <v>12204.388800000001</v>
      </c>
      <c r="I115" s="6"/>
      <c r="J115" s="13">
        <v>5582.3</v>
      </c>
      <c r="K115" s="11">
        <v>0.77480000000000004</v>
      </c>
      <c r="L115" s="15">
        <f t="shared" si="4"/>
        <v>7204.8270521424884</v>
      </c>
      <c r="M115" s="6"/>
      <c r="N115" s="13">
        <v>17421.93</v>
      </c>
      <c r="O115" s="11">
        <v>121.49</v>
      </c>
      <c r="P115" s="15">
        <f t="shared" si="5"/>
        <v>143.40217301835543</v>
      </c>
    </row>
    <row r="116" spans="1:16">
      <c r="A116" s="1">
        <v>112</v>
      </c>
      <c r="B116" s="9">
        <v>39111</v>
      </c>
      <c r="C116" s="6"/>
      <c r="D116" s="12">
        <v>12490.78</v>
      </c>
      <c r="E116" s="6"/>
      <c r="F116" s="13">
        <v>6239.9</v>
      </c>
      <c r="G116" s="10">
        <v>1.9579</v>
      </c>
      <c r="H116" s="15">
        <f t="shared" si="3"/>
        <v>12217.100209999999</v>
      </c>
      <c r="I116" s="6"/>
      <c r="J116" s="13">
        <v>5619.7</v>
      </c>
      <c r="K116" s="11">
        <v>0.77300000000000002</v>
      </c>
      <c r="L116" s="15">
        <f t="shared" si="4"/>
        <v>7269.9870633893916</v>
      </c>
      <c r="M116" s="6"/>
      <c r="N116" s="13">
        <v>17470.46</v>
      </c>
      <c r="O116" s="11">
        <v>121.91</v>
      </c>
      <c r="P116" s="15">
        <f t="shared" si="5"/>
        <v>143.3062094988106</v>
      </c>
    </row>
    <row r="117" spans="1:16">
      <c r="A117" s="1">
        <v>113</v>
      </c>
      <c r="B117" s="9">
        <v>39112</v>
      </c>
      <c r="C117" s="6"/>
      <c r="D117" s="12">
        <v>12523.31</v>
      </c>
      <c r="E117" s="6"/>
      <c r="F117" s="13">
        <v>6242</v>
      </c>
      <c r="G117" s="10">
        <v>1.9614</v>
      </c>
      <c r="H117" s="15">
        <f t="shared" si="3"/>
        <v>12243.058800000001</v>
      </c>
      <c r="I117" s="6"/>
      <c r="J117" s="13">
        <v>5645.59</v>
      </c>
      <c r="K117" s="11">
        <v>0.77180000000000004</v>
      </c>
      <c r="L117" s="15">
        <f t="shared" si="4"/>
        <v>7314.8354495983413</v>
      </c>
      <c r="M117" s="6"/>
      <c r="N117" s="13">
        <v>17490.189999999999</v>
      </c>
      <c r="O117" s="11">
        <v>121.53</v>
      </c>
      <c r="P117" s="15">
        <f t="shared" si="5"/>
        <v>143.91664609561423</v>
      </c>
    </row>
    <row r="118" spans="1:16">
      <c r="A118" s="1">
        <v>114</v>
      </c>
      <c r="B118" s="9">
        <v>39113</v>
      </c>
      <c r="C118" s="6"/>
      <c r="D118" s="12">
        <v>12621.69</v>
      </c>
      <c r="E118" s="6"/>
      <c r="F118" s="13">
        <v>6203.1</v>
      </c>
      <c r="G118" s="10">
        <v>1.9574</v>
      </c>
      <c r="H118" s="15">
        <f t="shared" si="3"/>
        <v>12141.94794</v>
      </c>
      <c r="I118" s="6"/>
      <c r="J118" s="13">
        <v>5608.31</v>
      </c>
      <c r="K118" s="11">
        <v>0.76949999999999996</v>
      </c>
      <c r="L118" s="15">
        <f t="shared" si="4"/>
        <v>7288.2521117608849</v>
      </c>
      <c r="M118" s="6"/>
      <c r="N118" s="13">
        <v>17383.419999999998</v>
      </c>
      <c r="O118" s="11">
        <v>120.95</v>
      </c>
      <c r="P118" s="15">
        <f t="shared" si="5"/>
        <v>143.72401818933443</v>
      </c>
    </row>
    <row r="119" spans="1:16">
      <c r="A119" s="1">
        <v>115</v>
      </c>
      <c r="B119" s="9">
        <v>39114</v>
      </c>
      <c r="C119" s="6"/>
      <c r="D119" s="12">
        <v>12673.68</v>
      </c>
      <c r="E119" s="6"/>
      <c r="F119" s="13">
        <v>6282.2</v>
      </c>
      <c r="G119" s="10">
        <v>1.9704999999999999</v>
      </c>
      <c r="H119" s="15">
        <f t="shared" si="3"/>
        <v>12379.0751</v>
      </c>
      <c r="I119" s="6"/>
      <c r="J119" s="13">
        <v>5662.25</v>
      </c>
      <c r="K119" s="11">
        <v>0.76790000000000003</v>
      </c>
      <c r="L119" s="15">
        <f t="shared" si="4"/>
        <v>7373.6814689412686</v>
      </c>
      <c r="M119" s="6"/>
      <c r="N119" s="13">
        <v>17519.5</v>
      </c>
      <c r="O119" s="11">
        <v>120.5</v>
      </c>
      <c r="P119" s="15">
        <f t="shared" si="5"/>
        <v>145.39004149377593</v>
      </c>
    </row>
    <row r="120" spans="1:16">
      <c r="A120" s="1">
        <v>116</v>
      </c>
      <c r="B120" s="9">
        <v>39115</v>
      </c>
      <c r="C120" s="6"/>
      <c r="D120" s="12">
        <v>12653.49</v>
      </c>
      <c r="E120" s="6"/>
      <c r="F120" s="13">
        <v>6310.9</v>
      </c>
      <c r="G120" s="10">
        <v>1.9683999999999999</v>
      </c>
      <c r="H120" s="15">
        <f t="shared" si="3"/>
        <v>12422.375559999999</v>
      </c>
      <c r="I120" s="6"/>
      <c r="J120" s="13">
        <v>5677.3</v>
      </c>
      <c r="K120" s="11">
        <v>0.77070000000000005</v>
      </c>
      <c r="L120" s="15">
        <f t="shared" si="4"/>
        <v>7366.4201375373032</v>
      </c>
      <c r="M120" s="6"/>
      <c r="N120" s="13">
        <v>17547.11</v>
      </c>
      <c r="O120" s="11">
        <v>121.14</v>
      </c>
      <c r="P120" s="15">
        <f t="shared" si="5"/>
        <v>144.84984315667822</v>
      </c>
    </row>
    <row r="121" spans="1:16">
      <c r="A121" s="1">
        <v>117</v>
      </c>
      <c r="B121" s="9">
        <v>39118</v>
      </c>
      <c r="C121" s="6"/>
      <c r="D121" s="12">
        <v>12661.74</v>
      </c>
      <c r="E121" s="6"/>
      <c r="F121" s="13">
        <v>6317.9</v>
      </c>
      <c r="G121" s="10">
        <v>1.9601</v>
      </c>
      <c r="H121" s="15">
        <f t="shared" si="3"/>
        <v>12383.715789999998</v>
      </c>
      <c r="I121" s="6"/>
      <c r="J121" s="13">
        <v>5681.11</v>
      </c>
      <c r="K121" s="11">
        <v>0.77359999999999995</v>
      </c>
      <c r="L121" s="15">
        <f t="shared" si="4"/>
        <v>7343.7306101344366</v>
      </c>
      <c r="M121" s="6"/>
      <c r="N121" s="13">
        <v>17344.8</v>
      </c>
      <c r="O121" s="11">
        <v>120.29</v>
      </c>
      <c r="P121" s="15">
        <f t="shared" si="5"/>
        <v>144.19153711862995</v>
      </c>
    </row>
    <row r="122" spans="1:16">
      <c r="A122" s="1">
        <v>118</v>
      </c>
      <c r="B122" s="9">
        <v>39119</v>
      </c>
      <c r="C122" s="6"/>
      <c r="D122" s="12">
        <v>12666.31</v>
      </c>
      <c r="E122" s="6"/>
      <c r="F122" s="13">
        <v>6346.3</v>
      </c>
      <c r="G122" s="10">
        <v>1.9686999999999999</v>
      </c>
      <c r="H122" s="15">
        <f t="shared" si="3"/>
        <v>12493.96081</v>
      </c>
      <c r="I122" s="6"/>
      <c r="J122" s="13">
        <v>5676.78</v>
      </c>
      <c r="K122" s="11">
        <v>0.77200000000000002</v>
      </c>
      <c r="L122" s="15">
        <f t="shared" si="4"/>
        <v>7353.3419689119164</v>
      </c>
      <c r="M122" s="6"/>
      <c r="N122" s="13">
        <v>17406.86</v>
      </c>
      <c r="O122" s="11">
        <v>120.46</v>
      </c>
      <c r="P122" s="15">
        <f t="shared" si="5"/>
        <v>144.50323758924125</v>
      </c>
    </row>
    <row r="123" spans="1:16">
      <c r="A123" s="1">
        <v>119</v>
      </c>
      <c r="B123" s="9">
        <v>39120</v>
      </c>
      <c r="C123" s="6"/>
      <c r="D123" s="12">
        <v>12666.87</v>
      </c>
      <c r="E123" s="6"/>
      <c r="F123" s="13">
        <v>6369.5</v>
      </c>
      <c r="G123" s="10">
        <v>1.9701</v>
      </c>
      <c r="H123" s="15">
        <f t="shared" si="3"/>
        <v>12548.551949999999</v>
      </c>
      <c r="I123" s="6"/>
      <c r="J123" s="13">
        <v>5703</v>
      </c>
      <c r="K123" s="11">
        <v>0.76819999999999999</v>
      </c>
      <c r="L123" s="15">
        <f t="shared" si="4"/>
        <v>7423.8479562613902</v>
      </c>
      <c r="M123" s="6"/>
      <c r="N123" s="13">
        <v>17292.32</v>
      </c>
      <c r="O123" s="11">
        <v>120.66</v>
      </c>
      <c r="P123" s="15">
        <f t="shared" si="5"/>
        <v>143.31443726172716</v>
      </c>
    </row>
    <row r="124" spans="1:16">
      <c r="A124" s="1">
        <v>120</v>
      </c>
      <c r="B124" s="9">
        <v>39121</v>
      </c>
      <c r="C124" s="6"/>
      <c r="D124" s="12">
        <v>12637.63</v>
      </c>
      <c r="E124" s="6"/>
      <c r="F124" s="13">
        <v>6346.4</v>
      </c>
      <c r="G124" s="10">
        <v>1.9582999999999999</v>
      </c>
      <c r="H124" s="15">
        <f t="shared" si="3"/>
        <v>12428.155119999999</v>
      </c>
      <c r="I124" s="6"/>
      <c r="J124" s="13">
        <v>5665.1</v>
      </c>
      <c r="K124" s="11">
        <v>0.76700000000000002</v>
      </c>
      <c r="L124" s="15">
        <f t="shared" si="4"/>
        <v>7386.0495436766623</v>
      </c>
      <c r="M124" s="6"/>
      <c r="N124" s="13">
        <v>17292.48</v>
      </c>
      <c r="O124" s="11">
        <v>121.18</v>
      </c>
      <c r="P124" s="15">
        <f t="shared" si="5"/>
        <v>142.70077570556197</v>
      </c>
    </row>
    <row r="125" spans="1:16">
      <c r="A125" s="1">
        <v>121</v>
      </c>
      <c r="B125" s="9">
        <v>39122</v>
      </c>
      <c r="C125" s="6"/>
      <c r="D125" s="12">
        <v>12580.83</v>
      </c>
      <c r="E125" s="6"/>
      <c r="F125" s="13">
        <v>6382.8</v>
      </c>
      <c r="G125" s="10">
        <v>1.9483999999999999</v>
      </c>
      <c r="H125" s="15">
        <f t="shared" si="3"/>
        <v>12436.247519999999</v>
      </c>
      <c r="I125" s="6"/>
      <c r="J125" s="13">
        <v>5692.45</v>
      </c>
      <c r="K125" s="11">
        <v>0.76939999999999997</v>
      </c>
      <c r="L125" s="15">
        <f t="shared" si="4"/>
        <v>7398.5573173901739</v>
      </c>
      <c r="M125" s="6"/>
      <c r="N125" s="13">
        <v>17504.330000000002</v>
      </c>
      <c r="O125" s="11">
        <v>121.7</v>
      </c>
      <c r="P125" s="15">
        <f t="shared" si="5"/>
        <v>143.8317995069844</v>
      </c>
    </row>
    <row r="126" spans="1:16">
      <c r="A126" s="1">
        <v>122</v>
      </c>
      <c r="B126" s="9">
        <v>39126</v>
      </c>
      <c r="C126" s="6"/>
      <c r="D126" s="12">
        <v>12654.85</v>
      </c>
      <c r="E126" s="6"/>
      <c r="F126" s="13">
        <v>6381.8</v>
      </c>
      <c r="G126" s="10">
        <v>1.9429000000000001</v>
      </c>
      <c r="H126" s="15">
        <f t="shared" si="3"/>
        <v>12399.19922</v>
      </c>
      <c r="I126" s="6"/>
      <c r="J126" s="13">
        <v>5682.69</v>
      </c>
      <c r="K126" s="11">
        <v>0.76839999999999997</v>
      </c>
      <c r="L126" s="15">
        <f t="shared" si="4"/>
        <v>7395.4841228526802</v>
      </c>
      <c r="M126" s="6"/>
      <c r="N126" s="13">
        <v>17621.45</v>
      </c>
      <c r="O126" s="11">
        <v>121.3</v>
      </c>
      <c r="P126" s="15">
        <f t="shared" si="5"/>
        <v>145.27164056059357</v>
      </c>
    </row>
    <row r="127" spans="1:16">
      <c r="A127" s="1">
        <v>123</v>
      </c>
      <c r="B127" s="9">
        <v>39127</v>
      </c>
      <c r="C127" s="6"/>
      <c r="D127" s="12">
        <v>12741.86</v>
      </c>
      <c r="E127" s="6"/>
      <c r="F127" s="13">
        <v>6421.2</v>
      </c>
      <c r="G127" s="10">
        <v>1.9607000000000001</v>
      </c>
      <c r="H127" s="15">
        <f t="shared" si="3"/>
        <v>12590.046840000001</v>
      </c>
      <c r="I127" s="6"/>
      <c r="J127" s="13">
        <v>5725.84</v>
      </c>
      <c r="K127" s="11">
        <v>0.76190000000000002</v>
      </c>
      <c r="L127" s="15">
        <f t="shared" si="4"/>
        <v>7515.2119700748126</v>
      </c>
      <c r="M127" s="6"/>
      <c r="N127" s="13">
        <v>17752.64</v>
      </c>
      <c r="O127" s="11">
        <v>120.78</v>
      </c>
      <c r="P127" s="15">
        <f t="shared" si="5"/>
        <v>146.98327537671798</v>
      </c>
    </row>
    <row r="128" spans="1:16">
      <c r="A128" s="1">
        <v>124</v>
      </c>
      <c r="B128" s="9">
        <v>39128</v>
      </c>
      <c r="C128" s="6"/>
      <c r="D128" s="12">
        <v>12765.01</v>
      </c>
      <c r="E128" s="6"/>
      <c r="F128" s="13">
        <v>6433.3</v>
      </c>
      <c r="G128" s="10">
        <v>1.9541999999999999</v>
      </c>
      <c r="H128" s="15">
        <f t="shared" si="3"/>
        <v>12571.95486</v>
      </c>
      <c r="I128" s="6"/>
      <c r="J128" s="13">
        <v>5720.88</v>
      </c>
      <c r="K128" s="11">
        <v>0.76090000000000002</v>
      </c>
      <c r="L128" s="15">
        <f t="shared" si="4"/>
        <v>7518.5701143382839</v>
      </c>
      <c r="M128" s="6"/>
      <c r="N128" s="13">
        <v>17897.23</v>
      </c>
      <c r="O128" s="11">
        <v>119.48</v>
      </c>
      <c r="P128" s="15">
        <f t="shared" si="5"/>
        <v>149.79268496819552</v>
      </c>
    </row>
    <row r="129" spans="1:16">
      <c r="A129" s="1">
        <v>125</v>
      </c>
      <c r="B129" s="9">
        <v>39129</v>
      </c>
      <c r="C129" s="6"/>
      <c r="D129" s="12">
        <v>12767.57</v>
      </c>
      <c r="E129" s="6"/>
      <c r="F129" s="13">
        <v>6419.5</v>
      </c>
      <c r="G129" s="10">
        <v>1.95</v>
      </c>
      <c r="H129" s="15">
        <f t="shared" si="3"/>
        <v>12518.025</v>
      </c>
      <c r="I129" s="6"/>
      <c r="J129" s="13">
        <v>5713.59</v>
      </c>
      <c r="K129" s="11">
        <v>0.76200000000000001</v>
      </c>
      <c r="L129" s="15">
        <f t="shared" si="4"/>
        <v>7498.1496062992128</v>
      </c>
      <c r="M129" s="6"/>
      <c r="N129" s="13">
        <v>17875.650000000001</v>
      </c>
      <c r="O129" s="11">
        <v>119.31</v>
      </c>
      <c r="P129" s="15">
        <f t="shared" si="5"/>
        <v>149.8252451596681</v>
      </c>
    </row>
    <row r="130" spans="1:16">
      <c r="A130" s="1">
        <v>126</v>
      </c>
      <c r="B130" s="9">
        <v>39133</v>
      </c>
      <c r="C130" s="6"/>
      <c r="D130" s="12">
        <v>12786.64</v>
      </c>
      <c r="E130" s="6"/>
      <c r="F130" s="13">
        <v>6412.3</v>
      </c>
      <c r="G130" s="10">
        <v>1.9571000000000001</v>
      </c>
      <c r="H130" s="15">
        <f t="shared" si="3"/>
        <v>12549.512330000001</v>
      </c>
      <c r="I130" s="6"/>
      <c r="J130" s="13">
        <v>5713.45</v>
      </c>
      <c r="K130" s="11">
        <v>0.76019999999999999</v>
      </c>
      <c r="L130" s="15">
        <f t="shared" si="4"/>
        <v>7515.7195474875034</v>
      </c>
      <c r="M130" s="6"/>
      <c r="N130" s="13">
        <v>17939.12</v>
      </c>
      <c r="O130" s="11">
        <v>120.11</v>
      </c>
      <c r="P130" s="15">
        <f t="shared" si="5"/>
        <v>149.355757222546</v>
      </c>
    </row>
    <row r="131" spans="1:16">
      <c r="A131" s="1">
        <v>127</v>
      </c>
      <c r="B131" s="9">
        <v>39134</v>
      </c>
      <c r="C131" s="6"/>
      <c r="D131" s="12">
        <v>12738.41</v>
      </c>
      <c r="E131" s="6"/>
      <c r="F131" s="13">
        <v>6357.1</v>
      </c>
      <c r="G131" s="10">
        <v>1.9522999999999999</v>
      </c>
      <c r="H131" s="15">
        <f t="shared" si="3"/>
        <v>12410.966330000001</v>
      </c>
      <c r="I131" s="6"/>
      <c r="J131" s="13">
        <v>5694.56</v>
      </c>
      <c r="K131" s="11">
        <v>0.76160000000000005</v>
      </c>
      <c r="L131" s="15">
        <f t="shared" si="4"/>
        <v>7477.1008403361348</v>
      </c>
      <c r="M131" s="6"/>
      <c r="N131" s="13">
        <v>17913.21</v>
      </c>
      <c r="O131" s="11">
        <v>120.99</v>
      </c>
      <c r="P131" s="15">
        <f t="shared" si="5"/>
        <v>148.05529382593602</v>
      </c>
    </row>
    <row r="132" spans="1:16">
      <c r="A132" s="1">
        <v>128</v>
      </c>
      <c r="B132" s="9">
        <v>39135</v>
      </c>
      <c r="C132" s="6"/>
      <c r="D132" s="12">
        <v>12686.02</v>
      </c>
      <c r="E132" s="6"/>
      <c r="F132" s="13">
        <v>6380.9</v>
      </c>
      <c r="G132" s="10">
        <v>1.9524999999999999</v>
      </c>
      <c r="H132" s="15">
        <f t="shared" si="3"/>
        <v>12458.707249999999</v>
      </c>
      <c r="I132" s="6"/>
      <c r="J132" s="13">
        <v>5707.86</v>
      </c>
      <c r="K132" s="11">
        <v>0.76290000000000002</v>
      </c>
      <c r="L132" s="15">
        <f t="shared" si="4"/>
        <v>7481.79315768777</v>
      </c>
      <c r="M132" s="6"/>
      <c r="N132" s="13">
        <v>18108.79</v>
      </c>
      <c r="O132" s="11">
        <v>121.44</v>
      </c>
      <c r="P132" s="15">
        <f t="shared" si="5"/>
        <v>149.11717720685112</v>
      </c>
    </row>
    <row r="133" spans="1:16">
      <c r="A133" s="1">
        <v>129</v>
      </c>
      <c r="B133" s="9">
        <v>39136</v>
      </c>
      <c r="C133" s="6"/>
      <c r="D133" s="12">
        <v>12647.48</v>
      </c>
      <c r="E133" s="6"/>
      <c r="F133" s="13">
        <v>6401.5</v>
      </c>
      <c r="G133" s="10">
        <v>1.9628000000000001</v>
      </c>
      <c r="H133" s="15">
        <f t="shared" ref="H133:H196" si="6">F133*G133</f>
        <v>12564.8642</v>
      </c>
      <c r="I133" s="6"/>
      <c r="J133" s="13">
        <v>5716.38</v>
      </c>
      <c r="K133" s="11">
        <v>0.75949999999999995</v>
      </c>
      <c r="L133" s="15">
        <f t="shared" ref="L133:L196" si="7">J133/K133</f>
        <v>7526.5042791310079</v>
      </c>
      <c r="M133" s="6"/>
      <c r="N133" s="13">
        <v>18188.419999999998</v>
      </c>
      <c r="O133" s="11">
        <v>121.08</v>
      </c>
      <c r="P133" s="15">
        <f t="shared" ref="P133:P196" si="8">N133/O133</f>
        <v>150.2182028410968</v>
      </c>
    </row>
    <row r="134" spans="1:16">
      <c r="A134" s="1">
        <v>130</v>
      </c>
      <c r="B134" s="9">
        <v>39139</v>
      </c>
      <c r="C134" s="6"/>
      <c r="D134" s="12">
        <v>12632.26</v>
      </c>
      <c r="E134" s="6"/>
      <c r="F134" s="13">
        <v>6434.7</v>
      </c>
      <c r="G134" s="10">
        <v>1.9631000000000001</v>
      </c>
      <c r="H134" s="15">
        <f t="shared" si="6"/>
        <v>12631.959570000001</v>
      </c>
      <c r="I134" s="6"/>
      <c r="J134" s="13">
        <v>5762.54</v>
      </c>
      <c r="K134" s="11">
        <v>0.75919999999999999</v>
      </c>
      <c r="L134" s="15">
        <f t="shared" si="7"/>
        <v>7590.2792413066391</v>
      </c>
      <c r="M134" s="6"/>
      <c r="N134" s="13">
        <v>18215.349999999999</v>
      </c>
      <c r="O134" s="11">
        <v>120.54</v>
      </c>
      <c r="P134" s="15">
        <f t="shared" si="8"/>
        <v>151.11456777833084</v>
      </c>
    </row>
    <row r="135" spans="1:16">
      <c r="A135" s="1">
        <v>131</v>
      </c>
      <c r="B135" s="9">
        <v>39140</v>
      </c>
      <c r="C135" s="6"/>
      <c r="D135" s="12">
        <v>12216.24</v>
      </c>
      <c r="E135" s="6"/>
      <c r="F135" s="13">
        <v>6286.1</v>
      </c>
      <c r="G135" s="10">
        <v>1.9656</v>
      </c>
      <c r="H135" s="15">
        <f t="shared" si="6"/>
        <v>12355.95816</v>
      </c>
      <c r="I135" s="6"/>
      <c r="J135" s="13">
        <v>5588.39</v>
      </c>
      <c r="K135" s="11">
        <v>0.755</v>
      </c>
      <c r="L135" s="15">
        <f t="shared" si="7"/>
        <v>7401.8410596026497</v>
      </c>
      <c r="M135" s="6"/>
      <c r="N135" s="13">
        <v>18119.919999999998</v>
      </c>
      <c r="O135" s="11">
        <v>118.73</v>
      </c>
      <c r="P135" s="15">
        <f t="shared" si="8"/>
        <v>152.61450349532552</v>
      </c>
    </row>
    <row r="136" spans="1:16">
      <c r="A136" s="1">
        <v>132</v>
      </c>
      <c r="B136" s="9">
        <v>39141</v>
      </c>
      <c r="C136" s="6"/>
      <c r="D136" s="12">
        <v>12268.63</v>
      </c>
      <c r="E136" s="6"/>
      <c r="F136" s="13">
        <v>6171.5</v>
      </c>
      <c r="G136" s="10">
        <v>1.96</v>
      </c>
      <c r="H136" s="15">
        <f t="shared" si="6"/>
        <v>12096.14</v>
      </c>
      <c r="I136" s="6"/>
      <c r="J136" s="13">
        <v>5516.32</v>
      </c>
      <c r="K136" s="11">
        <v>0.75690000000000002</v>
      </c>
      <c r="L136" s="15">
        <f t="shared" si="7"/>
        <v>7288.0433346545115</v>
      </c>
      <c r="M136" s="6"/>
      <c r="N136" s="13">
        <v>17604.12</v>
      </c>
      <c r="O136" s="11">
        <v>118.47</v>
      </c>
      <c r="P136" s="15">
        <f t="shared" si="8"/>
        <v>148.59559382122055</v>
      </c>
    </row>
    <row r="137" spans="1:16">
      <c r="A137" s="1">
        <v>133</v>
      </c>
      <c r="B137" s="9">
        <v>39142</v>
      </c>
      <c r="C137" s="6"/>
      <c r="D137" s="12">
        <v>12234.34</v>
      </c>
      <c r="E137" s="6"/>
      <c r="F137" s="13">
        <v>6116</v>
      </c>
      <c r="G137" s="10">
        <v>1.9576</v>
      </c>
      <c r="H137" s="15">
        <f t="shared" si="6"/>
        <v>11972.6816</v>
      </c>
      <c r="I137" s="6"/>
      <c r="J137" s="13">
        <v>5458.4</v>
      </c>
      <c r="K137" s="11">
        <v>0.75970000000000004</v>
      </c>
      <c r="L137" s="15">
        <f t="shared" si="7"/>
        <v>7184.9414242464118</v>
      </c>
      <c r="M137" s="6"/>
      <c r="N137" s="13">
        <v>17453.509999999998</v>
      </c>
      <c r="O137" s="11">
        <v>117.64</v>
      </c>
      <c r="P137" s="15">
        <f t="shared" si="8"/>
        <v>148.36373682420944</v>
      </c>
    </row>
    <row r="138" spans="1:16">
      <c r="A138" s="1">
        <v>134</v>
      </c>
      <c r="B138" s="9">
        <v>39143</v>
      </c>
      <c r="C138" s="6"/>
      <c r="D138" s="12">
        <v>12114.1</v>
      </c>
      <c r="E138" s="6"/>
      <c r="F138" s="13">
        <v>6116.2</v>
      </c>
      <c r="G138" s="10">
        <v>1.9441999999999999</v>
      </c>
      <c r="H138" s="15">
        <f t="shared" si="6"/>
        <v>11891.116039999999</v>
      </c>
      <c r="I138" s="6"/>
      <c r="J138" s="13">
        <v>5424.7</v>
      </c>
      <c r="K138" s="11">
        <v>0.75929999999999997</v>
      </c>
      <c r="L138" s="15">
        <f t="shared" si="7"/>
        <v>7144.3434742526015</v>
      </c>
      <c r="M138" s="6"/>
      <c r="N138" s="13">
        <v>17217.93</v>
      </c>
      <c r="O138" s="11">
        <v>117.02</v>
      </c>
      <c r="P138" s="15">
        <f t="shared" si="8"/>
        <v>147.13664330883611</v>
      </c>
    </row>
    <row r="139" spans="1:16">
      <c r="A139" s="1">
        <v>135</v>
      </c>
      <c r="B139" s="9">
        <v>39146</v>
      </c>
      <c r="C139" s="6"/>
      <c r="D139" s="12">
        <v>12050.41</v>
      </c>
      <c r="E139" s="6"/>
      <c r="F139" s="13">
        <v>6058.7</v>
      </c>
      <c r="G139" s="10">
        <v>1.9259999999999999</v>
      </c>
      <c r="H139" s="15">
        <f t="shared" si="6"/>
        <v>11669.056199999999</v>
      </c>
      <c r="I139" s="6"/>
      <c r="J139" s="13">
        <v>5385.03</v>
      </c>
      <c r="K139" s="11">
        <v>0.76339999999999997</v>
      </c>
      <c r="L139" s="15">
        <f t="shared" si="7"/>
        <v>7054.0083835472888</v>
      </c>
      <c r="M139" s="6"/>
      <c r="N139" s="13">
        <v>16642.25</v>
      </c>
      <c r="O139" s="11">
        <v>116.01</v>
      </c>
      <c r="P139" s="15">
        <f t="shared" si="8"/>
        <v>143.45530557710541</v>
      </c>
    </row>
    <row r="140" spans="1:16">
      <c r="A140" s="1">
        <v>136</v>
      </c>
      <c r="B140" s="9">
        <v>39147</v>
      </c>
      <c r="C140" s="6"/>
      <c r="D140" s="12">
        <v>12207.59</v>
      </c>
      <c r="E140" s="6"/>
      <c r="F140" s="13">
        <v>6138.5</v>
      </c>
      <c r="G140" s="10">
        <v>1.9255</v>
      </c>
      <c r="H140" s="15">
        <f t="shared" si="6"/>
        <v>11819.68175</v>
      </c>
      <c r="I140" s="6"/>
      <c r="J140" s="13">
        <v>5437.13</v>
      </c>
      <c r="K140" s="11">
        <v>0.76300000000000001</v>
      </c>
      <c r="L140" s="15">
        <f t="shared" si="7"/>
        <v>7125.989515072084</v>
      </c>
      <c r="M140" s="6"/>
      <c r="N140" s="13">
        <v>16844.5</v>
      </c>
      <c r="O140" s="11">
        <v>116.25</v>
      </c>
      <c r="P140" s="15">
        <f t="shared" si="8"/>
        <v>144.8989247311828</v>
      </c>
    </row>
    <row r="141" spans="1:16">
      <c r="A141" s="1">
        <v>137</v>
      </c>
      <c r="B141" s="9">
        <v>39148</v>
      </c>
      <c r="C141" s="6"/>
      <c r="D141" s="12">
        <v>12192.45</v>
      </c>
      <c r="E141" s="6"/>
      <c r="F141" s="13">
        <v>6156.5</v>
      </c>
      <c r="G141" s="10">
        <v>1.9305000000000001</v>
      </c>
      <c r="H141" s="15">
        <f t="shared" si="6"/>
        <v>11885.123250000001</v>
      </c>
      <c r="I141" s="6"/>
      <c r="J141" s="13">
        <v>5455.07</v>
      </c>
      <c r="K141" s="11">
        <v>0.76070000000000004</v>
      </c>
      <c r="L141" s="15">
        <f t="shared" si="7"/>
        <v>7171.1187064545802</v>
      </c>
      <c r="M141" s="6"/>
      <c r="N141" s="13">
        <v>16764.62</v>
      </c>
      <c r="O141" s="11">
        <v>116.56</v>
      </c>
      <c r="P141" s="15">
        <f t="shared" si="8"/>
        <v>143.82824296499655</v>
      </c>
    </row>
    <row r="142" spans="1:16">
      <c r="A142" s="1">
        <v>138</v>
      </c>
      <c r="B142" s="9">
        <v>39149</v>
      </c>
      <c r="C142" s="6"/>
      <c r="D142" s="12">
        <v>12260.7</v>
      </c>
      <c r="E142" s="6"/>
      <c r="F142" s="13">
        <v>6227.7</v>
      </c>
      <c r="G142" s="10">
        <v>1.9300999999999999</v>
      </c>
      <c r="H142" s="15">
        <f t="shared" si="6"/>
        <v>12020.083769999999</v>
      </c>
      <c r="I142" s="6"/>
      <c r="J142" s="13">
        <v>5524.26</v>
      </c>
      <c r="K142" s="11">
        <v>0.76180000000000003</v>
      </c>
      <c r="L142" s="15">
        <f t="shared" si="7"/>
        <v>7251.5883433972167</v>
      </c>
      <c r="M142" s="6"/>
      <c r="N142" s="13">
        <v>17090.310000000001</v>
      </c>
      <c r="O142" s="11">
        <v>117.34</v>
      </c>
      <c r="P142" s="15">
        <f t="shared" si="8"/>
        <v>145.64777569456282</v>
      </c>
    </row>
    <row r="143" spans="1:16">
      <c r="A143" s="1">
        <v>139</v>
      </c>
      <c r="B143" s="9">
        <v>39150</v>
      </c>
      <c r="C143" s="6"/>
      <c r="D143" s="12">
        <v>12276.32</v>
      </c>
      <c r="E143" s="6"/>
      <c r="F143" s="13">
        <v>6245.2</v>
      </c>
      <c r="G143" s="10">
        <v>1.9319</v>
      </c>
      <c r="H143" s="15">
        <f t="shared" si="6"/>
        <v>12065.10188</v>
      </c>
      <c r="I143" s="6"/>
      <c r="J143" s="13">
        <v>5537.84</v>
      </c>
      <c r="K143" s="11">
        <v>0.76249999999999996</v>
      </c>
      <c r="L143" s="15">
        <f t="shared" si="7"/>
        <v>7262.7409836065581</v>
      </c>
      <c r="M143" s="6"/>
      <c r="N143" s="13">
        <v>17164.04</v>
      </c>
      <c r="O143" s="11">
        <v>118.1</v>
      </c>
      <c r="P143" s="15">
        <f t="shared" si="8"/>
        <v>145.33480101608808</v>
      </c>
    </row>
    <row r="144" spans="1:16">
      <c r="A144" s="1">
        <v>140</v>
      </c>
      <c r="B144" s="9">
        <v>39153</v>
      </c>
      <c r="C144" s="6"/>
      <c r="D144" s="12">
        <v>12318.62</v>
      </c>
      <c r="E144" s="6"/>
      <c r="F144" s="13">
        <v>6233.3</v>
      </c>
      <c r="G144" s="10">
        <v>1.9291</v>
      </c>
      <c r="H144" s="15">
        <f t="shared" si="6"/>
        <v>12024.659030000001</v>
      </c>
      <c r="I144" s="6"/>
      <c r="J144" s="13">
        <v>5496.07</v>
      </c>
      <c r="K144" s="11">
        <v>0.75839999999999996</v>
      </c>
      <c r="L144" s="15">
        <f t="shared" si="7"/>
        <v>7246.9277426160334</v>
      </c>
      <c r="M144" s="6"/>
      <c r="N144" s="13">
        <v>17292.39</v>
      </c>
      <c r="O144" s="11">
        <v>117.56</v>
      </c>
      <c r="P144" s="15">
        <f t="shared" si="8"/>
        <v>147.09416468186458</v>
      </c>
    </row>
    <row r="145" spans="1:16">
      <c r="A145" s="1">
        <v>141</v>
      </c>
      <c r="B145" s="9">
        <v>39154</v>
      </c>
      <c r="C145" s="6"/>
      <c r="D145" s="12">
        <v>12075.96</v>
      </c>
      <c r="E145" s="6"/>
      <c r="F145" s="13">
        <v>6161.2</v>
      </c>
      <c r="G145" s="10">
        <v>1.9320999999999999</v>
      </c>
      <c r="H145" s="15">
        <f t="shared" si="6"/>
        <v>11904.05452</v>
      </c>
      <c r="I145" s="6"/>
      <c r="J145" s="13">
        <v>5432.94</v>
      </c>
      <c r="K145" s="11">
        <v>0.75760000000000005</v>
      </c>
      <c r="L145" s="15">
        <f t="shared" si="7"/>
        <v>7171.2513199577606</v>
      </c>
      <c r="M145" s="6"/>
      <c r="N145" s="13">
        <v>17178.84</v>
      </c>
      <c r="O145" s="11">
        <v>116.98</v>
      </c>
      <c r="P145" s="15">
        <f t="shared" si="8"/>
        <v>146.8527953496324</v>
      </c>
    </row>
    <row r="146" spans="1:16">
      <c r="A146" s="1">
        <v>142</v>
      </c>
      <c r="B146" s="9">
        <v>39155</v>
      </c>
      <c r="C146" s="6"/>
      <c r="D146" s="12">
        <v>12133.4</v>
      </c>
      <c r="E146" s="6"/>
      <c r="F146" s="13">
        <v>6000.7</v>
      </c>
      <c r="G146" s="10">
        <v>1.9337</v>
      </c>
      <c r="H146" s="15">
        <f t="shared" si="6"/>
        <v>11603.55359</v>
      </c>
      <c r="I146" s="6"/>
      <c r="J146" s="13">
        <v>5296.22</v>
      </c>
      <c r="K146" s="11">
        <v>0.75609999999999999</v>
      </c>
      <c r="L146" s="15">
        <f t="shared" si="7"/>
        <v>7004.655468853327</v>
      </c>
      <c r="M146" s="6"/>
      <c r="N146" s="13">
        <v>16676.89</v>
      </c>
      <c r="O146" s="11">
        <v>116.34</v>
      </c>
      <c r="P146" s="15">
        <f t="shared" si="8"/>
        <v>143.3461406223139</v>
      </c>
    </row>
    <row r="147" spans="1:16">
      <c r="A147" s="1">
        <v>143</v>
      </c>
      <c r="B147" s="9">
        <v>39156</v>
      </c>
      <c r="C147" s="6"/>
      <c r="D147" s="12">
        <v>12159.68</v>
      </c>
      <c r="E147" s="6"/>
      <c r="F147" s="13">
        <v>6133.2</v>
      </c>
      <c r="G147" s="10">
        <v>1.9365000000000001</v>
      </c>
      <c r="H147" s="15">
        <f t="shared" si="6"/>
        <v>11876.941800000001</v>
      </c>
      <c r="I147" s="6"/>
      <c r="J147" s="13">
        <v>5389.85</v>
      </c>
      <c r="K147" s="11">
        <v>0.75480000000000003</v>
      </c>
      <c r="L147" s="15">
        <f t="shared" si="7"/>
        <v>7140.7657657657664</v>
      </c>
      <c r="M147" s="6"/>
      <c r="N147" s="13">
        <v>16860.39</v>
      </c>
      <c r="O147" s="11">
        <v>117.28</v>
      </c>
      <c r="P147" s="15">
        <f t="shared" si="8"/>
        <v>143.76185197817188</v>
      </c>
    </row>
    <row r="148" spans="1:16">
      <c r="A148" s="1">
        <v>144</v>
      </c>
      <c r="B148" s="9">
        <v>39157</v>
      </c>
      <c r="C148" s="6"/>
      <c r="D148" s="12">
        <v>12110.41</v>
      </c>
      <c r="E148" s="6"/>
      <c r="F148" s="13">
        <v>6130.6</v>
      </c>
      <c r="G148" s="10">
        <v>1.9423999999999999</v>
      </c>
      <c r="H148" s="15">
        <f t="shared" si="6"/>
        <v>11908.077440000001</v>
      </c>
      <c r="I148" s="6"/>
      <c r="J148" s="13">
        <v>5382.16</v>
      </c>
      <c r="K148" s="11">
        <v>0.75129999999999997</v>
      </c>
      <c r="L148" s="15">
        <f t="shared" si="7"/>
        <v>7163.7960867829097</v>
      </c>
      <c r="M148" s="6"/>
      <c r="N148" s="13">
        <v>16744.150000000001</v>
      </c>
      <c r="O148" s="11">
        <v>116.76</v>
      </c>
      <c r="P148" s="15">
        <f t="shared" si="8"/>
        <v>143.406560465913</v>
      </c>
    </row>
    <row r="149" spans="1:16">
      <c r="A149" s="1">
        <v>145</v>
      </c>
      <c r="B149" s="9">
        <v>39160</v>
      </c>
      <c r="C149" s="6"/>
      <c r="D149" s="12">
        <v>12226.17</v>
      </c>
      <c r="E149" s="6"/>
      <c r="F149" s="13">
        <v>6189.4</v>
      </c>
      <c r="G149" s="10">
        <v>1.9460999999999999</v>
      </c>
      <c r="H149" s="15">
        <f t="shared" si="6"/>
        <v>12045.191339999999</v>
      </c>
      <c r="I149" s="6"/>
      <c r="J149" s="13">
        <v>5458.95</v>
      </c>
      <c r="K149" s="11">
        <v>0.75190000000000001</v>
      </c>
      <c r="L149" s="15">
        <f t="shared" si="7"/>
        <v>7260.2074743981912</v>
      </c>
      <c r="M149" s="6"/>
      <c r="N149" s="13">
        <v>17009.55</v>
      </c>
      <c r="O149" s="11">
        <v>117.59</v>
      </c>
      <c r="P149" s="15">
        <f t="shared" si="8"/>
        <v>144.65133089548431</v>
      </c>
    </row>
    <row r="150" spans="1:16">
      <c r="A150" s="1">
        <v>146</v>
      </c>
      <c r="B150" s="9">
        <v>39161</v>
      </c>
      <c r="C150" s="6"/>
      <c r="D150" s="12">
        <v>12288.1</v>
      </c>
      <c r="E150" s="6"/>
      <c r="F150" s="13">
        <v>6220.3</v>
      </c>
      <c r="G150" s="10">
        <v>1.9579</v>
      </c>
      <c r="H150" s="15">
        <f t="shared" si="6"/>
        <v>12178.72537</v>
      </c>
      <c r="I150" s="6"/>
      <c r="J150" s="13">
        <v>5503.27</v>
      </c>
      <c r="K150" s="11">
        <v>0.75239999999999996</v>
      </c>
      <c r="L150" s="15">
        <f t="shared" si="7"/>
        <v>7314.2876129718243</v>
      </c>
      <c r="M150" s="6"/>
      <c r="N150" s="13">
        <v>17163.2</v>
      </c>
      <c r="O150" s="11">
        <v>117.33</v>
      </c>
      <c r="P150" s="15">
        <f t="shared" si="8"/>
        <v>146.28142844967186</v>
      </c>
    </row>
    <row r="151" spans="1:16">
      <c r="A151" s="1">
        <v>147</v>
      </c>
      <c r="B151" s="9">
        <v>39163</v>
      </c>
      <c r="C151" s="6"/>
      <c r="D151" s="12">
        <v>12461.14</v>
      </c>
      <c r="E151" s="6"/>
      <c r="F151" s="13">
        <v>6318</v>
      </c>
      <c r="G151" s="10">
        <v>1.9673</v>
      </c>
      <c r="H151" s="15">
        <f t="shared" si="6"/>
        <v>12429.401400000001</v>
      </c>
      <c r="I151" s="6"/>
      <c r="J151" s="13">
        <v>5598.37</v>
      </c>
      <c r="K151" s="11">
        <v>0.74860000000000004</v>
      </c>
      <c r="L151" s="15">
        <f t="shared" si="7"/>
        <v>7478.4531124766227</v>
      </c>
      <c r="M151" s="6"/>
      <c r="N151" s="13">
        <v>17419.2</v>
      </c>
      <c r="O151" s="11">
        <v>117.76</v>
      </c>
      <c r="P151" s="15">
        <f t="shared" si="8"/>
        <v>147.92119565217391</v>
      </c>
    </row>
    <row r="152" spans="1:16">
      <c r="A152" s="1">
        <v>148</v>
      </c>
      <c r="B152" s="9">
        <v>39164</v>
      </c>
      <c r="C152" s="6"/>
      <c r="D152" s="12">
        <v>12481.01</v>
      </c>
      <c r="E152" s="6"/>
      <c r="F152" s="13">
        <v>6339.4</v>
      </c>
      <c r="G152" s="10">
        <v>1.9632000000000001</v>
      </c>
      <c r="H152" s="15">
        <f t="shared" si="6"/>
        <v>12445.51008</v>
      </c>
      <c r="I152" s="6"/>
      <c r="J152" s="13">
        <v>5634.75</v>
      </c>
      <c r="K152" s="11">
        <v>0.75180000000000002</v>
      </c>
      <c r="L152" s="15">
        <f t="shared" si="7"/>
        <v>7495.0119712689539</v>
      </c>
      <c r="M152" s="6"/>
      <c r="N152" s="13">
        <v>17480.61</v>
      </c>
      <c r="O152" s="11">
        <v>117.83</v>
      </c>
      <c r="P152" s="15">
        <f t="shared" si="8"/>
        <v>148.35449376219978</v>
      </c>
    </row>
    <row r="153" spans="1:16">
      <c r="A153" s="1">
        <v>149</v>
      </c>
      <c r="B153" s="9">
        <v>39167</v>
      </c>
      <c r="C153" s="6"/>
      <c r="D153" s="12">
        <v>12469.07</v>
      </c>
      <c r="E153" s="6"/>
      <c r="F153" s="13">
        <v>6291.9</v>
      </c>
      <c r="G153" s="10">
        <v>1.9684999999999999</v>
      </c>
      <c r="H153" s="15">
        <f t="shared" si="6"/>
        <v>12385.605149999999</v>
      </c>
      <c r="I153" s="6"/>
      <c r="J153" s="13">
        <v>5576.3</v>
      </c>
      <c r="K153" s="11">
        <v>0.75</v>
      </c>
      <c r="L153" s="15">
        <f t="shared" si="7"/>
        <v>7435.0666666666666</v>
      </c>
      <c r="M153" s="6"/>
      <c r="N153" s="13">
        <v>17521.96</v>
      </c>
      <c r="O153" s="11">
        <v>117.87</v>
      </c>
      <c r="P153" s="15">
        <f t="shared" si="8"/>
        <v>148.65495885297361</v>
      </c>
    </row>
    <row r="154" spans="1:16">
      <c r="A154" s="1">
        <v>150</v>
      </c>
      <c r="B154" s="9">
        <v>39168</v>
      </c>
      <c r="C154" s="6"/>
      <c r="D154" s="12">
        <v>12397.29</v>
      </c>
      <c r="E154" s="6"/>
      <c r="F154" s="13">
        <v>6292.6</v>
      </c>
      <c r="G154" s="10">
        <v>1.9653</v>
      </c>
      <c r="H154" s="15">
        <f t="shared" si="6"/>
        <v>12366.846780000002</v>
      </c>
      <c r="I154" s="6"/>
      <c r="J154" s="13">
        <v>5587.06</v>
      </c>
      <c r="K154" s="11">
        <v>0.74919999999999998</v>
      </c>
      <c r="L154" s="15">
        <f t="shared" si="7"/>
        <v>7457.3678590496538</v>
      </c>
      <c r="M154" s="6"/>
      <c r="N154" s="13">
        <v>17365.05</v>
      </c>
      <c r="O154" s="11">
        <v>117.93</v>
      </c>
      <c r="P154" s="15">
        <f t="shared" si="8"/>
        <v>147.24879165606714</v>
      </c>
    </row>
    <row r="155" spans="1:16">
      <c r="A155" s="1">
        <v>151</v>
      </c>
      <c r="B155" s="9">
        <v>39169</v>
      </c>
      <c r="C155" s="6"/>
      <c r="D155" s="12">
        <v>12300.36</v>
      </c>
      <c r="E155" s="6"/>
      <c r="F155" s="13">
        <v>6267.2</v>
      </c>
      <c r="G155" s="10">
        <v>1.9654</v>
      </c>
      <c r="H155" s="15">
        <f t="shared" si="6"/>
        <v>12317.55488</v>
      </c>
      <c r="I155" s="6"/>
      <c r="J155" s="13">
        <v>5552.69</v>
      </c>
      <c r="K155" s="11">
        <v>0.74809999999999999</v>
      </c>
      <c r="L155" s="15">
        <f t="shared" si="7"/>
        <v>7422.3900548055071</v>
      </c>
      <c r="M155" s="6"/>
      <c r="N155" s="13">
        <v>17254.73</v>
      </c>
      <c r="O155" s="11">
        <v>116.46</v>
      </c>
      <c r="P155" s="15">
        <f t="shared" si="8"/>
        <v>148.1601408208827</v>
      </c>
    </row>
    <row r="156" spans="1:16">
      <c r="A156" s="1">
        <v>152</v>
      </c>
      <c r="B156" s="9">
        <v>39170</v>
      </c>
      <c r="C156" s="6"/>
      <c r="D156" s="12">
        <v>12348.75</v>
      </c>
      <c r="E156" s="6"/>
      <c r="F156" s="13">
        <v>6324.2</v>
      </c>
      <c r="G156" s="10">
        <v>1.9630000000000001</v>
      </c>
      <c r="H156" s="15">
        <f t="shared" si="6"/>
        <v>12414.4046</v>
      </c>
      <c r="I156" s="6"/>
      <c r="J156" s="13">
        <v>5631.53</v>
      </c>
      <c r="K156" s="11">
        <v>0.75</v>
      </c>
      <c r="L156" s="15">
        <f t="shared" si="7"/>
        <v>7508.706666666666</v>
      </c>
      <c r="M156" s="6"/>
      <c r="N156" s="13">
        <v>17263.939999999999</v>
      </c>
      <c r="O156" s="11">
        <v>117.9</v>
      </c>
      <c r="P156" s="15">
        <f t="shared" si="8"/>
        <v>146.42866836301948</v>
      </c>
    </row>
    <row r="157" spans="1:16">
      <c r="A157" s="1">
        <v>153</v>
      </c>
      <c r="B157" s="9">
        <v>39171</v>
      </c>
      <c r="C157" s="6"/>
      <c r="D157" s="12">
        <v>12354.35</v>
      </c>
      <c r="E157" s="6"/>
      <c r="F157" s="13">
        <v>6308</v>
      </c>
      <c r="G157" s="10">
        <v>1.9613</v>
      </c>
      <c r="H157" s="15">
        <f t="shared" si="6"/>
        <v>12371.8804</v>
      </c>
      <c r="I157" s="6"/>
      <c r="J157" s="13">
        <v>5634.16</v>
      </c>
      <c r="K157" s="11">
        <v>0.75119999999999998</v>
      </c>
      <c r="L157" s="15">
        <f t="shared" si="7"/>
        <v>7500.2129925452609</v>
      </c>
      <c r="M157" s="6"/>
      <c r="N157" s="13">
        <v>17287.650000000001</v>
      </c>
      <c r="O157" s="11">
        <v>118.06</v>
      </c>
      <c r="P157" s="15">
        <f t="shared" si="8"/>
        <v>146.43105200745384</v>
      </c>
    </row>
    <row r="158" spans="1:16">
      <c r="A158" s="1">
        <v>154</v>
      </c>
      <c r="B158" s="9">
        <v>39174</v>
      </c>
      <c r="C158" s="6"/>
      <c r="D158" s="12">
        <v>12382.3</v>
      </c>
      <c r="E158" s="6"/>
      <c r="F158" s="13">
        <v>6315.5</v>
      </c>
      <c r="G158" s="10">
        <v>1.9777</v>
      </c>
      <c r="H158" s="15">
        <f t="shared" si="6"/>
        <v>12490.164350000001</v>
      </c>
      <c r="I158" s="6"/>
      <c r="J158" s="13">
        <v>5645.56</v>
      </c>
      <c r="K158" s="11">
        <v>0.74770000000000003</v>
      </c>
      <c r="L158" s="15">
        <f t="shared" si="7"/>
        <v>7550.568409790023</v>
      </c>
      <c r="M158" s="6"/>
      <c r="N158" s="13">
        <v>17028.41</v>
      </c>
      <c r="O158" s="11">
        <v>117.82</v>
      </c>
      <c r="P158" s="15">
        <f t="shared" si="8"/>
        <v>144.52902732982517</v>
      </c>
    </row>
    <row r="159" spans="1:16">
      <c r="A159" s="1">
        <v>155</v>
      </c>
      <c r="B159" s="9">
        <v>39175</v>
      </c>
      <c r="C159" s="6"/>
      <c r="D159" s="12">
        <v>12510.93</v>
      </c>
      <c r="E159" s="6"/>
      <c r="F159" s="13">
        <v>6366.1</v>
      </c>
      <c r="G159" s="10">
        <v>1.9784999999999999</v>
      </c>
      <c r="H159" s="15">
        <f t="shared" si="6"/>
        <v>12595.32885</v>
      </c>
      <c r="I159" s="6"/>
      <c r="J159" s="13">
        <v>5711.91</v>
      </c>
      <c r="K159" s="11">
        <v>0.74780000000000002</v>
      </c>
      <c r="L159" s="15">
        <f t="shared" si="7"/>
        <v>7638.2856378710885</v>
      </c>
      <c r="M159" s="6"/>
      <c r="N159" s="13">
        <v>17244.05</v>
      </c>
      <c r="O159" s="11">
        <v>118.78</v>
      </c>
      <c r="P159" s="15">
        <f t="shared" si="8"/>
        <v>145.17637649435932</v>
      </c>
    </row>
    <row r="160" spans="1:16">
      <c r="A160" s="1">
        <v>156</v>
      </c>
      <c r="B160" s="9">
        <v>39176</v>
      </c>
      <c r="C160" s="6"/>
      <c r="D160" s="12">
        <v>12530.05</v>
      </c>
      <c r="E160" s="6"/>
      <c r="F160" s="13">
        <v>6364.7</v>
      </c>
      <c r="G160" s="10">
        <v>1.9772000000000001</v>
      </c>
      <c r="H160" s="15">
        <f t="shared" si="6"/>
        <v>12584.28484</v>
      </c>
      <c r="I160" s="6"/>
      <c r="J160" s="13">
        <v>5739.01</v>
      </c>
      <c r="K160" s="11">
        <v>0.74770000000000003</v>
      </c>
      <c r="L160" s="15">
        <f t="shared" si="7"/>
        <v>7675.551691855022</v>
      </c>
      <c r="M160" s="6"/>
      <c r="N160" s="13">
        <v>17544.09</v>
      </c>
      <c r="O160" s="11">
        <v>118.62</v>
      </c>
      <c r="P160" s="15">
        <f t="shared" si="8"/>
        <v>147.9016186140617</v>
      </c>
    </row>
    <row r="161" spans="1:16">
      <c r="A161" s="1">
        <v>157</v>
      </c>
      <c r="B161" s="9">
        <v>39177</v>
      </c>
      <c r="C161" s="6"/>
      <c r="D161" s="12">
        <v>12560.83</v>
      </c>
      <c r="E161" s="6"/>
      <c r="F161" s="13">
        <v>6397.3</v>
      </c>
      <c r="G161" s="10">
        <v>1.9718</v>
      </c>
      <c r="H161" s="15">
        <f t="shared" si="6"/>
        <v>12614.19614</v>
      </c>
      <c r="I161" s="6"/>
      <c r="J161" s="13">
        <v>5741.38</v>
      </c>
      <c r="K161" s="11">
        <v>0.74429999999999996</v>
      </c>
      <c r="L161" s="15">
        <f t="shared" si="7"/>
        <v>7713.7981996506787</v>
      </c>
      <c r="M161" s="6"/>
      <c r="N161" s="13">
        <v>17491.419999999998</v>
      </c>
      <c r="O161" s="11">
        <v>118.55</v>
      </c>
      <c r="P161" s="15">
        <f t="shared" si="8"/>
        <v>147.54466469843948</v>
      </c>
    </row>
    <row r="162" spans="1:16">
      <c r="A162" s="1">
        <v>158</v>
      </c>
      <c r="B162" s="9">
        <v>39182</v>
      </c>
      <c r="C162" s="6"/>
      <c r="D162" s="12">
        <v>12573.85</v>
      </c>
      <c r="E162" s="6"/>
      <c r="F162" s="13">
        <v>6417.8</v>
      </c>
      <c r="G162" s="10">
        <v>1.9723999999999999</v>
      </c>
      <c r="H162" s="15">
        <f t="shared" si="6"/>
        <v>12658.468720000001</v>
      </c>
      <c r="I162" s="6"/>
      <c r="J162" s="13">
        <v>5766.27</v>
      </c>
      <c r="K162" s="11">
        <v>0.74399999999999999</v>
      </c>
      <c r="L162" s="15">
        <f t="shared" si="7"/>
        <v>7750.3629032258068</v>
      </c>
      <c r="M162" s="6"/>
      <c r="N162" s="13">
        <v>17664.689999999999</v>
      </c>
      <c r="O162" s="11">
        <v>119.08</v>
      </c>
      <c r="P162" s="15">
        <f t="shared" si="8"/>
        <v>148.34304669129995</v>
      </c>
    </row>
    <row r="163" spans="1:16">
      <c r="A163" s="1">
        <v>159</v>
      </c>
      <c r="B163" s="9">
        <v>39183</v>
      </c>
      <c r="C163" s="6"/>
      <c r="D163" s="12">
        <v>12484.62</v>
      </c>
      <c r="E163" s="6"/>
      <c r="F163" s="13">
        <v>6413.3</v>
      </c>
      <c r="G163" s="10">
        <v>1.9789000000000001</v>
      </c>
      <c r="H163" s="15">
        <f t="shared" si="6"/>
        <v>12691.27937</v>
      </c>
      <c r="I163" s="6"/>
      <c r="J163" s="13">
        <v>5751.92</v>
      </c>
      <c r="K163" s="11">
        <v>0.74409999999999998</v>
      </c>
      <c r="L163" s="15">
        <f t="shared" si="7"/>
        <v>7730.0362854455052</v>
      </c>
      <c r="M163" s="6"/>
      <c r="N163" s="13">
        <v>17670.07</v>
      </c>
      <c r="O163" s="11">
        <v>119.33</v>
      </c>
      <c r="P163" s="15">
        <f t="shared" si="8"/>
        <v>148.07734852928851</v>
      </c>
    </row>
    <row r="164" spans="1:16">
      <c r="A164" s="1">
        <v>160</v>
      </c>
      <c r="B164" s="9">
        <v>39184</v>
      </c>
      <c r="C164" s="6"/>
      <c r="D164" s="12">
        <v>12552.96</v>
      </c>
      <c r="E164" s="6"/>
      <c r="F164" s="13">
        <v>6416.4</v>
      </c>
      <c r="G164" s="10">
        <v>1.9793000000000001</v>
      </c>
      <c r="H164" s="15">
        <f t="shared" si="6"/>
        <v>12699.980519999999</v>
      </c>
      <c r="I164" s="6"/>
      <c r="J164" s="13">
        <v>5748.94</v>
      </c>
      <c r="K164" s="11">
        <v>0.74099999999999999</v>
      </c>
      <c r="L164" s="15">
        <f t="shared" si="7"/>
        <v>7758.3535762483125</v>
      </c>
      <c r="M164" s="6"/>
      <c r="N164" s="13">
        <v>17540.419999999998</v>
      </c>
      <c r="O164" s="11">
        <v>118.95</v>
      </c>
      <c r="P164" s="15">
        <f t="shared" si="8"/>
        <v>147.46044556536359</v>
      </c>
    </row>
    <row r="165" spans="1:16">
      <c r="A165" s="1">
        <v>161</v>
      </c>
      <c r="B165" s="9">
        <v>39185</v>
      </c>
      <c r="C165" s="6"/>
      <c r="D165" s="12">
        <v>12612.13</v>
      </c>
      <c r="E165" s="6"/>
      <c r="F165" s="13">
        <v>6462.4</v>
      </c>
      <c r="G165" s="10">
        <v>1.9827999999999999</v>
      </c>
      <c r="H165" s="15">
        <f t="shared" si="6"/>
        <v>12813.646719999999</v>
      </c>
      <c r="I165" s="6"/>
      <c r="J165" s="13">
        <v>5789.34</v>
      </c>
      <c r="K165" s="11">
        <v>0.74</v>
      </c>
      <c r="L165" s="15">
        <f t="shared" si="7"/>
        <v>7823.4324324324325</v>
      </c>
      <c r="M165" s="6"/>
      <c r="N165" s="13">
        <v>17363.95</v>
      </c>
      <c r="O165" s="11">
        <v>119.3</v>
      </c>
      <c r="P165" s="15">
        <f t="shared" si="8"/>
        <v>145.54861693210395</v>
      </c>
    </row>
    <row r="166" spans="1:16">
      <c r="A166" s="1">
        <v>162</v>
      </c>
      <c r="B166" s="9">
        <v>39188</v>
      </c>
      <c r="C166" s="6"/>
      <c r="D166" s="12">
        <v>12720.46</v>
      </c>
      <c r="E166" s="6"/>
      <c r="F166" s="13">
        <v>6516.2</v>
      </c>
      <c r="G166" s="10">
        <v>1.9901</v>
      </c>
      <c r="H166" s="15">
        <f t="shared" si="6"/>
        <v>12967.88962</v>
      </c>
      <c r="I166" s="6"/>
      <c r="J166" s="13">
        <v>5861.97</v>
      </c>
      <c r="K166" s="11">
        <v>0.73809999999999998</v>
      </c>
      <c r="L166" s="15">
        <f t="shared" si="7"/>
        <v>7941.9726324346302</v>
      </c>
      <c r="M166" s="6"/>
      <c r="N166" s="13">
        <v>17628.3</v>
      </c>
      <c r="O166" s="11">
        <v>119.81</v>
      </c>
      <c r="P166" s="15">
        <f t="shared" si="8"/>
        <v>147.13546448543525</v>
      </c>
    </row>
    <row r="167" spans="1:16">
      <c r="A167" s="1">
        <v>163</v>
      </c>
      <c r="B167" s="9">
        <v>39189</v>
      </c>
      <c r="C167" s="6"/>
      <c r="D167" s="12">
        <v>12773.04</v>
      </c>
      <c r="E167" s="6"/>
      <c r="F167" s="13">
        <v>6497.8</v>
      </c>
      <c r="G167" s="10">
        <v>2.0051000000000001</v>
      </c>
      <c r="H167" s="15">
        <f t="shared" si="6"/>
        <v>13028.738780000001</v>
      </c>
      <c r="I167" s="6"/>
      <c r="J167" s="13">
        <v>5858.14</v>
      </c>
      <c r="K167" s="11">
        <v>0.73699999999999999</v>
      </c>
      <c r="L167" s="15">
        <f t="shared" si="7"/>
        <v>7948.6295793758482</v>
      </c>
      <c r="M167" s="6"/>
      <c r="N167" s="13">
        <v>17527.45</v>
      </c>
      <c r="O167" s="11">
        <v>119.27</v>
      </c>
      <c r="P167" s="15">
        <f t="shared" si="8"/>
        <v>146.95606606858391</v>
      </c>
    </row>
    <row r="168" spans="1:16">
      <c r="A168" s="1">
        <v>164</v>
      </c>
      <c r="B168" s="9">
        <v>39190</v>
      </c>
      <c r="C168" s="6"/>
      <c r="D168" s="12">
        <v>12803.84</v>
      </c>
      <c r="E168" s="6"/>
      <c r="F168" s="13">
        <v>6449.4</v>
      </c>
      <c r="G168" s="10">
        <v>2.0053999999999998</v>
      </c>
      <c r="H168" s="15">
        <f t="shared" si="6"/>
        <v>12933.626759999999</v>
      </c>
      <c r="I168" s="6"/>
      <c r="J168" s="13">
        <v>5835.95</v>
      </c>
      <c r="K168" s="11">
        <v>0.73619999999999997</v>
      </c>
      <c r="L168" s="15">
        <f t="shared" si="7"/>
        <v>7927.125781037762</v>
      </c>
      <c r="M168" s="6"/>
      <c r="N168" s="13">
        <v>17667.330000000002</v>
      </c>
      <c r="O168" s="11">
        <v>118.25</v>
      </c>
      <c r="P168" s="15">
        <f t="shared" si="8"/>
        <v>149.40659619450318</v>
      </c>
    </row>
    <row r="169" spans="1:16">
      <c r="A169" s="1">
        <v>165</v>
      </c>
      <c r="B169" s="9">
        <v>39191</v>
      </c>
      <c r="C169" s="6"/>
      <c r="D169" s="12">
        <v>12808.63</v>
      </c>
      <c r="E169" s="6"/>
      <c r="F169" s="13">
        <v>6440.6</v>
      </c>
      <c r="G169" s="10">
        <v>2.0026000000000002</v>
      </c>
      <c r="H169" s="15">
        <f t="shared" si="6"/>
        <v>12897.945560000002</v>
      </c>
      <c r="I169" s="6"/>
      <c r="J169" s="13">
        <v>5829.04</v>
      </c>
      <c r="K169" s="11">
        <v>0.7349</v>
      </c>
      <c r="L169" s="15">
        <f t="shared" si="7"/>
        <v>7931.7458157572455</v>
      </c>
      <c r="M169" s="6"/>
      <c r="N169" s="13">
        <v>17371.97</v>
      </c>
      <c r="O169" s="11">
        <v>118.27</v>
      </c>
      <c r="P169" s="15">
        <f t="shared" si="8"/>
        <v>146.88399425044392</v>
      </c>
    </row>
    <row r="170" spans="1:16">
      <c r="A170" s="1">
        <v>166</v>
      </c>
      <c r="B170" s="9">
        <v>39192</v>
      </c>
      <c r="C170" s="6"/>
      <c r="D170" s="12">
        <v>12961.98</v>
      </c>
      <c r="E170" s="6"/>
      <c r="F170" s="13">
        <v>6486.8</v>
      </c>
      <c r="G170" s="10">
        <v>2.0034999999999998</v>
      </c>
      <c r="H170" s="15">
        <f t="shared" si="6"/>
        <v>12996.3038</v>
      </c>
      <c r="I170" s="6"/>
      <c r="J170" s="13">
        <v>5938.9</v>
      </c>
      <c r="K170" s="11">
        <v>0.73570000000000002</v>
      </c>
      <c r="L170" s="15">
        <f t="shared" si="7"/>
        <v>8072.4480086991971</v>
      </c>
      <c r="M170" s="6"/>
      <c r="N170" s="13">
        <v>17452.62</v>
      </c>
      <c r="O170" s="11">
        <v>118.89</v>
      </c>
      <c r="P170" s="15">
        <f t="shared" si="8"/>
        <v>146.79636638909915</v>
      </c>
    </row>
    <row r="171" spans="1:16">
      <c r="A171" s="1">
        <v>167</v>
      </c>
      <c r="B171" s="9">
        <v>39195</v>
      </c>
      <c r="C171" s="6"/>
      <c r="D171" s="12">
        <v>12919.4</v>
      </c>
      <c r="E171" s="6"/>
      <c r="F171" s="13">
        <v>6479.7</v>
      </c>
      <c r="G171" s="10">
        <v>2.0003000000000002</v>
      </c>
      <c r="H171" s="15">
        <f t="shared" si="6"/>
        <v>12961.343910000001</v>
      </c>
      <c r="I171" s="6"/>
      <c r="J171" s="13">
        <v>5917.32</v>
      </c>
      <c r="K171" s="11">
        <v>0.73709999999999998</v>
      </c>
      <c r="L171" s="15">
        <f t="shared" si="7"/>
        <v>8027.8388278388275</v>
      </c>
      <c r="M171" s="6"/>
      <c r="N171" s="13">
        <v>17455.37</v>
      </c>
      <c r="O171" s="11">
        <v>118.73</v>
      </c>
      <c r="P171" s="15">
        <f t="shared" si="8"/>
        <v>147.01735029057525</v>
      </c>
    </row>
    <row r="172" spans="1:16">
      <c r="A172" s="1">
        <v>168</v>
      </c>
      <c r="B172" s="9">
        <v>39196</v>
      </c>
      <c r="C172" s="6"/>
      <c r="D172" s="12">
        <v>12953.94</v>
      </c>
      <c r="E172" s="6"/>
      <c r="F172" s="13">
        <v>6429.5</v>
      </c>
      <c r="G172" s="10">
        <v>2.0028000000000001</v>
      </c>
      <c r="H172" s="15">
        <f t="shared" si="6"/>
        <v>12877.002600000002</v>
      </c>
      <c r="I172" s="6"/>
      <c r="J172" s="13">
        <v>5886.03</v>
      </c>
      <c r="K172" s="11">
        <v>0.73409999999999997</v>
      </c>
      <c r="L172" s="15">
        <f t="shared" si="7"/>
        <v>8018.0220678381693</v>
      </c>
      <c r="M172" s="6"/>
      <c r="N172" s="13">
        <v>17451.77</v>
      </c>
      <c r="O172" s="11">
        <v>118.41</v>
      </c>
      <c r="P172" s="15">
        <f t="shared" si="8"/>
        <v>147.3842580863103</v>
      </c>
    </row>
    <row r="173" spans="1:16">
      <c r="A173" s="1">
        <v>169</v>
      </c>
      <c r="B173" s="9">
        <v>39197</v>
      </c>
      <c r="C173" s="6"/>
      <c r="D173" s="12">
        <v>13089.89</v>
      </c>
      <c r="E173" s="6"/>
      <c r="F173" s="13">
        <v>6461.9</v>
      </c>
      <c r="G173" s="10">
        <v>2.0057</v>
      </c>
      <c r="H173" s="15">
        <f t="shared" si="6"/>
        <v>12960.632829999999</v>
      </c>
      <c r="I173" s="6"/>
      <c r="J173" s="13">
        <v>5947.33</v>
      </c>
      <c r="K173" s="11">
        <v>0.73209999999999997</v>
      </c>
      <c r="L173" s="15">
        <f t="shared" si="7"/>
        <v>8123.6579702226472</v>
      </c>
      <c r="M173" s="6"/>
      <c r="N173" s="13">
        <v>17236.16</v>
      </c>
      <c r="O173" s="11">
        <v>118.48</v>
      </c>
      <c r="P173" s="15">
        <f t="shared" si="8"/>
        <v>145.47738014854826</v>
      </c>
    </row>
    <row r="174" spans="1:16">
      <c r="A174" s="1">
        <v>170</v>
      </c>
      <c r="B174" s="9">
        <v>39198</v>
      </c>
      <c r="C174" s="6"/>
      <c r="D174" s="12">
        <v>13105.5</v>
      </c>
      <c r="E174" s="6"/>
      <c r="F174" s="13">
        <v>6469.4</v>
      </c>
      <c r="G174" s="10">
        <v>1.9919</v>
      </c>
      <c r="H174" s="15">
        <f t="shared" si="6"/>
        <v>12886.397859999999</v>
      </c>
      <c r="I174" s="6"/>
      <c r="J174" s="13">
        <v>5944.44</v>
      </c>
      <c r="K174" s="11">
        <v>0.73499999999999999</v>
      </c>
      <c r="L174" s="15">
        <f t="shared" si="7"/>
        <v>8087.6734693877543</v>
      </c>
      <c r="M174" s="6"/>
      <c r="N174" s="13">
        <v>17429.169999999998</v>
      </c>
      <c r="O174" s="11">
        <v>119.39</v>
      </c>
      <c r="P174" s="15">
        <f t="shared" si="8"/>
        <v>145.98517463774184</v>
      </c>
    </row>
    <row r="175" spans="1:16">
      <c r="A175" s="1">
        <v>171</v>
      </c>
      <c r="B175" s="9">
        <v>39199</v>
      </c>
      <c r="C175" s="6"/>
      <c r="D175" s="12">
        <v>13120.94</v>
      </c>
      <c r="E175" s="6"/>
      <c r="F175" s="13">
        <v>6418.7</v>
      </c>
      <c r="G175" s="10">
        <v>2.0019999999999998</v>
      </c>
      <c r="H175" s="15">
        <f t="shared" si="6"/>
        <v>12850.237399999998</v>
      </c>
      <c r="I175" s="6"/>
      <c r="J175" s="13">
        <v>5930.77</v>
      </c>
      <c r="K175" s="11">
        <v>0.73219999999999996</v>
      </c>
      <c r="L175" s="15">
        <f t="shared" si="7"/>
        <v>8099.9317126468186</v>
      </c>
      <c r="M175" s="6"/>
      <c r="N175" s="13">
        <v>17400.41</v>
      </c>
      <c r="O175" s="11">
        <v>119.46</v>
      </c>
      <c r="P175" s="15">
        <f t="shared" si="8"/>
        <v>145.65888163401976</v>
      </c>
    </row>
    <row r="176" spans="1:16">
      <c r="A176" s="1">
        <v>172</v>
      </c>
      <c r="B176" s="9">
        <v>39204</v>
      </c>
      <c r="C176" s="6"/>
      <c r="D176" s="12">
        <v>13211.88</v>
      </c>
      <c r="E176" s="6"/>
      <c r="F176" s="13">
        <v>6484.5</v>
      </c>
      <c r="G176" s="10">
        <v>1.9902</v>
      </c>
      <c r="H176" s="15">
        <f t="shared" si="6"/>
        <v>12905.4519</v>
      </c>
      <c r="I176" s="6"/>
      <c r="J176" s="13">
        <v>5990.13</v>
      </c>
      <c r="K176" s="11">
        <v>0.73550000000000004</v>
      </c>
      <c r="L176" s="15">
        <f t="shared" si="7"/>
        <v>8144.2963970088376</v>
      </c>
      <c r="M176" s="6"/>
      <c r="N176" s="13">
        <v>17394.919999999998</v>
      </c>
      <c r="O176" s="11">
        <v>120.11</v>
      </c>
      <c r="P176" s="15">
        <f t="shared" si="8"/>
        <v>144.8249104987095</v>
      </c>
    </row>
    <row r="177" spans="1:16">
      <c r="A177" s="1">
        <v>173</v>
      </c>
      <c r="B177" s="9">
        <v>39210</v>
      </c>
      <c r="C177" s="6"/>
      <c r="D177" s="12">
        <v>13309.07</v>
      </c>
      <c r="E177" s="6"/>
      <c r="F177" s="13">
        <v>6550.4</v>
      </c>
      <c r="G177" s="10">
        <v>1.9902</v>
      </c>
      <c r="H177" s="15">
        <f t="shared" si="6"/>
        <v>13036.60608</v>
      </c>
      <c r="I177" s="6"/>
      <c r="J177" s="13">
        <v>6034.25</v>
      </c>
      <c r="K177" s="11">
        <v>0.73919999999999997</v>
      </c>
      <c r="L177" s="15">
        <f t="shared" si="7"/>
        <v>8163.2169913419921</v>
      </c>
      <c r="M177" s="6"/>
      <c r="N177" s="13">
        <v>17656.84</v>
      </c>
      <c r="O177" s="11">
        <v>119.87</v>
      </c>
      <c r="P177" s="15">
        <f t="shared" si="8"/>
        <v>147.29990823392006</v>
      </c>
    </row>
    <row r="178" spans="1:16">
      <c r="A178" s="1">
        <v>174</v>
      </c>
      <c r="B178" s="9">
        <v>39211</v>
      </c>
      <c r="C178" s="6"/>
      <c r="D178" s="12">
        <v>13362.87</v>
      </c>
      <c r="E178" s="6"/>
      <c r="F178" s="13">
        <v>6549.6</v>
      </c>
      <c r="G178" s="10">
        <v>1.9968999999999999</v>
      </c>
      <c r="H178" s="15">
        <f t="shared" si="6"/>
        <v>13078.89624</v>
      </c>
      <c r="I178" s="6"/>
      <c r="J178" s="13">
        <v>6051.63</v>
      </c>
      <c r="K178" s="11">
        <v>0.7379</v>
      </c>
      <c r="L178" s="15">
        <f t="shared" si="7"/>
        <v>8201.151917604011</v>
      </c>
      <c r="M178" s="6"/>
      <c r="N178" s="13">
        <v>17748.12</v>
      </c>
      <c r="O178" s="11">
        <v>119.71</v>
      </c>
      <c r="P178" s="15">
        <f t="shared" si="8"/>
        <v>148.25929329212263</v>
      </c>
    </row>
    <row r="179" spans="1:16">
      <c r="A179" s="1">
        <v>175</v>
      </c>
      <c r="B179" s="9">
        <v>39212</v>
      </c>
      <c r="C179" s="6"/>
      <c r="D179" s="12">
        <v>13215.13</v>
      </c>
      <c r="E179" s="6"/>
      <c r="F179" s="13">
        <v>6524.1</v>
      </c>
      <c r="G179" s="10">
        <v>1.9827999999999999</v>
      </c>
      <c r="H179" s="15">
        <f t="shared" si="6"/>
        <v>12935.985479999999</v>
      </c>
      <c r="I179" s="6"/>
      <c r="J179" s="13">
        <v>6012.76</v>
      </c>
      <c r="K179" s="11">
        <v>0.74009999999999998</v>
      </c>
      <c r="L179" s="15">
        <f t="shared" si="7"/>
        <v>8124.2534792595598</v>
      </c>
      <c r="M179" s="6"/>
      <c r="N179" s="13">
        <v>17736.96</v>
      </c>
      <c r="O179" s="11">
        <v>120.43</v>
      </c>
      <c r="P179" s="15">
        <f t="shared" si="8"/>
        <v>147.28024578593372</v>
      </c>
    </row>
    <row r="180" spans="1:16">
      <c r="A180" s="1">
        <v>176</v>
      </c>
      <c r="B180" s="9">
        <v>39213</v>
      </c>
      <c r="C180" s="6"/>
      <c r="D180" s="12">
        <v>13326.22</v>
      </c>
      <c r="E180" s="6"/>
      <c r="F180" s="13">
        <v>6565.7</v>
      </c>
      <c r="G180" s="10">
        <v>1.9824999999999999</v>
      </c>
      <c r="H180" s="15">
        <f t="shared" si="6"/>
        <v>13016.500249999999</v>
      </c>
      <c r="I180" s="6"/>
      <c r="J180" s="13">
        <v>6050.63</v>
      </c>
      <c r="K180" s="11">
        <v>0.73950000000000005</v>
      </c>
      <c r="L180" s="15">
        <f t="shared" si="7"/>
        <v>8182.055442866802</v>
      </c>
      <c r="M180" s="6"/>
      <c r="N180" s="13">
        <v>17553.72</v>
      </c>
      <c r="O180" s="11">
        <v>120.1</v>
      </c>
      <c r="P180" s="15">
        <f t="shared" si="8"/>
        <v>146.15920066611159</v>
      </c>
    </row>
    <row r="181" spans="1:16">
      <c r="A181" s="1">
        <v>177</v>
      </c>
      <c r="B181" s="9">
        <v>39216</v>
      </c>
      <c r="C181" s="6"/>
      <c r="D181" s="12">
        <v>13346.78</v>
      </c>
      <c r="E181" s="6"/>
      <c r="F181" s="13">
        <v>6555.5</v>
      </c>
      <c r="G181" s="10">
        <v>1.9804999999999999</v>
      </c>
      <c r="H181" s="15">
        <f t="shared" si="6"/>
        <v>12983.167749999999</v>
      </c>
      <c r="I181" s="6"/>
      <c r="J181" s="13">
        <v>6026.42</v>
      </c>
      <c r="K181" s="11">
        <v>0.73860000000000003</v>
      </c>
      <c r="L181" s="15">
        <f t="shared" si="7"/>
        <v>8159.2472244787432</v>
      </c>
      <c r="M181" s="6"/>
      <c r="N181" s="13">
        <v>17677.939999999999</v>
      </c>
      <c r="O181" s="11">
        <v>120.36</v>
      </c>
      <c r="P181" s="15">
        <f t="shared" si="8"/>
        <v>146.87554004652708</v>
      </c>
    </row>
    <row r="182" spans="1:16">
      <c r="A182" s="1">
        <v>178</v>
      </c>
      <c r="B182" s="9">
        <v>39217</v>
      </c>
      <c r="C182" s="6"/>
      <c r="D182" s="12">
        <v>13383.84</v>
      </c>
      <c r="E182" s="6"/>
      <c r="F182" s="13">
        <v>6568.6</v>
      </c>
      <c r="G182" s="10">
        <v>1.984</v>
      </c>
      <c r="H182" s="15">
        <f t="shared" si="6"/>
        <v>13032.1024</v>
      </c>
      <c r="I182" s="6"/>
      <c r="J182" s="13">
        <v>6049.76</v>
      </c>
      <c r="K182" s="11">
        <v>0.73550000000000004</v>
      </c>
      <c r="L182" s="15">
        <f t="shared" si="7"/>
        <v>8225.3704962610464</v>
      </c>
      <c r="M182" s="6"/>
      <c r="N182" s="13">
        <v>17512.98</v>
      </c>
      <c r="O182" s="11">
        <v>120.27</v>
      </c>
      <c r="P182" s="15">
        <f t="shared" si="8"/>
        <v>145.61386879521078</v>
      </c>
    </row>
    <row r="183" spans="1:16">
      <c r="A183" s="1">
        <v>179</v>
      </c>
      <c r="B183" s="9">
        <v>39218</v>
      </c>
      <c r="C183" s="6"/>
      <c r="D183" s="12">
        <v>13487.53</v>
      </c>
      <c r="E183" s="6"/>
      <c r="F183" s="13">
        <v>6559.5</v>
      </c>
      <c r="G183" s="10">
        <v>1.9827999999999999</v>
      </c>
      <c r="H183" s="15">
        <f t="shared" si="6"/>
        <v>13006.176599999999</v>
      </c>
      <c r="I183" s="6"/>
      <c r="J183" s="13">
        <v>6017.91</v>
      </c>
      <c r="K183" s="11">
        <v>0.73660000000000003</v>
      </c>
      <c r="L183" s="15">
        <f t="shared" si="7"/>
        <v>8169.8479500407275</v>
      </c>
      <c r="M183" s="6"/>
      <c r="N183" s="13">
        <v>17529</v>
      </c>
      <c r="O183" s="11">
        <v>120.69</v>
      </c>
      <c r="P183" s="15">
        <f t="shared" si="8"/>
        <v>145.23987074322645</v>
      </c>
    </row>
    <row r="184" spans="1:16">
      <c r="A184" s="1">
        <v>180</v>
      </c>
      <c r="B184" s="9">
        <v>39219</v>
      </c>
      <c r="C184" s="6"/>
      <c r="D184" s="12">
        <v>13476.72</v>
      </c>
      <c r="E184" s="6"/>
      <c r="F184" s="13">
        <v>6579.3</v>
      </c>
      <c r="G184" s="10">
        <v>1.9752000000000001</v>
      </c>
      <c r="H184" s="15">
        <f t="shared" si="6"/>
        <v>12995.433360000001</v>
      </c>
      <c r="I184" s="6"/>
      <c r="J184" s="13">
        <v>6027</v>
      </c>
      <c r="K184" s="11">
        <v>0.74119999999999997</v>
      </c>
      <c r="L184" s="15">
        <f t="shared" si="7"/>
        <v>8131.4085267134378</v>
      </c>
      <c r="M184" s="6"/>
      <c r="N184" s="13">
        <v>17498.599999999999</v>
      </c>
      <c r="O184" s="11">
        <v>121.27</v>
      </c>
      <c r="P184" s="15">
        <f t="shared" si="8"/>
        <v>144.29454935268407</v>
      </c>
    </row>
    <row r="185" spans="1:16">
      <c r="A185" s="1">
        <v>181</v>
      </c>
      <c r="B185" s="9">
        <v>39220</v>
      </c>
      <c r="C185" s="6"/>
      <c r="D185" s="12">
        <v>13556.53</v>
      </c>
      <c r="E185" s="6"/>
      <c r="F185" s="13">
        <v>6640.9</v>
      </c>
      <c r="G185" s="10">
        <v>1.9742999999999999</v>
      </c>
      <c r="H185" s="15">
        <f t="shared" si="6"/>
        <v>13111.128869999999</v>
      </c>
      <c r="I185" s="6"/>
      <c r="J185" s="13">
        <v>6101.14</v>
      </c>
      <c r="K185" s="11">
        <v>0.74099999999999999</v>
      </c>
      <c r="L185" s="15">
        <f t="shared" si="7"/>
        <v>8233.6572199730108</v>
      </c>
      <c r="M185" s="6"/>
      <c r="N185" s="13">
        <v>17399.580000000002</v>
      </c>
      <c r="O185" s="11">
        <v>121.21</v>
      </c>
      <c r="P185" s="15">
        <f t="shared" si="8"/>
        <v>143.54904710832443</v>
      </c>
    </row>
    <row r="186" spans="1:16">
      <c r="A186" s="1">
        <v>182</v>
      </c>
      <c r="B186" s="9">
        <v>39223</v>
      </c>
      <c r="C186" s="6"/>
      <c r="D186" s="12">
        <v>13542.88</v>
      </c>
      <c r="E186" s="6"/>
      <c r="F186" s="13">
        <v>6636.8</v>
      </c>
      <c r="G186" s="10">
        <v>1.9693000000000001</v>
      </c>
      <c r="H186" s="15">
        <f t="shared" si="6"/>
        <v>13069.850240000002</v>
      </c>
      <c r="I186" s="6"/>
      <c r="J186" s="13">
        <v>6089.91</v>
      </c>
      <c r="K186" s="11">
        <v>0.74299999999999999</v>
      </c>
      <c r="L186" s="15">
        <f t="shared" si="7"/>
        <v>8196.3795423956926</v>
      </c>
      <c r="M186" s="6"/>
      <c r="N186" s="13">
        <v>17556.87</v>
      </c>
      <c r="O186" s="11">
        <v>121.6</v>
      </c>
      <c r="P186" s="15">
        <f t="shared" si="8"/>
        <v>144.38215460526317</v>
      </c>
    </row>
    <row r="187" spans="1:16">
      <c r="A187" s="1">
        <v>183</v>
      </c>
      <c r="B187" s="9">
        <v>39224</v>
      </c>
      <c r="C187" s="6"/>
      <c r="D187" s="12">
        <v>13539.95</v>
      </c>
      <c r="E187" s="6"/>
      <c r="F187" s="13">
        <v>6606.6</v>
      </c>
      <c r="G187" s="10">
        <v>1.9746999999999999</v>
      </c>
      <c r="H187" s="15">
        <f t="shared" si="6"/>
        <v>13046.053019999999</v>
      </c>
      <c r="I187" s="6"/>
      <c r="J187" s="13">
        <v>6089.72</v>
      </c>
      <c r="K187" s="11">
        <v>0.74280000000000002</v>
      </c>
      <c r="L187" s="15">
        <f t="shared" si="7"/>
        <v>8198.3306408185254</v>
      </c>
      <c r="M187" s="6"/>
      <c r="N187" s="13">
        <v>17680.05</v>
      </c>
      <c r="O187" s="11">
        <v>121.42</v>
      </c>
      <c r="P187" s="15">
        <f t="shared" si="8"/>
        <v>145.61069016636466</v>
      </c>
    </row>
    <row r="188" spans="1:16">
      <c r="A188" s="1">
        <v>184</v>
      </c>
      <c r="B188" s="9">
        <v>39225</v>
      </c>
      <c r="C188" s="6"/>
      <c r="D188" s="12">
        <v>13525.65</v>
      </c>
      <c r="E188" s="6"/>
      <c r="F188" s="13">
        <v>6616.4</v>
      </c>
      <c r="G188" s="10">
        <v>1.9890000000000001</v>
      </c>
      <c r="H188" s="15">
        <f t="shared" si="6"/>
        <v>13160.0196</v>
      </c>
      <c r="I188" s="6"/>
      <c r="J188" s="13">
        <v>6120.2</v>
      </c>
      <c r="K188" s="11">
        <v>0.74129999999999996</v>
      </c>
      <c r="L188" s="15">
        <f t="shared" si="7"/>
        <v>8256.0366922973153</v>
      </c>
      <c r="M188" s="6"/>
      <c r="N188" s="13">
        <v>17705.12</v>
      </c>
      <c r="O188" s="11">
        <v>121.44</v>
      </c>
      <c r="P188" s="15">
        <f t="shared" si="8"/>
        <v>145.79314888010541</v>
      </c>
    </row>
    <row r="189" spans="1:16">
      <c r="A189" s="1">
        <v>185</v>
      </c>
      <c r="B189" s="9">
        <v>39226</v>
      </c>
      <c r="C189" s="6"/>
      <c r="D189" s="12">
        <v>13441.13</v>
      </c>
      <c r="E189" s="6"/>
      <c r="F189" s="13">
        <v>6565.4</v>
      </c>
      <c r="G189" s="10">
        <v>1.9855</v>
      </c>
      <c r="H189" s="15">
        <f t="shared" si="6"/>
        <v>13035.601699999999</v>
      </c>
      <c r="I189" s="6"/>
      <c r="J189" s="13">
        <v>6048.31</v>
      </c>
      <c r="K189" s="11">
        <v>0.74429999999999996</v>
      </c>
      <c r="L189" s="15">
        <f t="shared" si="7"/>
        <v>8126.1722423753872</v>
      </c>
      <c r="M189" s="6"/>
      <c r="N189" s="13">
        <v>17696.97</v>
      </c>
      <c r="O189" s="11">
        <v>121.43</v>
      </c>
      <c r="P189" s="15">
        <f t="shared" si="8"/>
        <v>145.73803837601912</v>
      </c>
    </row>
    <row r="190" spans="1:16">
      <c r="A190" s="1">
        <v>186</v>
      </c>
      <c r="B190" s="9">
        <v>39227</v>
      </c>
      <c r="C190" s="6"/>
      <c r="D190" s="12">
        <v>13507.28</v>
      </c>
      <c r="E190" s="6"/>
      <c r="F190" s="13">
        <v>6570.5</v>
      </c>
      <c r="G190" s="10">
        <v>1.9847999999999999</v>
      </c>
      <c r="H190" s="15">
        <f t="shared" si="6"/>
        <v>13041.1284</v>
      </c>
      <c r="I190" s="6"/>
      <c r="J190" s="13">
        <v>6057.49</v>
      </c>
      <c r="K190" s="11">
        <v>0.74319999999999997</v>
      </c>
      <c r="L190" s="15">
        <f t="shared" si="7"/>
        <v>8150.5516684607101</v>
      </c>
      <c r="M190" s="6"/>
      <c r="N190" s="13">
        <v>17481.21</v>
      </c>
      <c r="O190" s="11">
        <v>121.64</v>
      </c>
      <c r="P190" s="15">
        <f t="shared" si="8"/>
        <v>143.71267675106873</v>
      </c>
    </row>
    <row r="191" spans="1:16">
      <c r="A191" s="1">
        <v>187</v>
      </c>
      <c r="B191" s="9">
        <v>39231</v>
      </c>
      <c r="C191" s="6"/>
      <c r="D191" s="12">
        <v>13521.34</v>
      </c>
      <c r="E191" s="6"/>
      <c r="F191" s="13">
        <v>6606.5</v>
      </c>
      <c r="G191" s="10">
        <v>1.9816</v>
      </c>
      <c r="H191" s="15">
        <f t="shared" si="6"/>
        <v>13091.440399999999</v>
      </c>
      <c r="I191" s="6"/>
      <c r="J191" s="13">
        <v>6056.39</v>
      </c>
      <c r="K191" s="11">
        <v>0.74170000000000003</v>
      </c>
      <c r="L191" s="15">
        <f t="shared" si="7"/>
        <v>8165.5521100175274</v>
      </c>
      <c r="M191" s="6"/>
      <c r="N191" s="13">
        <v>17672.560000000001</v>
      </c>
      <c r="O191" s="11">
        <v>121.74</v>
      </c>
      <c r="P191" s="15">
        <f t="shared" si="8"/>
        <v>145.16642023985546</v>
      </c>
    </row>
    <row r="192" spans="1:16">
      <c r="A192" s="1">
        <v>188</v>
      </c>
      <c r="B192" s="9">
        <v>39232</v>
      </c>
      <c r="C192" s="6"/>
      <c r="D192" s="12">
        <v>13633.08</v>
      </c>
      <c r="E192" s="6"/>
      <c r="F192" s="13">
        <v>6602.1</v>
      </c>
      <c r="G192" s="10">
        <v>1.9749000000000001</v>
      </c>
      <c r="H192" s="15">
        <f t="shared" si="6"/>
        <v>13038.487290000001</v>
      </c>
      <c r="I192" s="6"/>
      <c r="J192" s="13">
        <v>6042.15</v>
      </c>
      <c r="K192" s="11">
        <v>0.74460000000000004</v>
      </c>
      <c r="L192" s="15">
        <f t="shared" si="7"/>
        <v>8114.6253021756638</v>
      </c>
      <c r="M192" s="6"/>
      <c r="N192" s="13">
        <v>17588.259999999998</v>
      </c>
      <c r="O192" s="11">
        <v>121.52</v>
      </c>
      <c r="P192" s="15">
        <f t="shared" si="8"/>
        <v>144.7355167873601</v>
      </c>
    </row>
    <row r="193" spans="1:16">
      <c r="A193" s="1">
        <v>189</v>
      </c>
      <c r="B193" s="9">
        <v>39233</v>
      </c>
      <c r="C193" s="6"/>
      <c r="D193" s="12">
        <v>13627.64</v>
      </c>
      <c r="E193" s="6"/>
      <c r="F193" s="13">
        <v>6621.4</v>
      </c>
      <c r="G193" s="10">
        <v>1.9782</v>
      </c>
      <c r="H193" s="15">
        <f t="shared" si="6"/>
        <v>13098.453479999998</v>
      </c>
      <c r="I193" s="6"/>
      <c r="J193" s="13">
        <v>6104</v>
      </c>
      <c r="K193" s="11">
        <v>0.74319999999999997</v>
      </c>
      <c r="L193" s="15">
        <f t="shared" si="7"/>
        <v>8213.1324004305716</v>
      </c>
      <c r="M193" s="6"/>
      <c r="N193" s="13">
        <v>17875.75</v>
      </c>
      <c r="O193" s="11">
        <v>121.81</v>
      </c>
      <c r="P193" s="15">
        <f t="shared" si="8"/>
        <v>146.75108775962565</v>
      </c>
    </row>
    <row r="194" spans="1:16">
      <c r="A194" s="1">
        <v>190</v>
      </c>
      <c r="B194" s="9">
        <v>39234</v>
      </c>
      <c r="C194" s="6"/>
      <c r="D194" s="12">
        <v>13668.11</v>
      </c>
      <c r="E194" s="6"/>
      <c r="F194" s="13">
        <v>6676.7</v>
      </c>
      <c r="G194" s="10">
        <v>1.9790000000000001</v>
      </c>
      <c r="H194" s="15">
        <f t="shared" si="6"/>
        <v>13213.1893</v>
      </c>
      <c r="I194" s="6"/>
      <c r="J194" s="13">
        <v>6168.15</v>
      </c>
      <c r="K194" s="11">
        <v>0.74519999999999997</v>
      </c>
      <c r="L194" s="15">
        <f t="shared" si="7"/>
        <v>8277.173913043478</v>
      </c>
      <c r="M194" s="6"/>
      <c r="N194" s="13">
        <v>17958.88</v>
      </c>
      <c r="O194" s="11">
        <v>122.03</v>
      </c>
      <c r="P194" s="15">
        <f t="shared" si="8"/>
        <v>147.16774563631895</v>
      </c>
    </row>
    <row r="195" spans="1:16">
      <c r="A195" s="1">
        <v>191</v>
      </c>
      <c r="B195" s="9">
        <v>39237</v>
      </c>
      <c r="C195" s="6"/>
      <c r="D195" s="12">
        <v>13676.32</v>
      </c>
      <c r="E195" s="6"/>
      <c r="F195" s="13">
        <v>6664.1</v>
      </c>
      <c r="G195" s="10">
        <v>1.9912000000000001</v>
      </c>
      <c r="H195" s="15">
        <f t="shared" si="6"/>
        <v>13269.555920000001</v>
      </c>
      <c r="I195" s="6"/>
      <c r="J195" s="13">
        <v>6125.81</v>
      </c>
      <c r="K195" s="11">
        <v>0.74160000000000004</v>
      </c>
      <c r="L195" s="15">
        <f t="shared" si="7"/>
        <v>8260.2615965480036</v>
      </c>
      <c r="M195" s="6"/>
      <c r="N195" s="13">
        <v>17973.419999999998</v>
      </c>
      <c r="O195" s="11">
        <v>121.75</v>
      </c>
      <c r="P195" s="15">
        <f t="shared" si="8"/>
        <v>147.62562628336755</v>
      </c>
    </row>
    <row r="196" spans="1:16">
      <c r="A196" s="1">
        <v>192</v>
      </c>
      <c r="B196" s="9">
        <v>39238</v>
      </c>
      <c r="C196" s="6"/>
      <c r="D196" s="12">
        <v>13595.46</v>
      </c>
      <c r="E196" s="6"/>
      <c r="F196" s="13">
        <v>6632.8</v>
      </c>
      <c r="G196" s="10">
        <v>1.9928999999999999</v>
      </c>
      <c r="H196" s="15">
        <f t="shared" si="6"/>
        <v>13218.50712</v>
      </c>
      <c r="I196" s="6"/>
      <c r="J196" s="13">
        <v>6078.54</v>
      </c>
      <c r="K196" s="11">
        <v>0.73950000000000005</v>
      </c>
      <c r="L196" s="15">
        <f t="shared" si="7"/>
        <v>8219.7971602434063</v>
      </c>
      <c r="M196" s="6"/>
      <c r="N196" s="13">
        <v>18053.810000000001</v>
      </c>
      <c r="O196" s="11">
        <v>121.65</v>
      </c>
      <c r="P196" s="15">
        <f t="shared" si="8"/>
        <v>148.4078092889437</v>
      </c>
    </row>
    <row r="197" spans="1:16">
      <c r="A197" s="1">
        <v>193</v>
      </c>
      <c r="B197" s="9">
        <v>39239</v>
      </c>
      <c r="C197" s="6"/>
      <c r="D197" s="12">
        <v>13465.67</v>
      </c>
      <c r="E197" s="6"/>
      <c r="F197" s="13">
        <v>6522.7</v>
      </c>
      <c r="G197" s="10">
        <v>1.9917</v>
      </c>
      <c r="H197" s="15">
        <f t="shared" ref="H197:H260" si="9">F197*G197</f>
        <v>12991.26159</v>
      </c>
      <c r="I197" s="6"/>
      <c r="J197" s="13">
        <v>5977.87</v>
      </c>
      <c r="K197" s="11">
        <v>0.74109999999999998</v>
      </c>
      <c r="L197" s="15">
        <f t="shared" ref="L197:L260" si="10">J197/K197</f>
        <v>8066.2123869923089</v>
      </c>
      <c r="M197" s="6"/>
      <c r="N197" s="13">
        <v>18040.93</v>
      </c>
      <c r="O197" s="11">
        <v>121.05</v>
      </c>
      <c r="P197" s="15">
        <f t="shared" ref="P197:P260" si="11">N197/O197</f>
        <v>149.03700950020652</v>
      </c>
    </row>
    <row r="198" spans="1:16">
      <c r="A198" s="1">
        <v>194</v>
      </c>
      <c r="B198" s="9">
        <v>39240</v>
      </c>
      <c r="C198" s="6"/>
      <c r="D198" s="12">
        <v>13266.73</v>
      </c>
      <c r="E198" s="6"/>
      <c r="F198" s="13">
        <v>6505.1</v>
      </c>
      <c r="G198" s="10">
        <v>1.9805999999999999</v>
      </c>
      <c r="H198" s="15">
        <f t="shared" si="9"/>
        <v>12884.001060000001</v>
      </c>
      <c r="I198" s="6"/>
      <c r="J198" s="13">
        <v>5890.49</v>
      </c>
      <c r="K198" s="11">
        <v>0.7429</v>
      </c>
      <c r="L198" s="15">
        <f t="shared" si="10"/>
        <v>7929.0483241351458</v>
      </c>
      <c r="M198" s="6"/>
      <c r="N198" s="13">
        <v>18053.38</v>
      </c>
      <c r="O198" s="11">
        <v>121.45</v>
      </c>
      <c r="P198" s="15">
        <f t="shared" si="11"/>
        <v>148.64866200082338</v>
      </c>
    </row>
    <row r="199" spans="1:16">
      <c r="A199" s="1">
        <v>195</v>
      </c>
      <c r="B199" s="9">
        <v>39241</v>
      </c>
      <c r="C199" s="6"/>
      <c r="D199" s="12">
        <v>13424.39</v>
      </c>
      <c r="E199" s="6"/>
      <c r="F199" s="13">
        <v>6505.1</v>
      </c>
      <c r="G199" s="10">
        <v>1.9675</v>
      </c>
      <c r="H199" s="15">
        <f t="shared" si="9"/>
        <v>12798.784250000001</v>
      </c>
      <c r="I199" s="6"/>
      <c r="J199" s="13">
        <v>5883.29</v>
      </c>
      <c r="K199" s="11">
        <v>0.74860000000000004</v>
      </c>
      <c r="L199" s="15">
        <f t="shared" si="10"/>
        <v>7859.0569062249524</v>
      </c>
      <c r="M199" s="6"/>
      <c r="N199" s="13">
        <v>17779.09</v>
      </c>
      <c r="O199" s="11">
        <v>121.56</v>
      </c>
      <c r="P199" s="15">
        <f t="shared" si="11"/>
        <v>146.25773280684436</v>
      </c>
    </row>
    <row r="200" spans="1:16">
      <c r="A200" s="1">
        <v>196</v>
      </c>
      <c r="B200" s="9">
        <v>39244</v>
      </c>
      <c r="C200" s="6"/>
      <c r="D200" s="12">
        <v>13424.96</v>
      </c>
      <c r="E200" s="6"/>
      <c r="F200" s="13">
        <v>6567.5</v>
      </c>
      <c r="G200" s="10">
        <v>1.9672000000000001</v>
      </c>
      <c r="H200" s="15">
        <f t="shared" si="9"/>
        <v>12919.586000000001</v>
      </c>
      <c r="I200" s="6"/>
      <c r="J200" s="13">
        <v>5940.09</v>
      </c>
      <c r="K200" s="11">
        <v>0.74929999999999997</v>
      </c>
      <c r="L200" s="15">
        <f t="shared" si="10"/>
        <v>7927.5190177499007</v>
      </c>
      <c r="M200" s="6"/>
      <c r="N200" s="13">
        <v>17834.48</v>
      </c>
      <c r="O200" s="11">
        <v>121.73</v>
      </c>
      <c r="P200" s="15">
        <f t="shared" si="11"/>
        <v>146.50850242339604</v>
      </c>
    </row>
    <row r="201" spans="1:16">
      <c r="A201" s="1">
        <v>197</v>
      </c>
      <c r="B201" s="9">
        <v>39245</v>
      </c>
      <c r="C201" s="6"/>
      <c r="D201" s="12">
        <v>13295.01</v>
      </c>
      <c r="E201" s="6"/>
      <c r="F201" s="13">
        <v>6520.4</v>
      </c>
      <c r="G201" s="10">
        <v>1.9735</v>
      </c>
      <c r="H201" s="15">
        <f t="shared" si="9"/>
        <v>12868.009399999999</v>
      </c>
      <c r="I201" s="6"/>
      <c r="J201" s="13">
        <v>5898.16</v>
      </c>
      <c r="K201" s="11">
        <v>0.751</v>
      </c>
      <c r="L201" s="15">
        <f t="shared" si="10"/>
        <v>7853.7416777629824</v>
      </c>
      <c r="M201" s="6"/>
      <c r="N201" s="13">
        <v>17760.91</v>
      </c>
      <c r="O201" s="11">
        <v>121.76</v>
      </c>
      <c r="P201" s="15">
        <f t="shared" si="11"/>
        <v>145.86818331143232</v>
      </c>
    </row>
    <row r="202" spans="1:16">
      <c r="A202" s="1">
        <v>198</v>
      </c>
      <c r="B202" s="9">
        <v>39246</v>
      </c>
      <c r="C202" s="6"/>
      <c r="D202" s="12">
        <v>13482.35</v>
      </c>
      <c r="E202" s="6"/>
      <c r="F202" s="13">
        <v>6559.6</v>
      </c>
      <c r="G202" s="10">
        <v>1.9728000000000001</v>
      </c>
      <c r="H202" s="15">
        <f t="shared" si="9"/>
        <v>12940.778880000002</v>
      </c>
      <c r="I202" s="6"/>
      <c r="J202" s="13">
        <v>5934.27</v>
      </c>
      <c r="K202" s="11">
        <v>0.75160000000000005</v>
      </c>
      <c r="L202" s="15">
        <f t="shared" si="10"/>
        <v>7895.5162320383188</v>
      </c>
      <c r="M202" s="6"/>
      <c r="N202" s="13">
        <v>17732.77</v>
      </c>
      <c r="O202" s="11">
        <v>122.33</v>
      </c>
      <c r="P202" s="15">
        <f t="shared" si="11"/>
        <v>144.95847298291508</v>
      </c>
    </row>
    <row r="203" spans="1:16">
      <c r="A203" s="1">
        <v>199</v>
      </c>
      <c r="B203" s="9">
        <v>39247</v>
      </c>
      <c r="C203" s="6"/>
      <c r="D203" s="12">
        <v>13553.73</v>
      </c>
      <c r="E203" s="6"/>
      <c r="F203" s="13">
        <v>6649.9</v>
      </c>
      <c r="G203" s="10">
        <v>1.9694</v>
      </c>
      <c r="H203" s="15">
        <f t="shared" si="9"/>
        <v>13096.31306</v>
      </c>
      <c r="I203" s="6"/>
      <c r="J203" s="13">
        <v>6047.23</v>
      </c>
      <c r="K203" s="11">
        <v>0.75109999999999999</v>
      </c>
      <c r="L203" s="15">
        <f t="shared" si="10"/>
        <v>8051.1649580615094</v>
      </c>
      <c r="M203" s="6"/>
      <c r="N203" s="13">
        <v>17842.29</v>
      </c>
      <c r="O203" s="11">
        <v>122.92</v>
      </c>
      <c r="P203" s="15">
        <f t="shared" si="11"/>
        <v>145.15367718841523</v>
      </c>
    </row>
    <row r="204" spans="1:16">
      <c r="A204" s="1">
        <v>200</v>
      </c>
      <c r="B204" s="9">
        <v>39248</v>
      </c>
      <c r="C204" s="6"/>
      <c r="D204" s="12">
        <v>13639.48</v>
      </c>
      <c r="E204" s="6"/>
      <c r="F204" s="13">
        <v>6732.4</v>
      </c>
      <c r="G204" s="10">
        <v>1.9769000000000001</v>
      </c>
      <c r="H204" s="15">
        <f t="shared" si="9"/>
        <v>13309.281559999999</v>
      </c>
      <c r="I204" s="6"/>
      <c r="J204" s="13">
        <v>6105.28</v>
      </c>
      <c r="K204" s="11">
        <v>0.74819999999999998</v>
      </c>
      <c r="L204" s="15">
        <f t="shared" si="10"/>
        <v>8159.9572306869823</v>
      </c>
      <c r="M204" s="6"/>
      <c r="N204" s="13">
        <v>17971.490000000002</v>
      </c>
      <c r="O204" s="11">
        <v>123.52</v>
      </c>
      <c r="P204" s="15">
        <f t="shared" si="11"/>
        <v>145.4945757772021</v>
      </c>
    </row>
    <row r="205" spans="1:16">
      <c r="A205" s="1">
        <v>201</v>
      </c>
      <c r="B205" s="9">
        <v>39251</v>
      </c>
      <c r="C205" s="6"/>
      <c r="D205" s="12">
        <v>13612.98</v>
      </c>
      <c r="E205" s="6"/>
      <c r="F205" s="13">
        <v>6703.5</v>
      </c>
      <c r="G205" s="10">
        <v>1.9807999999999999</v>
      </c>
      <c r="H205" s="15">
        <f t="shared" si="9"/>
        <v>13278.292799999999</v>
      </c>
      <c r="I205" s="6"/>
      <c r="J205" s="13">
        <v>6087.15</v>
      </c>
      <c r="K205" s="11">
        <v>0.74650000000000005</v>
      </c>
      <c r="L205" s="15">
        <f t="shared" si="10"/>
        <v>8154.2531815137299</v>
      </c>
      <c r="M205" s="6"/>
      <c r="N205" s="13">
        <v>18149.52</v>
      </c>
      <c r="O205" s="11">
        <v>123.66</v>
      </c>
      <c r="P205" s="15">
        <f t="shared" si="11"/>
        <v>146.76952935468219</v>
      </c>
    </row>
    <row r="206" spans="1:16">
      <c r="A206" s="1">
        <v>202</v>
      </c>
      <c r="B206" s="9">
        <v>39252</v>
      </c>
      <c r="C206" s="6"/>
      <c r="D206" s="12">
        <v>13635.42</v>
      </c>
      <c r="E206" s="6"/>
      <c r="F206" s="13">
        <v>6650.2</v>
      </c>
      <c r="G206" s="10">
        <v>1.9873000000000001</v>
      </c>
      <c r="H206" s="15">
        <f t="shared" si="9"/>
        <v>13215.94246</v>
      </c>
      <c r="I206" s="6"/>
      <c r="J206" s="13">
        <v>6071.67</v>
      </c>
      <c r="K206" s="11">
        <v>0.74580000000000002</v>
      </c>
      <c r="L206" s="15">
        <f t="shared" si="10"/>
        <v>8141.1504424778759</v>
      </c>
      <c r="M206" s="6"/>
      <c r="N206" s="13">
        <v>18163.61</v>
      </c>
      <c r="O206" s="11">
        <v>123.38</v>
      </c>
      <c r="P206" s="15">
        <f t="shared" si="11"/>
        <v>147.21680985573028</v>
      </c>
    </row>
    <row r="207" spans="1:16">
      <c r="A207" s="1">
        <v>203</v>
      </c>
      <c r="B207" s="9">
        <v>39253</v>
      </c>
      <c r="C207" s="6"/>
      <c r="D207" s="12">
        <v>13489.42</v>
      </c>
      <c r="E207" s="6"/>
      <c r="F207" s="13">
        <v>6649.3</v>
      </c>
      <c r="G207" s="10">
        <v>1.9928999999999999</v>
      </c>
      <c r="H207" s="15">
        <f t="shared" si="9"/>
        <v>13251.38997</v>
      </c>
      <c r="I207" s="6"/>
      <c r="J207" s="13">
        <v>6093.29</v>
      </c>
      <c r="K207" s="11">
        <v>0.74519999999999997</v>
      </c>
      <c r="L207" s="15">
        <f t="shared" si="10"/>
        <v>8176.7176596886748</v>
      </c>
      <c r="M207" s="6"/>
      <c r="N207" s="13">
        <v>18211.68</v>
      </c>
      <c r="O207" s="11">
        <v>123.65</v>
      </c>
      <c r="P207" s="15">
        <f t="shared" si="11"/>
        <v>147.28410837040033</v>
      </c>
    </row>
    <row r="208" spans="1:16">
      <c r="A208" s="1">
        <v>204</v>
      </c>
      <c r="B208" s="9">
        <v>39254</v>
      </c>
      <c r="C208" s="6"/>
      <c r="D208" s="12">
        <v>13545.84</v>
      </c>
      <c r="E208" s="6"/>
      <c r="F208" s="13">
        <v>6596</v>
      </c>
      <c r="G208" s="10">
        <v>1.9924999999999999</v>
      </c>
      <c r="H208" s="15">
        <f t="shared" si="9"/>
        <v>13142.529999999999</v>
      </c>
      <c r="I208" s="6"/>
      <c r="J208" s="13">
        <v>6029.79</v>
      </c>
      <c r="K208" s="11">
        <v>0.74629999999999996</v>
      </c>
      <c r="L208" s="15">
        <f t="shared" si="10"/>
        <v>8079.5792576711783</v>
      </c>
      <c r="M208" s="6"/>
      <c r="N208" s="13">
        <v>18240.3</v>
      </c>
      <c r="O208" s="11">
        <v>123.66</v>
      </c>
      <c r="P208" s="15">
        <f t="shared" si="11"/>
        <v>147.50363901018923</v>
      </c>
    </row>
    <row r="209" spans="1:16">
      <c r="A209" s="1">
        <v>205</v>
      </c>
      <c r="B209" s="9">
        <v>39255</v>
      </c>
      <c r="C209" s="6"/>
      <c r="D209" s="12">
        <v>13360.26</v>
      </c>
      <c r="E209" s="6"/>
      <c r="F209" s="13">
        <v>6567.4</v>
      </c>
      <c r="G209" s="10">
        <v>1.9958</v>
      </c>
      <c r="H209" s="15">
        <f t="shared" si="9"/>
        <v>13107.216919999999</v>
      </c>
      <c r="I209" s="6"/>
      <c r="J209" s="13">
        <v>6023.25</v>
      </c>
      <c r="K209" s="11">
        <v>0.74470000000000003</v>
      </c>
      <c r="L209" s="15">
        <f t="shared" si="10"/>
        <v>8088.156304552168</v>
      </c>
      <c r="M209" s="6"/>
      <c r="N209" s="13">
        <v>18188.63</v>
      </c>
      <c r="O209" s="11">
        <v>124.09</v>
      </c>
      <c r="P209" s="15">
        <f t="shared" si="11"/>
        <v>146.57611411072608</v>
      </c>
    </row>
    <row r="210" spans="1:16">
      <c r="A210" s="1">
        <v>206</v>
      </c>
      <c r="B210" s="9">
        <v>39258</v>
      </c>
      <c r="C210" s="6"/>
      <c r="D210" s="12">
        <v>13352.05</v>
      </c>
      <c r="E210" s="6"/>
      <c r="F210" s="13">
        <v>6588.4</v>
      </c>
      <c r="G210" s="10">
        <v>1.9965999999999999</v>
      </c>
      <c r="H210" s="15">
        <f t="shared" si="9"/>
        <v>13154.399439999999</v>
      </c>
      <c r="I210" s="6"/>
      <c r="J210" s="13">
        <v>6002.85</v>
      </c>
      <c r="K210" s="11">
        <v>0.74329999999999996</v>
      </c>
      <c r="L210" s="15">
        <f t="shared" si="10"/>
        <v>8075.9451096461735</v>
      </c>
      <c r="M210" s="6"/>
      <c r="N210" s="13">
        <v>18087.48</v>
      </c>
      <c r="O210" s="11">
        <v>123.74</v>
      </c>
      <c r="P210" s="15">
        <f t="shared" si="11"/>
        <v>146.17326652658801</v>
      </c>
    </row>
    <row r="211" spans="1:16">
      <c r="A211" s="1">
        <v>207</v>
      </c>
      <c r="B211" s="9">
        <v>39259</v>
      </c>
      <c r="C211" s="6"/>
      <c r="D211" s="12">
        <v>13337.66</v>
      </c>
      <c r="E211" s="6"/>
      <c r="F211" s="13">
        <v>6559.3</v>
      </c>
      <c r="G211" s="10">
        <v>1.9994000000000001</v>
      </c>
      <c r="H211" s="15">
        <f t="shared" si="9"/>
        <v>13114.664420000001</v>
      </c>
      <c r="I211" s="6"/>
      <c r="J211" s="13">
        <v>5953.36</v>
      </c>
      <c r="K211" s="11">
        <v>0.74280000000000002</v>
      </c>
      <c r="L211" s="15">
        <f t="shared" si="10"/>
        <v>8014.7549811523959</v>
      </c>
      <c r="M211" s="6"/>
      <c r="N211" s="13">
        <v>18066.11</v>
      </c>
      <c r="O211" s="11">
        <v>123.09</v>
      </c>
      <c r="P211" s="15">
        <f t="shared" si="11"/>
        <v>146.77154927288976</v>
      </c>
    </row>
    <row r="212" spans="1:16">
      <c r="A212" s="1">
        <v>208</v>
      </c>
      <c r="B212" s="9">
        <v>39260</v>
      </c>
      <c r="C212" s="6"/>
      <c r="D212" s="12">
        <v>13427.73</v>
      </c>
      <c r="E212" s="6"/>
      <c r="F212" s="13">
        <v>6527.6</v>
      </c>
      <c r="G212" s="10">
        <v>1.9967999999999999</v>
      </c>
      <c r="H212" s="15">
        <f t="shared" si="9"/>
        <v>13034.311680000001</v>
      </c>
      <c r="I212" s="6"/>
      <c r="J212" s="13">
        <v>5941.67</v>
      </c>
      <c r="K212" s="11">
        <v>0.74450000000000005</v>
      </c>
      <c r="L212" s="15">
        <f t="shared" si="10"/>
        <v>7980.7521826729344</v>
      </c>
      <c r="M212" s="6"/>
      <c r="N212" s="13">
        <v>17849.28</v>
      </c>
      <c r="O212" s="11">
        <v>122.48</v>
      </c>
      <c r="P212" s="15">
        <f t="shared" si="11"/>
        <v>145.73220117570213</v>
      </c>
    </row>
    <row r="213" spans="1:16">
      <c r="A213" s="1">
        <v>209</v>
      </c>
      <c r="B213" s="9">
        <v>39261</v>
      </c>
      <c r="C213" s="6"/>
      <c r="D213" s="12">
        <v>13422.28</v>
      </c>
      <c r="E213" s="6"/>
      <c r="F213" s="13">
        <v>6571.3</v>
      </c>
      <c r="G213" s="10">
        <v>2.0026000000000002</v>
      </c>
      <c r="H213" s="15">
        <f t="shared" si="9"/>
        <v>13159.685380000001</v>
      </c>
      <c r="I213" s="6"/>
      <c r="J213" s="13">
        <v>6006.31</v>
      </c>
      <c r="K213" s="11">
        <v>0.74270000000000003</v>
      </c>
      <c r="L213" s="15">
        <f t="shared" si="10"/>
        <v>8087.1280463174908</v>
      </c>
      <c r="M213" s="6"/>
      <c r="N213" s="13">
        <v>17932.27</v>
      </c>
      <c r="O213" s="11">
        <v>122.97</v>
      </c>
      <c r="P213" s="15">
        <f t="shared" si="11"/>
        <v>145.82638041798813</v>
      </c>
    </row>
    <row r="214" spans="1:16">
      <c r="A214" s="1">
        <v>210</v>
      </c>
      <c r="B214" s="9">
        <v>39262</v>
      </c>
      <c r="C214" s="6"/>
      <c r="D214" s="12">
        <v>13408.62</v>
      </c>
      <c r="E214" s="6"/>
      <c r="F214" s="13">
        <v>6607.9</v>
      </c>
      <c r="G214" s="10">
        <v>2.0064000000000002</v>
      </c>
      <c r="H214" s="15">
        <f t="shared" si="9"/>
        <v>13258.090560000001</v>
      </c>
      <c r="I214" s="6"/>
      <c r="J214" s="13">
        <v>6054.93</v>
      </c>
      <c r="K214" s="11">
        <v>0.74050000000000005</v>
      </c>
      <c r="L214" s="15">
        <f t="shared" si="10"/>
        <v>8176.812964213369</v>
      </c>
      <c r="M214" s="6"/>
      <c r="N214" s="13">
        <v>18138.36</v>
      </c>
      <c r="O214" s="11">
        <v>123.51</v>
      </c>
      <c r="P214" s="15">
        <f t="shared" si="11"/>
        <v>146.85742045178529</v>
      </c>
    </row>
    <row r="215" spans="1:16">
      <c r="A215" s="1">
        <v>211</v>
      </c>
      <c r="B215" s="9">
        <v>39265</v>
      </c>
      <c r="C215" s="6"/>
      <c r="D215" s="12">
        <v>13535.43</v>
      </c>
      <c r="E215" s="6"/>
      <c r="F215" s="13">
        <v>6590.6</v>
      </c>
      <c r="G215" s="10">
        <v>2.0135999999999998</v>
      </c>
      <c r="H215" s="15">
        <f t="shared" si="9"/>
        <v>13270.83216</v>
      </c>
      <c r="I215" s="6"/>
      <c r="J215" s="13">
        <v>6026.95</v>
      </c>
      <c r="K215" s="11">
        <v>0.73370000000000002</v>
      </c>
      <c r="L215" s="15">
        <f t="shared" si="10"/>
        <v>8214.4609513425094</v>
      </c>
      <c r="M215" s="6"/>
      <c r="N215" s="13">
        <v>18146.3</v>
      </c>
      <c r="O215" s="11">
        <v>122.31</v>
      </c>
      <c r="P215" s="15">
        <f t="shared" si="11"/>
        <v>148.36317553756845</v>
      </c>
    </row>
    <row r="216" spans="1:16">
      <c r="A216" s="1">
        <v>212</v>
      </c>
      <c r="B216" s="9">
        <v>39266</v>
      </c>
      <c r="C216" s="6"/>
      <c r="D216" s="12">
        <v>13577.3</v>
      </c>
      <c r="E216" s="6"/>
      <c r="F216" s="13">
        <v>6639.8</v>
      </c>
      <c r="G216" s="10">
        <v>2.0165000000000002</v>
      </c>
      <c r="H216" s="15">
        <f t="shared" si="9"/>
        <v>13389.156700000001</v>
      </c>
      <c r="I216" s="6"/>
      <c r="J216" s="13">
        <v>6069.84</v>
      </c>
      <c r="K216" s="11">
        <v>0.73460000000000003</v>
      </c>
      <c r="L216" s="15">
        <f t="shared" si="10"/>
        <v>8262.7824666485158</v>
      </c>
      <c r="M216" s="6"/>
      <c r="N216" s="13">
        <v>18149.900000000001</v>
      </c>
      <c r="O216" s="11">
        <v>122.33</v>
      </c>
      <c r="P216" s="15">
        <f t="shared" si="11"/>
        <v>148.36834791138725</v>
      </c>
    </row>
    <row r="217" spans="1:16">
      <c r="A217" s="1">
        <v>213</v>
      </c>
      <c r="B217" s="9">
        <v>39268</v>
      </c>
      <c r="C217" s="6"/>
      <c r="D217" s="12">
        <v>13565.84</v>
      </c>
      <c r="E217" s="6"/>
      <c r="F217" s="13">
        <v>6635.2</v>
      </c>
      <c r="G217" s="10">
        <v>2.0104000000000002</v>
      </c>
      <c r="H217" s="15">
        <f t="shared" si="9"/>
        <v>13339.406080000001</v>
      </c>
      <c r="I217" s="6"/>
      <c r="J217" s="13">
        <v>6059.53</v>
      </c>
      <c r="K217" s="11">
        <v>0.73529999999999995</v>
      </c>
      <c r="L217" s="15">
        <f t="shared" si="10"/>
        <v>8240.8948728410178</v>
      </c>
      <c r="M217" s="6"/>
      <c r="N217" s="13">
        <v>18221.48</v>
      </c>
      <c r="O217" s="11">
        <v>122.82</v>
      </c>
      <c r="P217" s="15">
        <f t="shared" si="11"/>
        <v>148.35922488194106</v>
      </c>
    </row>
    <row r="218" spans="1:16">
      <c r="A218" s="1">
        <v>214</v>
      </c>
      <c r="B218" s="9">
        <v>39269</v>
      </c>
      <c r="C218" s="6"/>
      <c r="D218" s="12">
        <v>13611.68</v>
      </c>
      <c r="E218" s="6"/>
      <c r="F218" s="13">
        <v>6690.1</v>
      </c>
      <c r="G218" s="10">
        <v>2.0131000000000001</v>
      </c>
      <c r="H218" s="15">
        <f t="shared" si="9"/>
        <v>13467.840310000001</v>
      </c>
      <c r="I218" s="6"/>
      <c r="J218" s="13">
        <v>6102.69</v>
      </c>
      <c r="K218" s="11">
        <v>0.73360000000000003</v>
      </c>
      <c r="L218" s="15">
        <f t="shared" si="10"/>
        <v>8318.8249727371858</v>
      </c>
      <c r="M218" s="6"/>
      <c r="N218" s="13">
        <v>18140.939999999999</v>
      </c>
      <c r="O218" s="11">
        <v>123.2</v>
      </c>
      <c r="P218" s="15">
        <f t="shared" si="11"/>
        <v>147.24788961038959</v>
      </c>
    </row>
    <row r="219" spans="1:16">
      <c r="A219" s="1">
        <v>215</v>
      </c>
      <c r="B219" s="9">
        <v>39272</v>
      </c>
      <c r="C219" s="6"/>
      <c r="D219" s="12">
        <v>13649.97</v>
      </c>
      <c r="E219" s="6"/>
      <c r="F219" s="13">
        <v>6712.7</v>
      </c>
      <c r="G219" s="10">
        <v>2.0150999999999999</v>
      </c>
      <c r="H219" s="15">
        <f t="shared" si="9"/>
        <v>13526.761769999999</v>
      </c>
      <c r="I219" s="6"/>
      <c r="J219" s="13">
        <v>6104.66</v>
      </c>
      <c r="K219" s="11">
        <v>0.73380000000000001</v>
      </c>
      <c r="L219" s="15">
        <f t="shared" si="10"/>
        <v>8319.242300354319</v>
      </c>
      <c r="M219" s="6"/>
      <c r="N219" s="13">
        <v>18261.98</v>
      </c>
      <c r="O219" s="11">
        <v>123.31</v>
      </c>
      <c r="P219" s="15">
        <f t="shared" si="11"/>
        <v>148.09812667261374</v>
      </c>
    </row>
    <row r="220" spans="1:16">
      <c r="A220" s="1">
        <v>216</v>
      </c>
      <c r="B220" s="9">
        <v>39273</v>
      </c>
      <c r="C220" s="6"/>
      <c r="D220" s="12">
        <v>13501.7</v>
      </c>
      <c r="E220" s="6"/>
      <c r="F220" s="13">
        <v>6630.9</v>
      </c>
      <c r="G220" s="10">
        <v>2.0238</v>
      </c>
      <c r="H220" s="15">
        <f t="shared" si="9"/>
        <v>13419.61542</v>
      </c>
      <c r="I220" s="6"/>
      <c r="J220" s="13">
        <v>6019.22</v>
      </c>
      <c r="K220" s="11">
        <v>0.72889999999999999</v>
      </c>
      <c r="L220" s="15">
        <f t="shared" si="10"/>
        <v>8257.9503361229254</v>
      </c>
      <c r="M220" s="6"/>
      <c r="N220" s="13">
        <v>18252.669999999998</v>
      </c>
      <c r="O220" s="11">
        <v>122.08</v>
      </c>
      <c r="P220" s="15">
        <f t="shared" si="11"/>
        <v>149.51400720838794</v>
      </c>
    </row>
    <row r="221" spans="1:16">
      <c r="A221" s="1">
        <v>217</v>
      </c>
      <c r="B221" s="9">
        <v>39274</v>
      </c>
      <c r="C221" s="6"/>
      <c r="D221" s="12">
        <v>13577.87</v>
      </c>
      <c r="E221" s="6"/>
      <c r="F221" s="13">
        <v>6615.1</v>
      </c>
      <c r="G221" s="10">
        <v>2.0343</v>
      </c>
      <c r="H221" s="15">
        <f t="shared" si="9"/>
        <v>13457.09793</v>
      </c>
      <c r="I221" s="6"/>
      <c r="J221" s="13">
        <v>6001.09</v>
      </c>
      <c r="K221" s="11">
        <v>0.72589999999999999</v>
      </c>
      <c r="L221" s="15">
        <f t="shared" si="10"/>
        <v>8267.1029067364652</v>
      </c>
      <c r="M221" s="6"/>
      <c r="N221" s="13">
        <v>18049.509999999998</v>
      </c>
      <c r="O221" s="11">
        <v>121.84</v>
      </c>
      <c r="P221" s="15">
        <f t="shared" si="11"/>
        <v>148.14108667104398</v>
      </c>
    </row>
    <row r="222" spans="1:16">
      <c r="A222" s="1">
        <v>218</v>
      </c>
      <c r="B222" s="9">
        <v>39275</v>
      </c>
      <c r="C222" s="6"/>
      <c r="D222" s="12">
        <v>13861.73</v>
      </c>
      <c r="E222" s="6"/>
      <c r="F222" s="13">
        <v>6697.7</v>
      </c>
      <c r="G222" s="10">
        <v>2.0289000000000001</v>
      </c>
      <c r="H222" s="15">
        <f t="shared" si="9"/>
        <v>13588.963530000001</v>
      </c>
      <c r="I222" s="6"/>
      <c r="J222" s="13">
        <v>6103.05</v>
      </c>
      <c r="K222" s="11">
        <v>0.72619999999999996</v>
      </c>
      <c r="L222" s="15">
        <f t="shared" si="10"/>
        <v>8404.0897824290842</v>
      </c>
      <c r="M222" s="6"/>
      <c r="N222" s="13">
        <v>17984.14</v>
      </c>
      <c r="O222" s="11">
        <v>122.46</v>
      </c>
      <c r="P222" s="15">
        <f t="shared" si="11"/>
        <v>146.85725951331048</v>
      </c>
    </row>
    <row r="223" spans="1:16">
      <c r="A223" s="1">
        <v>219</v>
      </c>
      <c r="B223" s="9">
        <v>39276</v>
      </c>
      <c r="C223" s="6"/>
      <c r="D223" s="12">
        <v>13907.25</v>
      </c>
      <c r="E223" s="6"/>
      <c r="F223" s="13">
        <v>6716.7</v>
      </c>
      <c r="G223" s="10">
        <v>2.0326</v>
      </c>
      <c r="H223" s="15">
        <f t="shared" si="9"/>
        <v>13652.36442</v>
      </c>
      <c r="I223" s="6"/>
      <c r="J223" s="13">
        <v>6117.96</v>
      </c>
      <c r="K223" s="11">
        <v>0.72599999999999998</v>
      </c>
      <c r="L223" s="15">
        <f t="shared" si="10"/>
        <v>8426.9421487603304</v>
      </c>
      <c r="M223" s="6"/>
      <c r="N223" s="13">
        <v>18238.95</v>
      </c>
      <c r="O223" s="11">
        <v>122.24</v>
      </c>
      <c r="P223" s="15">
        <f t="shared" si="11"/>
        <v>149.20607002617803</v>
      </c>
    </row>
    <row r="224" spans="1:16">
      <c r="A224" s="1">
        <v>220</v>
      </c>
      <c r="B224" s="9">
        <v>39280</v>
      </c>
      <c r="C224" s="6"/>
      <c r="D224" s="12">
        <v>13971.55</v>
      </c>
      <c r="E224" s="6"/>
      <c r="F224" s="13">
        <v>6659.1</v>
      </c>
      <c r="G224" s="10">
        <v>2.0446</v>
      </c>
      <c r="H224" s="15">
        <f t="shared" si="9"/>
        <v>13615.19586</v>
      </c>
      <c r="I224" s="6"/>
      <c r="J224" s="13">
        <v>6099.21</v>
      </c>
      <c r="K224" s="11">
        <v>0.72540000000000004</v>
      </c>
      <c r="L224" s="15">
        <f t="shared" si="10"/>
        <v>8408.0645161290322</v>
      </c>
      <c r="M224" s="6"/>
      <c r="N224" s="13">
        <v>18217.27</v>
      </c>
      <c r="O224" s="11">
        <v>122.22</v>
      </c>
      <c r="P224" s="15">
        <f t="shared" si="11"/>
        <v>149.05310096547211</v>
      </c>
    </row>
    <row r="225" spans="1:16">
      <c r="A225" s="1">
        <v>221</v>
      </c>
      <c r="B225" s="9">
        <v>39281</v>
      </c>
      <c r="C225" s="6"/>
      <c r="D225" s="12">
        <v>13918.22</v>
      </c>
      <c r="E225" s="6"/>
      <c r="F225" s="13">
        <v>6567.1</v>
      </c>
      <c r="G225" s="10">
        <v>2.0522</v>
      </c>
      <c r="H225" s="15">
        <f t="shared" si="9"/>
        <v>13477.002620000001</v>
      </c>
      <c r="I225" s="6"/>
      <c r="J225" s="13">
        <v>5995.97</v>
      </c>
      <c r="K225" s="11">
        <v>0.72419999999999995</v>
      </c>
      <c r="L225" s="15">
        <f t="shared" si="10"/>
        <v>8279.4393813863589</v>
      </c>
      <c r="M225" s="6"/>
      <c r="N225" s="13">
        <v>18015.580000000002</v>
      </c>
      <c r="O225" s="11">
        <v>121.83</v>
      </c>
      <c r="P225" s="15">
        <f t="shared" si="11"/>
        <v>147.87474349503407</v>
      </c>
    </row>
    <row r="226" spans="1:16">
      <c r="A226" s="1">
        <v>222</v>
      </c>
      <c r="B226" s="9">
        <v>39282</v>
      </c>
      <c r="C226" s="6"/>
      <c r="D226" s="12">
        <v>14000.41</v>
      </c>
      <c r="E226" s="6"/>
      <c r="F226" s="13">
        <v>6640.2</v>
      </c>
      <c r="G226" s="10">
        <v>2.0499000000000001</v>
      </c>
      <c r="H226" s="15">
        <f t="shared" si="9"/>
        <v>13611.74598</v>
      </c>
      <c r="I226" s="6"/>
      <c r="J226" s="13">
        <v>6065.5</v>
      </c>
      <c r="K226" s="11">
        <v>0.72340000000000004</v>
      </c>
      <c r="L226" s="15">
        <f t="shared" si="10"/>
        <v>8384.7110865358027</v>
      </c>
      <c r="M226" s="6"/>
      <c r="N226" s="13">
        <v>18116.57</v>
      </c>
      <c r="O226" s="11">
        <v>122.01</v>
      </c>
      <c r="P226" s="15">
        <f t="shared" si="11"/>
        <v>148.48430456519955</v>
      </c>
    </row>
    <row r="227" spans="1:16">
      <c r="A227" s="1">
        <v>223</v>
      </c>
      <c r="B227" s="9">
        <v>39283</v>
      </c>
      <c r="C227" s="6"/>
      <c r="D227" s="12">
        <v>13851.08</v>
      </c>
      <c r="E227" s="6"/>
      <c r="F227" s="13">
        <v>6585.2</v>
      </c>
      <c r="G227" s="10">
        <v>2.0552000000000001</v>
      </c>
      <c r="H227" s="15">
        <f t="shared" si="9"/>
        <v>13533.903040000001</v>
      </c>
      <c r="I227" s="6"/>
      <c r="J227" s="13">
        <v>5957.16</v>
      </c>
      <c r="K227" s="11">
        <v>0.7228</v>
      </c>
      <c r="L227" s="15">
        <f t="shared" si="10"/>
        <v>8241.7819590481467</v>
      </c>
      <c r="M227" s="6"/>
      <c r="N227" s="13">
        <v>18157.93</v>
      </c>
      <c r="O227" s="11">
        <v>121.2</v>
      </c>
      <c r="P227" s="15">
        <f t="shared" si="11"/>
        <v>149.81790429042906</v>
      </c>
    </row>
    <row r="228" spans="1:16">
      <c r="A228" s="1">
        <v>224</v>
      </c>
      <c r="B228" s="9">
        <v>39286</v>
      </c>
      <c r="C228" s="6"/>
      <c r="D228" s="12">
        <v>13943.42</v>
      </c>
      <c r="E228" s="6"/>
      <c r="F228" s="13">
        <v>6624.4</v>
      </c>
      <c r="G228" s="10">
        <v>2.0579999999999998</v>
      </c>
      <c r="H228" s="15">
        <f t="shared" si="9"/>
        <v>13633.015199999998</v>
      </c>
      <c r="I228" s="6"/>
      <c r="J228" s="13">
        <v>6009.16</v>
      </c>
      <c r="K228" s="11">
        <v>0.72370000000000001</v>
      </c>
      <c r="L228" s="15">
        <f t="shared" si="10"/>
        <v>8303.3853806826028</v>
      </c>
      <c r="M228" s="6"/>
      <c r="N228" s="13">
        <v>17963.64</v>
      </c>
      <c r="O228" s="11">
        <v>121.35</v>
      </c>
      <c r="P228" s="15">
        <f t="shared" si="11"/>
        <v>148.03164400494438</v>
      </c>
    </row>
    <row r="229" spans="1:16">
      <c r="A229" s="1">
        <v>225</v>
      </c>
      <c r="B229" s="9">
        <v>39287</v>
      </c>
      <c r="C229" s="6"/>
      <c r="D229" s="12">
        <v>13716.95</v>
      </c>
      <c r="E229" s="6"/>
      <c r="F229" s="13">
        <v>6498.7</v>
      </c>
      <c r="G229" s="10">
        <v>2.0613000000000001</v>
      </c>
      <c r="H229" s="15">
        <f t="shared" si="9"/>
        <v>13395.77031</v>
      </c>
      <c r="I229" s="6"/>
      <c r="J229" s="13">
        <v>5907.47</v>
      </c>
      <c r="K229" s="11">
        <v>0.72330000000000005</v>
      </c>
      <c r="L229" s="15">
        <f t="shared" si="10"/>
        <v>8167.3855938061661</v>
      </c>
      <c r="M229" s="6"/>
      <c r="N229" s="13">
        <v>18002.03</v>
      </c>
      <c r="O229" s="11">
        <v>120.66</v>
      </c>
      <c r="P229" s="15">
        <f t="shared" si="11"/>
        <v>149.19633681418861</v>
      </c>
    </row>
    <row r="230" spans="1:16">
      <c r="A230" s="1">
        <v>226</v>
      </c>
      <c r="B230" s="9">
        <v>39288</v>
      </c>
      <c r="C230" s="6"/>
      <c r="D230" s="12">
        <v>13785.79</v>
      </c>
      <c r="E230" s="6"/>
      <c r="F230" s="13">
        <v>6454.3</v>
      </c>
      <c r="G230" s="10">
        <v>2.0495000000000001</v>
      </c>
      <c r="H230" s="15">
        <f t="shared" si="9"/>
        <v>13228.087850000002</v>
      </c>
      <c r="I230" s="6"/>
      <c r="J230" s="13">
        <v>5837.11</v>
      </c>
      <c r="K230" s="11">
        <v>0.72970000000000002</v>
      </c>
      <c r="L230" s="15">
        <f t="shared" si="10"/>
        <v>7999.3284911607507</v>
      </c>
      <c r="M230" s="6"/>
      <c r="N230" s="13">
        <v>17858.419999999998</v>
      </c>
      <c r="O230" s="11">
        <v>120.25</v>
      </c>
      <c r="P230" s="15">
        <f t="shared" si="11"/>
        <v>148.51076923076923</v>
      </c>
    </row>
    <row r="231" spans="1:16">
      <c r="A231" s="1">
        <v>227</v>
      </c>
      <c r="B231" s="9">
        <v>39289</v>
      </c>
      <c r="C231" s="6"/>
      <c r="D231" s="12">
        <v>13473.57</v>
      </c>
      <c r="E231" s="6"/>
      <c r="F231" s="13">
        <v>6251.2</v>
      </c>
      <c r="G231" s="10">
        <v>2.0464000000000002</v>
      </c>
      <c r="H231" s="15">
        <f t="shared" si="9"/>
        <v>12792.455680000001</v>
      </c>
      <c r="I231" s="6"/>
      <c r="J231" s="13">
        <v>5675.05</v>
      </c>
      <c r="K231" s="11">
        <v>0.72889999999999999</v>
      </c>
      <c r="L231" s="15">
        <f t="shared" si="10"/>
        <v>7785.7730827273981</v>
      </c>
      <c r="M231" s="6"/>
      <c r="N231" s="13">
        <v>17702.09</v>
      </c>
      <c r="O231" s="11">
        <v>119.31</v>
      </c>
      <c r="P231" s="15">
        <f t="shared" si="11"/>
        <v>148.37054731372055</v>
      </c>
    </row>
    <row r="232" spans="1:16">
      <c r="A232" s="1">
        <v>228</v>
      </c>
      <c r="B232" s="9">
        <v>39290</v>
      </c>
      <c r="C232" s="6"/>
      <c r="D232" s="12">
        <v>13265.47</v>
      </c>
      <c r="E232" s="6"/>
      <c r="F232" s="13">
        <v>6215.2</v>
      </c>
      <c r="G232" s="10">
        <v>2.0306000000000002</v>
      </c>
      <c r="H232" s="15">
        <f t="shared" si="9"/>
        <v>12620.585120000002</v>
      </c>
      <c r="I232" s="6"/>
      <c r="J232" s="13">
        <v>5643.96</v>
      </c>
      <c r="K232" s="11">
        <v>0.73229999999999995</v>
      </c>
      <c r="L232" s="15">
        <f t="shared" si="10"/>
        <v>7707.1691929537083</v>
      </c>
      <c r="M232" s="6"/>
      <c r="N232" s="13">
        <v>17283.810000000001</v>
      </c>
      <c r="O232" s="11">
        <v>118.8</v>
      </c>
      <c r="P232" s="15">
        <f t="shared" si="11"/>
        <v>145.48661616161618</v>
      </c>
    </row>
    <row r="233" spans="1:16">
      <c r="A233" s="1">
        <v>229</v>
      </c>
      <c r="B233" s="9">
        <v>39293</v>
      </c>
      <c r="C233" s="6"/>
      <c r="D233" s="12">
        <v>13358.31</v>
      </c>
      <c r="E233" s="6"/>
      <c r="F233" s="13">
        <v>6206.1</v>
      </c>
      <c r="G233" s="10">
        <v>2.0242</v>
      </c>
      <c r="H233" s="15">
        <f t="shared" si="9"/>
        <v>12562.387620000001</v>
      </c>
      <c r="I233" s="6"/>
      <c r="J233" s="13">
        <v>5646.36</v>
      </c>
      <c r="K233" s="11">
        <v>0.73089999999999999</v>
      </c>
      <c r="L233" s="15">
        <f t="shared" si="10"/>
        <v>7725.2154877548228</v>
      </c>
      <c r="M233" s="6"/>
      <c r="N233" s="13">
        <v>17289.3</v>
      </c>
      <c r="O233" s="11">
        <v>118.46</v>
      </c>
      <c r="P233" s="15">
        <f t="shared" si="11"/>
        <v>145.95053182508863</v>
      </c>
    </row>
    <row r="234" spans="1:16">
      <c r="A234" s="1">
        <v>230</v>
      </c>
      <c r="B234" s="9">
        <v>39294</v>
      </c>
      <c r="C234" s="6"/>
      <c r="D234" s="12">
        <v>13211.99</v>
      </c>
      <c r="E234" s="6"/>
      <c r="F234" s="13">
        <v>6360.1</v>
      </c>
      <c r="G234" s="10">
        <v>2.0322</v>
      </c>
      <c r="H234" s="15">
        <f t="shared" si="9"/>
        <v>12924.995220000001</v>
      </c>
      <c r="I234" s="6"/>
      <c r="J234" s="13">
        <v>5751.08</v>
      </c>
      <c r="K234" s="11">
        <v>0.73040000000000005</v>
      </c>
      <c r="L234" s="15">
        <f t="shared" si="10"/>
        <v>7873.8773274917849</v>
      </c>
      <c r="M234" s="6"/>
      <c r="N234" s="13">
        <v>17248.89</v>
      </c>
      <c r="O234" s="11">
        <v>119.07</v>
      </c>
      <c r="P234" s="15">
        <f t="shared" si="11"/>
        <v>144.86344167296548</v>
      </c>
    </row>
    <row r="235" spans="1:16">
      <c r="A235" s="1">
        <v>231</v>
      </c>
      <c r="B235" s="9">
        <v>39295</v>
      </c>
      <c r="C235" s="6"/>
      <c r="D235" s="12">
        <v>13362.37</v>
      </c>
      <c r="E235" s="6"/>
      <c r="F235" s="13">
        <v>6250.6</v>
      </c>
      <c r="G235" s="10">
        <v>2.0293000000000001</v>
      </c>
      <c r="H235" s="15">
        <f t="shared" si="9"/>
        <v>12684.342580000002</v>
      </c>
      <c r="I235" s="6"/>
      <c r="J235" s="13">
        <v>5654.3</v>
      </c>
      <c r="K235" s="11">
        <v>0.73119999999999996</v>
      </c>
      <c r="L235" s="15">
        <f t="shared" si="10"/>
        <v>7732.9048140043769</v>
      </c>
      <c r="M235" s="6"/>
      <c r="N235" s="13">
        <v>16870.98</v>
      </c>
      <c r="O235" s="11">
        <v>118.55</v>
      </c>
      <c r="P235" s="15">
        <f t="shared" si="11"/>
        <v>142.31109236609026</v>
      </c>
    </row>
    <row r="236" spans="1:16">
      <c r="A236" s="1">
        <v>232</v>
      </c>
      <c r="B236" s="9">
        <v>39296</v>
      </c>
      <c r="C236" s="6"/>
      <c r="D236" s="12">
        <v>13463.33</v>
      </c>
      <c r="E236" s="6"/>
      <c r="F236" s="13">
        <v>6300.3</v>
      </c>
      <c r="G236" s="10">
        <v>2.0326</v>
      </c>
      <c r="H236" s="15">
        <f t="shared" si="9"/>
        <v>12805.98978</v>
      </c>
      <c r="I236" s="6"/>
      <c r="J236" s="13">
        <v>5682.07</v>
      </c>
      <c r="K236" s="11">
        <v>0.73129999999999995</v>
      </c>
      <c r="L236" s="15">
        <f t="shared" si="10"/>
        <v>7769.8208669492687</v>
      </c>
      <c r="M236" s="6"/>
      <c r="N236" s="13">
        <v>16984.11</v>
      </c>
      <c r="O236" s="11">
        <v>118.99</v>
      </c>
      <c r="P236" s="15">
        <f t="shared" si="11"/>
        <v>142.73560803428862</v>
      </c>
    </row>
    <row r="237" spans="1:16">
      <c r="A237" s="1">
        <v>233</v>
      </c>
      <c r="B237" s="9">
        <v>39297</v>
      </c>
      <c r="C237" s="6"/>
      <c r="D237" s="12">
        <v>13181.91</v>
      </c>
      <c r="E237" s="6"/>
      <c r="F237" s="13">
        <v>6224.3</v>
      </c>
      <c r="G237" s="10">
        <v>2.0388999999999999</v>
      </c>
      <c r="H237" s="15">
        <f t="shared" si="9"/>
        <v>12690.725270000001</v>
      </c>
      <c r="I237" s="6"/>
      <c r="J237" s="13">
        <v>5597.89</v>
      </c>
      <c r="K237" s="11">
        <v>0.72640000000000005</v>
      </c>
      <c r="L237" s="15">
        <f t="shared" si="10"/>
        <v>7706.3463656387667</v>
      </c>
      <c r="M237" s="6"/>
      <c r="N237" s="13">
        <v>16979.86</v>
      </c>
      <c r="O237" s="11">
        <v>118.37</v>
      </c>
      <c r="P237" s="15">
        <f t="shared" si="11"/>
        <v>143.44732618062008</v>
      </c>
    </row>
    <row r="238" spans="1:16">
      <c r="A238" s="1">
        <v>234</v>
      </c>
      <c r="B238" s="9">
        <v>39300</v>
      </c>
      <c r="C238" s="6"/>
      <c r="D238" s="12">
        <v>13468.78</v>
      </c>
      <c r="E238" s="6"/>
      <c r="F238" s="13">
        <v>6189.1</v>
      </c>
      <c r="G238" s="10">
        <v>2.0314000000000001</v>
      </c>
      <c r="H238" s="15">
        <f t="shared" si="9"/>
        <v>12572.537740000002</v>
      </c>
      <c r="I238" s="6"/>
      <c r="J238" s="13">
        <v>5532.99</v>
      </c>
      <c r="K238" s="11">
        <v>0.7248</v>
      </c>
      <c r="L238" s="15">
        <f t="shared" si="10"/>
        <v>7633.8162251655622</v>
      </c>
      <c r="M238" s="6"/>
      <c r="N238" s="13">
        <v>16914.46</v>
      </c>
      <c r="O238" s="11">
        <v>117.8</v>
      </c>
      <c r="P238" s="15">
        <f t="shared" si="11"/>
        <v>143.58624787775892</v>
      </c>
    </row>
    <row r="239" spans="1:16">
      <c r="A239" s="1">
        <v>235</v>
      </c>
      <c r="B239" s="9">
        <v>39301</v>
      </c>
      <c r="C239" s="6"/>
      <c r="D239" s="12">
        <v>13504.3</v>
      </c>
      <c r="E239" s="6"/>
      <c r="F239" s="13">
        <v>6308.8</v>
      </c>
      <c r="G239" s="10">
        <v>2.0211999999999999</v>
      </c>
      <c r="H239" s="15">
        <f t="shared" si="9"/>
        <v>12751.34656</v>
      </c>
      <c r="I239" s="6"/>
      <c r="J239" s="13">
        <v>5620.4</v>
      </c>
      <c r="K239" s="11">
        <v>0.72650000000000003</v>
      </c>
      <c r="L239" s="15">
        <f t="shared" si="10"/>
        <v>7736.2697866483131</v>
      </c>
      <c r="M239" s="6"/>
      <c r="N239" s="13">
        <v>16921.77</v>
      </c>
      <c r="O239" s="11">
        <v>118.4</v>
      </c>
      <c r="P239" s="15">
        <f t="shared" si="11"/>
        <v>142.92035472972972</v>
      </c>
    </row>
    <row r="240" spans="1:16">
      <c r="A240" s="1">
        <v>236</v>
      </c>
      <c r="B240" s="9">
        <v>39302</v>
      </c>
      <c r="C240" s="6"/>
      <c r="D240" s="12">
        <v>13657.86</v>
      </c>
      <c r="E240" s="6"/>
      <c r="F240" s="13">
        <v>6393.9</v>
      </c>
      <c r="G240" s="10">
        <v>2.0386000000000002</v>
      </c>
      <c r="H240" s="15">
        <f t="shared" si="9"/>
        <v>13034.60454</v>
      </c>
      <c r="I240" s="6"/>
      <c r="J240" s="13">
        <v>5749.29</v>
      </c>
      <c r="K240" s="11">
        <v>0.72360000000000002</v>
      </c>
      <c r="L240" s="15">
        <f t="shared" si="10"/>
        <v>7945.3980099502487</v>
      </c>
      <c r="M240" s="6"/>
      <c r="N240" s="13">
        <v>17029.28</v>
      </c>
      <c r="O240" s="11">
        <v>119.64</v>
      </c>
      <c r="P240" s="15">
        <f t="shared" si="11"/>
        <v>142.33767970578401</v>
      </c>
    </row>
    <row r="241" spans="1:16">
      <c r="A241" s="1">
        <v>237</v>
      </c>
      <c r="B241" s="9">
        <v>39303</v>
      </c>
      <c r="C241" s="6"/>
      <c r="D241" s="12">
        <v>13270.68</v>
      </c>
      <c r="E241" s="6"/>
      <c r="F241" s="13">
        <v>6271.2</v>
      </c>
      <c r="G241" s="10">
        <v>2.0299</v>
      </c>
      <c r="H241" s="15">
        <f t="shared" si="9"/>
        <v>12729.908879999999</v>
      </c>
      <c r="I241" s="6"/>
      <c r="J241" s="13">
        <v>5624.78</v>
      </c>
      <c r="K241" s="11">
        <v>0.72970000000000002</v>
      </c>
      <c r="L241" s="15">
        <f t="shared" si="10"/>
        <v>7708.3458955735232</v>
      </c>
      <c r="M241" s="6"/>
      <c r="N241" s="13">
        <v>17170.599999999999</v>
      </c>
      <c r="O241" s="11">
        <v>118.66</v>
      </c>
      <c r="P241" s="15">
        <f t="shared" si="11"/>
        <v>144.70419686499241</v>
      </c>
    </row>
    <row r="242" spans="1:16">
      <c r="A242" s="1">
        <v>238</v>
      </c>
      <c r="B242" s="9">
        <v>39304</v>
      </c>
      <c r="C242" s="6"/>
      <c r="D242" s="12">
        <v>13239.54</v>
      </c>
      <c r="E242" s="6"/>
      <c r="F242" s="13">
        <v>6038.3</v>
      </c>
      <c r="G242" s="10">
        <v>2.0196000000000001</v>
      </c>
      <c r="H242" s="15">
        <f t="shared" si="9"/>
        <v>12194.95068</v>
      </c>
      <c r="I242" s="6"/>
      <c r="J242" s="13">
        <v>5448.63</v>
      </c>
      <c r="K242" s="11">
        <v>0.73109999999999997</v>
      </c>
      <c r="L242" s="15">
        <f t="shared" si="10"/>
        <v>7452.6466967583101</v>
      </c>
      <c r="M242" s="6"/>
      <c r="N242" s="13">
        <v>16764.09</v>
      </c>
      <c r="O242" s="11">
        <v>117.78</v>
      </c>
      <c r="P242" s="15">
        <f t="shared" si="11"/>
        <v>142.33392766174222</v>
      </c>
    </row>
    <row r="243" spans="1:16">
      <c r="A243" s="1">
        <v>239</v>
      </c>
      <c r="B243" s="9">
        <v>39307</v>
      </c>
      <c r="C243" s="6"/>
      <c r="D243" s="12">
        <v>13236.53</v>
      </c>
      <c r="E243" s="6"/>
      <c r="F243" s="13">
        <v>6219</v>
      </c>
      <c r="G243" s="10">
        <v>2.0116000000000001</v>
      </c>
      <c r="H243" s="15">
        <f t="shared" si="9"/>
        <v>12510.1404</v>
      </c>
      <c r="I243" s="6"/>
      <c r="J243" s="13">
        <v>5569.28</v>
      </c>
      <c r="K243" s="11">
        <v>0.73450000000000004</v>
      </c>
      <c r="L243" s="15">
        <f t="shared" si="10"/>
        <v>7582.4098025867934</v>
      </c>
      <c r="M243" s="6"/>
      <c r="N243" s="13">
        <v>16800.05</v>
      </c>
      <c r="O243" s="11">
        <v>118.37</v>
      </c>
      <c r="P243" s="15">
        <f t="shared" si="11"/>
        <v>141.92827574554363</v>
      </c>
    </row>
    <row r="244" spans="1:16">
      <c r="A244" s="1">
        <v>240</v>
      </c>
      <c r="B244" s="9">
        <v>39308</v>
      </c>
      <c r="C244" s="6"/>
      <c r="D244" s="12">
        <v>13028.92</v>
      </c>
      <c r="E244" s="6"/>
      <c r="F244" s="13">
        <v>6143.5</v>
      </c>
      <c r="G244" s="10">
        <v>2</v>
      </c>
      <c r="H244" s="15">
        <f t="shared" si="9"/>
        <v>12287</v>
      </c>
      <c r="I244" s="6"/>
      <c r="J244" s="13">
        <v>5478.66</v>
      </c>
      <c r="K244" s="11">
        <v>0.7369</v>
      </c>
      <c r="L244" s="15">
        <f t="shared" si="10"/>
        <v>7434.7401275614056</v>
      </c>
      <c r="M244" s="6"/>
      <c r="N244" s="13">
        <v>16844.61</v>
      </c>
      <c r="O244" s="11">
        <v>117.93</v>
      </c>
      <c r="P244" s="15">
        <f t="shared" si="11"/>
        <v>142.83566522513354</v>
      </c>
    </row>
    <row r="245" spans="1:16">
      <c r="A245" s="1">
        <v>241</v>
      </c>
      <c r="B245" s="9">
        <v>39309</v>
      </c>
      <c r="C245" s="6"/>
      <c r="D245" s="12">
        <v>12861.47</v>
      </c>
      <c r="E245" s="6"/>
      <c r="F245" s="13">
        <v>6109.3</v>
      </c>
      <c r="G245" s="10">
        <v>1.9910000000000001</v>
      </c>
      <c r="H245" s="15">
        <f t="shared" si="9"/>
        <v>12163.616300000002</v>
      </c>
      <c r="I245" s="6"/>
      <c r="J245" s="13">
        <v>5442.72</v>
      </c>
      <c r="K245" s="11">
        <v>0.74239999999999995</v>
      </c>
      <c r="L245" s="15">
        <f t="shared" si="10"/>
        <v>7331.2500000000009</v>
      </c>
      <c r="M245" s="6"/>
      <c r="N245" s="13">
        <v>16475.61</v>
      </c>
      <c r="O245" s="11">
        <v>117.25</v>
      </c>
      <c r="P245" s="15">
        <f t="shared" si="11"/>
        <v>140.51692963752666</v>
      </c>
    </row>
    <row r="246" spans="1:16">
      <c r="A246" s="1">
        <v>242</v>
      </c>
      <c r="B246" s="9">
        <v>39310</v>
      </c>
      <c r="C246" s="6"/>
      <c r="D246" s="12">
        <v>12845.78</v>
      </c>
      <c r="E246" s="6"/>
      <c r="F246" s="13">
        <v>5858.9</v>
      </c>
      <c r="G246" s="10">
        <v>1.9816</v>
      </c>
      <c r="H246" s="15">
        <f t="shared" si="9"/>
        <v>11609.996239999999</v>
      </c>
      <c r="I246" s="6"/>
      <c r="J246" s="13">
        <v>5265.47</v>
      </c>
      <c r="K246" s="11">
        <v>0.74619999999999997</v>
      </c>
      <c r="L246" s="15">
        <f t="shared" si="10"/>
        <v>7056.3789868667927</v>
      </c>
      <c r="M246" s="6"/>
      <c r="N246" s="13">
        <v>16148.49</v>
      </c>
      <c r="O246" s="11">
        <v>114.23</v>
      </c>
      <c r="P246" s="15">
        <f t="shared" si="11"/>
        <v>141.3682044996936</v>
      </c>
    </row>
    <row r="247" spans="1:16">
      <c r="A247" s="1">
        <v>243</v>
      </c>
      <c r="B247" s="9">
        <v>39311</v>
      </c>
      <c r="C247" s="6"/>
      <c r="D247" s="12">
        <v>13079.08</v>
      </c>
      <c r="E247" s="6"/>
      <c r="F247" s="13">
        <v>6064.2</v>
      </c>
      <c r="G247" s="10">
        <v>1.986</v>
      </c>
      <c r="H247" s="15">
        <f t="shared" si="9"/>
        <v>12043.501199999999</v>
      </c>
      <c r="I247" s="6"/>
      <c r="J247" s="13">
        <v>5363.63</v>
      </c>
      <c r="K247" s="11">
        <v>0.74009999999999998</v>
      </c>
      <c r="L247" s="15">
        <f t="shared" si="10"/>
        <v>7247.1693014457505</v>
      </c>
      <c r="M247" s="6"/>
      <c r="N247" s="13">
        <v>15273.68</v>
      </c>
      <c r="O247" s="11">
        <v>113.78</v>
      </c>
      <c r="P247" s="15">
        <f t="shared" si="11"/>
        <v>134.23870627526807</v>
      </c>
    </row>
    <row r="248" spans="1:16">
      <c r="A248" s="1">
        <v>244</v>
      </c>
      <c r="B248" s="9">
        <v>39314</v>
      </c>
      <c r="C248" s="6"/>
      <c r="D248" s="12">
        <v>13121.35</v>
      </c>
      <c r="E248" s="6"/>
      <c r="F248" s="13">
        <v>6078.7</v>
      </c>
      <c r="G248" s="10">
        <v>1.9857</v>
      </c>
      <c r="H248" s="15">
        <f t="shared" si="9"/>
        <v>12070.47459</v>
      </c>
      <c r="I248" s="6"/>
      <c r="J248" s="13">
        <v>5399.38</v>
      </c>
      <c r="K248" s="11">
        <v>0.74180000000000001</v>
      </c>
      <c r="L248" s="15">
        <f t="shared" si="10"/>
        <v>7278.754381234834</v>
      </c>
      <c r="M248" s="6"/>
      <c r="N248" s="13">
        <v>15732.48</v>
      </c>
      <c r="O248" s="11">
        <v>114.83</v>
      </c>
      <c r="P248" s="15">
        <f t="shared" si="11"/>
        <v>137.00670556474788</v>
      </c>
    </row>
    <row r="249" spans="1:16">
      <c r="A249" s="1">
        <v>245</v>
      </c>
      <c r="B249" s="9">
        <v>39315</v>
      </c>
      <c r="C249" s="6"/>
      <c r="D249" s="12">
        <v>13090.86</v>
      </c>
      <c r="E249" s="6"/>
      <c r="F249" s="13">
        <v>6086.1</v>
      </c>
      <c r="G249" s="10">
        <v>1.9834000000000001</v>
      </c>
      <c r="H249" s="15">
        <f t="shared" si="9"/>
        <v>12071.170740000001</v>
      </c>
      <c r="I249" s="6"/>
      <c r="J249" s="13">
        <v>5418.78</v>
      </c>
      <c r="K249" s="11">
        <v>0.74119999999999997</v>
      </c>
      <c r="L249" s="15">
        <f t="shared" si="10"/>
        <v>7310.8202914193198</v>
      </c>
      <c r="M249" s="6"/>
      <c r="N249" s="13">
        <v>15901.34</v>
      </c>
      <c r="O249" s="11">
        <v>114.34</v>
      </c>
      <c r="P249" s="15">
        <f t="shared" si="11"/>
        <v>139.0706664334441</v>
      </c>
    </row>
    <row r="250" spans="1:16">
      <c r="A250" s="1">
        <v>246</v>
      </c>
      <c r="B250" s="9">
        <v>39316</v>
      </c>
      <c r="C250" s="6"/>
      <c r="D250" s="12">
        <v>13236.13</v>
      </c>
      <c r="E250" s="6"/>
      <c r="F250" s="13">
        <v>6196</v>
      </c>
      <c r="G250" s="10">
        <v>1.9913000000000001</v>
      </c>
      <c r="H250" s="15">
        <f t="shared" si="9"/>
        <v>12338.094800000001</v>
      </c>
      <c r="I250" s="6"/>
      <c r="J250" s="13">
        <v>5518.17</v>
      </c>
      <c r="K250" s="11">
        <v>0.73980000000000001</v>
      </c>
      <c r="L250" s="15">
        <f t="shared" si="10"/>
        <v>7459.0024330900242</v>
      </c>
      <c r="M250" s="6"/>
      <c r="N250" s="13">
        <v>15900.64</v>
      </c>
      <c r="O250" s="11">
        <v>115.03</v>
      </c>
      <c r="P250" s="15">
        <f t="shared" si="11"/>
        <v>138.23037468486481</v>
      </c>
    </row>
    <row r="251" spans="1:16">
      <c r="A251" s="1">
        <v>247</v>
      </c>
      <c r="B251" s="9">
        <v>39317</v>
      </c>
      <c r="C251" s="6"/>
      <c r="D251" s="12">
        <v>13235.88</v>
      </c>
      <c r="E251" s="6"/>
      <c r="F251" s="13">
        <v>6196.9</v>
      </c>
      <c r="G251" s="10">
        <v>2.0057</v>
      </c>
      <c r="H251" s="15">
        <f t="shared" si="9"/>
        <v>12429.12233</v>
      </c>
      <c r="I251" s="6"/>
      <c r="J251" s="13">
        <v>5523.33</v>
      </c>
      <c r="K251" s="11">
        <v>0.73660000000000003</v>
      </c>
      <c r="L251" s="15">
        <f t="shared" si="10"/>
        <v>7498.411620961173</v>
      </c>
      <c r="M251" s="6"/>
      <c r="N251" s="13">
        <v>16316.32</v>
      </c>
      <c r="O251" s="11">
        <v>116.25</v>
      </c>
      <c r="P251" s="15">
        <f t="shared" si="11"/>
        <v>140.35544086021505</v>
      </c>
    </row>
    <row r="252" spans="1:16">
      <c r="A252" s="1">
        <v>248</v>
      </c>
      <c r="B252" s="9">
        <v>39318</v>
      </c>
      <c r="C252" s="6"/>
      <c r="D252" s="12">
        <v>13378.87</v>
      </c>
      <c r="E252" s="6"/>
      <c r="F252" s="13">
        <v>6220.1</v>
      </c>
      <c r="G252" s="10">
        <v>2.0095999999999998</v>
      </c>
      <c r="H252" s="15">
        <f t="shared" si="9"/>
        <v>12499.91296</v>
      </c>
      <c r="I252" s="6"/>
      <c r="J252" s="13">
        <v>5569.38</v>
      </c>
      <c r="K252" s="11">
        <v>0.73319999999999996</v>
      </c>
      <c r="L252" s="15">
        <f t="shared" si="10"/>
        <v>7595.9901800327334</v>
      </c>
      <c r="M252" s="6"/>
      <c r="N252" s="13">
        <v>16248.97</v>
      </c>
      <c r="O252" s="11">
        <v>115.91</v>
      </c>
      <c r="P252" s="15">
        <f t="shared" si="11"/>
        <v>140.18609265809681</v>
      </c>
    </row>
    <row r="253" spans="1:16">
      <c r="A253" s="1">
        <v>249</v>
      </c>
      <c r="B253" s="9">
        <v>39322</v>
      </c>
      <c r="C253" s="6"/>
      <c r="D253" s="12">
        <v>13041.85</v>
      </c>
      <c r="E253" s="6"/>
      <c r="F253" s="13">
        <v>6102.2</v>
      </c>
      <c r="G253" s="10">
        <v>2.0095000000000001</v>
      </c>
      <c r="H253" s="15">
        <f t="shared" si="9"/>
        <v>12262.3709</v>
      </c>
      <c r="I253" s="6"/>
      <c r="J253" s="13">
        <v>5474.17</v>
      </c>
      <c r="K253" s="11">
        <v>0.7329</v>
      </c>
      <c r="L253" s="15">
        <f t="shared" si="10"/>
        <v>7469.1908855232641</v>
      </c>
      <c r="M253" s="6"/>
      <c r="N253" s="13">
        <v>16287.49</v>
      </c>
      <c r="O253" s="11">
        <v>114.95</v>
      </c>
      <c r="P253" s="15">
        <f t="shared" si="11"/>
        <v>141.69195302305349</v>
      </c>
    </row>
    <row r="254" spans="1:16">
      <c r="A254" s="1">
        <v>250</v>
      </c>
      <c r="B254" s="9">
        <v>39323</v>
      </c>
      <c r="C254" s="6"/>
      <c r="D254" s="12">
        <v>13289.29</v>
      </c>
      <c r="E254" s="6"/>
      <c r="F254" s="13">
        <v>6132.2</v>
      </c>
      <c r="G254" s="10">
        <v>2.0144000000000002</v>
      </c>
      <c r="H254" s="15">
        <f t="shared" si="9"/>
        <v>12352.703680000001</v>
      </c>
      <c r="I254" s="6"/>
      <c r="J254" s="13">
        <v>5520.02</v>
      </c>
      <c r="K254" s="11">
        <v>0.73260000000000003</v>
      </c>
      <c r="L254" s="15">
        <f t="shared" si="10"/>
        <v>7534.8348348348354</v>
      </c>
      <c r="M254" s="6"/>
      <c r="N254" s="13">
        <v>16012.83</v>
      </c>
      <c r="O254" s="11">
        <v>115.09</v>
      </c>
      <c r="P254" s="15">
        <f t="shared" si="11"/>
        <v>139.1331132157442</v>
      </c>
    </row>
    <row r="255" spans="1:16">
      <c r="A255" s="1">
        <v>251</v>
      </c>
      <c r="B255" s="9">
        <v>39324</v>
      </c>
      <c r="C255" s="6"/>
      <c r="D255" s="12">
        <v>13238.73</v>
      </c>
      <c r="E255" s="6"/>
      <c r="F255" s="13">
        <v>6212</v>
      </c>
      <c r="G255" s="10">
        <v>2.0154000000000001</v>
      </c>
      <c r="H255" s="15">
        <f t="shared" si="9"/>
        <v>12519.6648</v>
      </c>
      <c r="I255" s="6"/>
      <c r="J255" s="13">
        <v>5592.53</v>
      </c>
      <c r="K255" s="11">
        <v>0.73319999999999996</v>
      </c>
      <c r="L255" s="15">
        <f t="shared" si="10"/>
        <v>7627.5641025641025</v>
      </c>
      <c r="M255" s="6"/>
      <c r="N255" s="13">
        <v>16153.82</v>
      </c>
      <c r="O255" s="11">
        <v>115.8</v>
      </c>
      <c r="P255" s="15">
        <f t="shared" si="11"/>
        <v>139.49758203799655</v>
      </c>
    </row>
    <row r="256" spans="1:16">
      <c r="A256" s="1">
        <v>252</v>
      </c>
      <c r="B256" s="9">
        <v>39325</v>
      </c>
      <c r="C256" s="6"/>
      <c r="D256" s="12">
        <v>13357.74</v>
      </c>
      <c r="E256" s="6"/>
      <c r="F256" s="13">
        <v>6303.3</v>
      </c>
      <c r="G256" s="10">
        <v>2.0171000000000001</v>
      </c>
      <c r="H256" s="15">
        <f t="shared" si="9"/>
        <v>12714.38643</v>
      </c>
      <c r="I256" s="6"/>
      <c r="J256" s="13">
        <v>5662.7</v>
      </c>
      <c r="K256" s="11">
        <v>0.73350000000000004</v>
      </c>
      <c r="L256" s="15">
        <f t="shared" si="10"/>
        <v>7720.1090661213357</v>
      </c>
      <c r="M256" s="6"/>
      <c r="N256" s="13">
        <v>16569.09</v>
      </c>
      <c r="O256" s="11">
        <v>115.92</v>
      </c>
      <c r="P256" s="15">
        <f t="shared" si="11"/>
        <v>142.93555900621118</v>
      </c>
    </row>
    <row r="257" spans="1:16">
      <c r="A257" s="1">
        <v>253</v>
      </c>
      <c r="B257" s="9">
        <v>39329</v>
      </c>
      <c r="C257" s="6"/>
      <c r="D257" s="12">
        <v>13448.86</v>
      </c>
      <c r="E257" s="6"/>
      <c r="F257" s="13">
        <v>6376.8</v>
      </c>
      <c r="G257" s="10">
        <v>2.0102000000000002</v>
      </c>
      <c r="H257" s="15">
        <f t="shared" si="9"/>
        <v>12818.643360000002</v>
      </c>
      <c r="I257" s="6"/>
      <c r="J257" s="13">
        <v>5672.72</v>
      </c>
      <c r="K257" s="11">
        <v>0.73599999999999999</v>
      </c>
      <c r="L257" s="15">
        <f t="shared" si="10"/>
        <v>7707.5000000000009</v>
      </c>
      <c r="M257" s="6"/>
      <c r="N257" s="13">
        <v>16420.47</v>
      </c>
      <c r="O257" s="11">
        <v>116.2</v>
      </c>
      <c r="P257" s="15">
        <f t="shared" si="11"/>
        <v>141.31213425129087</v>
      </c>
    </row>
    <row r="258" spans="1:16">
      <c r="A258" s="1">
        <v>254</v>
      </c>
      <c r="B258" s="9">
        <v>39330</v>
      </c>
      <c r="C258" s="6"/>
      <c r="D258" s="12">
        <v>13305.47</v>
      </c>
      <c r="E258" s="6"/>
      <c r="F258" s="13">
        <v>6270.7</v>
      </c>
      <c r="G258" s="10">
        <v>2.0198999999999998</v>
      </c>
      <c r="H258" s="15">
        <f t="shared" si="9"/>
        <v>12666.186929999998</v>
      </c>
      <c r="I258" s="6"/>
      <c r="J258" s="13">
        <v>5551.55</v>
      </c>
      <c r="K258" s="11">
        <v>0.73250000000000004</v>
      </c>
      <c r="L258" s="15">
        <f t="shared" si="10"/>
        <v>7578.9078498293511</v>
      </c>
      <c r="M258" s="6"/>
      <c r="N258" s="13">
        <v>16158.45</v>
      </c>
      <c r="O258" s="11">
        <v>115.35</v>
      </c>
      <c r="P258" s="15">
        <f t="shared" si="11"/>
        <v>140.08192457737323</v>
      </c>
    </row>
    <row r="259" spans="1:16">
      <c r="A259" s="1">
        <v>255</v>
      </c>
      <c r="B259" s="9">
        <v>39331</v>
      </c>
      <c r="C259" s="6"/>
      <c r="D259" s="12">
        <v>13363.35</v>
      </c>
      <c r="E259" s="6"/>
      <c r="F259" s="13">
        <v>6313.3</v>
      </c>
      <c r="G259" s="10">
        <v>2.0217000000000001</v>
      </c>
      <c r="H259" s="15">
        <f t="shared" si="9"/>
        <v>12763.598610000001</v>
      </c>
      <c r="I259" s="6"/>
      <c r="J259" s="13">
        <v>5576.62</v>
      </c>
      <c r="K259" s="11">
        <v>0.73040000000000005</v>
      </c>
      <c r="L259" s="15">
        <f t="shared" si="10"/>
        <v>7635.0219058050379</v>
      </c>
      <c r="M259" s="6"/>
      <c r="N259" s="13">
        <v>16257</v>
      </c>
      <c r="O259" s="11">
        <v>115.25</v>
      </c>
      <c r="P259" s="15">
        <f t="shared" si="11"/>
        <v>141.05856832971801</v>
      </c>
    </row>
    <row r="260" spans="1:16">
      <c r="A260" s="1">
        <v>256</v>
      </c>
      <c r="B260" s="9">
        <v>39332</v>
      </c>
      <c r="C260" s="6"/>
      <c r="D260" s="12">
        <v>13113.38</v>
      </c>
      <c r="E260" s="6"/>
      <c r="F260" s="13">
        <v>6191.2</v>
      </c>
      <c r="G260" s="10">
        <v>2.0251999999999999</v>
      </c>
      <c r="H260" s="15">
        <f t="shared" si="9"/>
        <v>12538.418239999999</v>
      </c>
      <c r="I260" s="6"/>
      <c r="J260" s="13">
        <v>5430.1</v>
      </c>
      <c r="K260" s="11">
        <v>0.72650000000000003</v>
      </c>
      <c r="L260" s="15">
        <f t="shared" si="10"/>
        <v>7474.3289745354441</v>
      </c>
      <c r="M260" s="6"/>
      <c r="N260" s="13">
        <v>16122.16</v>
      </c>
      <c r="O260" s="11">
        <v>113.45</v>
      </c>
      <c r="P260" s="15">
        <f t="shared" si="11"/>
        <v>142.10806522697223</v>
      </c>
    </row>
    <row r="261" spans="1:16">
      <c r="A261" s="1">
        <v>257</v>
      </c>
      <c r="B261" s="9">
        <v>39335</v>
      </c>
      <c r="C261" s="6"/>
      <c r="D261" s="12">
        <v>13127.85</v>
      </c>
      <c r="E261" s="6"/>
      <c r="F261" s="13">
        <v>6134.1</v>
      </c>
      <c r="G261" s="10">
        <v>2.0285000000000002</v>
      </c>
      <c r="H261" s="15">
        <f t="shared" ref="H261:H324" si="12">F261*G261</f>
        <v>12443.021850000003</v>
      </c>
      <c r="I261" s="6"/>
      <c r="J261" s="13">
        <v>5386.43</v>
      </c>
      <c r="K261" s="11">
        <v>0.72499999999999998</v>
      </c>
      <c r="L261" s="15">
        <f t="shared" ref="L261:L324" si="13">J261/K261</f>
        <v>7429.558620689656</v>
      </c>
      <c r="M261" s="6"/>
      <c r="N261" s="13">
        <v>15764.97</v>
      </c>
      <c r="O261" s="11">
        <v>113.29</v>
      </c>
      <c r="P261" s="15">
        <f t="shared" ref="P261:P324" si="14">N261/O261</f>
        <v>139.15588313178566</v>
      </c>
    </row>
    <row r="262" spans="1:16">
      <c r="A262" s="1">
        <v>258</v>
      </c>
      <c r="B262" s="9">
        <v>39336</v>
      </c>
      <c r="C262" s="6"/>
      <c r="D262" s="12">
        <v>13308.39</v>
      </c>
      <c r="E262" s="6"/>
      <c r="F262" s="13">
        <v>6280.7</v>
      </c>
      <c r="G262" s="10">
        <v>2.0301999999999998</v>
      </c>
      <c r="H262" s="15">
        <f t="shared" si="12"/>
        <v>12751.077139999998</v>
      </c>
      <c r="I262" s="6"/>
      <c r="J262" s="13">
        <v>5478.94</v>
      </c>
      <c r="K262" s="11">
        <v>0.7228</v>
      </c>
      <c r="L262" s="15">
        <f t="shared" si="13"/>
        <v>7580.1604869950188</v>
      </c>
      <c r="M262" s="6"/>
      <c r="N262" s="13">
        <v>15877.67</v>
      </c>
      <c r="O262" s="11">
        <v>114.1</v>
      </c>
      <c r="P262" s="15">
        <f t="shared" si="14"/>
        <v>139.15574057843997</v>
      </c>
    </row>
    <row r="263" spans="1:16">
      <c r="A263" s="1">
        <v>259</v>
      </c>
      <c r="B263" s="9">
        <v>39337</v>
      </c>
      <c r="C263" s="6"/>
      <c r="D263" s="12">
        <v>13291.65</v>
      </c>
      <c r="E263" s="6"/>
      <c r="F263" s="13">
        <v>6306.2</v>
      </c>
      <c r="G263" s="10">
        <v>2.0306999999999999</v>
      </c>
      <c r="H263" s="15">
        <f t="shared" si="12"/>
        <v>12806.000339999999</v>
      </c>
      <c r="I263" s="6"/>
      <c r="J263" s="13">
        <v>5508.01</v>
      </c>
      <c r="K263" s="11">
        <v>0.72009999999999996</v>
      </c>
      <c r="L263" s="15">
        <f t="shared" si="13"/>
        <v>7648.9515345090967</v>
      </c>
      <c r="M263" s="6"/>
      <c r="N263" s="13">
        <v>15797.6</v>
      </c>
      <c r="O263" s="11">
        <v>114.2</v>
      </c>
      <c r="P263" s="15">
        <f t="shared" si="14"/>
        <v>138.33274956217164</v>
      </c>
    </row>
    <row r="264" spans="1:16">
      <c r="A264" s="1">
        <v>260</v>
      </c>
      <c r="B264" s="9">
        <v>39338</v>
      </c>
      <c r="C264" s="6"/>
      <c r="D264" s="12">
        <v>13424.88</v>
      </c>
      <c r="E264" s="6"/>
      <c r="F264" s="13">
        <v>6363.9</v>
      </c>
      <c r="G264" s="10">
        <v>2.0272999999999999</v>
      </c>
      <c r="H264" s="15">
        <f t="shared" si="12"/>
        <v>12901.534469999999</v>
      </c>
      <c r="I264" s="6"/>
      <c r="J264" s="13">
        <v>5565.97</v>
      </c>
      <c r="K264" s="11">
        <v>0.72040000000000004</v>
      </c>
      <c r="L264" s="15">
        <f t="shared" si="13"/>
        <v>7726.2215435868957</v>
      </c>
      <c r="M264" s="6"/>
      <c r="N264" s="13">
        <v>15821.19</v>
      </c>
      <c r="O264" s="11">
        <v>115.41</v>
      </c>
      <c r="P264" s="15">
        <f t="shared" si="14"/>
        <v>137.08682089940214</v>
      </c>
    </row>
    <row r="265" spans="1:16">
      <c r="A265" s="1">
        <v>261</v>
      </c>
      <c r="B265" s="9">
        <v>39339</v>
      </c>
      <c r="C265" s="6"/>
      <c r="D265" s="12">
        <v>13442.52</v>
      </c>
      <c r="E265" s="6"/>
      <c r="F265" s="13">
        <v>6289.3</v>
      </c>
      <c r="G265" s="10">
        <v>2.0116999999999998</v>
      </c>
      <c r="H265" s="15">
        <f t="shared" si="12"/>
        <v>12652.184809999999</v>
      </c>
      <c r="I265" s="6"/>
      <c r="J265" s="13">
        <v>5538.92</v>
      </c>
      <c r="K265" s="11">
        <v>0.72099999999999997</v>
      </c>
      <c r="L265" s="15">
        <f t="shared" si="13"/>
        <v>7682.2746185852984</v>
      </c>
      <c r="M265" s="6"/>
      <c r="N265" s="13">
        <v>16127.42</v>
      </c>
      <c r="O265" s="11">
        <v>115.07</v>
      </c>
      <c r="P265" s="15">
        <f t="shared" si="14"/>
        <v>140.15312418527853</v>
      </c>
    </row>
    <row r="266" spans="1:16">
      <c r="A266" s="1">
        <v>262</v>
      </c>
      <c r="B266" s="9">
        <v>39343</v>
      </c>
      <c r="C266" s="6"/>
      <c r="D266" s="12">
        <v>13739.39</v>
      </c>
      <c r="E266" s="6"/>
      <c r="F266" s="13">
        <v>6283.3</v>
      </c>
      <c r="G266" s="10">
        <v>1.9967999999999999</v>
      </c>
      <c r="H266" s="15">
        <f t="shared" si="12"/>
        <v>12546.49344</v>
      </c>
      <c r="I266" s="6"/>
      <c r="J266" s="13">
        <v>5549.35</v>
      </c>
      <c r="K266" s="11">
        <v>0.72099999999999997</v>
      </c>
      <c r="L266" s="15">
        <f t="shared" si="13"/>
        <v>7696.7406380027751</v>
      </c>
      <c r="M266" s="6"/>
      <c r="N266" s="13">
        <v>15801.8</v>
      </c>
      <c r="O266" s="11">
        <v>115.81</v>
      </c>
      <c r="P266" s="15">
        <f t="shared" si="14"/>
        <v>136.44590277178136</v>
      </c>
    </row>
    <row r="267" spans="1:16">
      <c r="A267" s="1">
        <v>263</v>
      </c>
      <c r="B267" s="9">
        <v>39344</v>
      </c>
      <c r="C267" s="6"/>
      <c r="D267" s="12">
        <v>13815.56</v>
      </c>
      <c r="E267" s="6"/>
      <c r="F267" s="13">
        <v>6460</v>
      </c>
      <c r="G267" s="10">
        <v>1.9993000000000001</v>
      </c>
      <c r="H267" s="15">
        <f t="shared" si="12"/>
        <v>12915.478000000001</v>
      </c>
      <c r="I267" s="6"/>
      <c r="J267" s="13">
        <v>5730.82</v>
      </c>
      <c r="K267" s="11">
        <v>0.71640000000000004</v>
      </c>
      <c r="L267" s="15">
        <f t="shared" si="13"/>
        <v>7999.4695700725842</v>
      </c>
      <c r="M267" s="6"/>
      <c r="N267" s="13">
        <v>16381.54</v>
      </c>
      <c r="O267" s="11">
        <v>116.27</v>
      </c>
      <c r="P267" s="15">
        <f t="shared" si="14"/>
        <v>140.89223359422036</v>
      </c>
    </row>
    <row r="268" spans="1:16">
      <c r="A268" s="1">
        <v>264</v>
      </c>
      <c r="B268" s="9">
        <v>39345</v>
      </c>
      <c r="C268" s="6"/>
      <c r="D268" s="12">
        <v>13766.7</v>
      </c>
      <c r="E268" s="6"/>
      <c r="F268" s="13">
        <v>6429</v>
      </c>
      <c r="G268" s="10">
        <v>2.0139</v>
      </c>
      <c r="H268" s="15">
        <f t="shared" si="12"/>
        <v>12947.3631</v>
      </c>
      <c r="I268" s="6"/>
      <c r="J268" s="13">
        <v>5688.76</v>
      </c>
      <c r="K268" s="11">
        <v>0.70989999999999998</v>
      </c>
      <c r="L268" s="15">
        <f t="shared" si="13"/>
        <v>8013.466685448655</v>
      </c>
      <c r="M268" s="6"/>
      <c r="N268" s="13">
        <v>16413.79</v>
      </c>
      <c r="O268" s="11">
        <v>114.55</v>
      </c>
      <c r="P268" s="15">
        <f t="shared" si="14"/>
        <v>143.28930597992144</v>
      </c>
    </row>
    <row r="269" spans="1:16">
      <c r="A269" s="1">
        <v>265</v>
      </c>
      <c r="B269" s="9">
        <v>39346</v>
      </c>
      <c r="C269" s="6"/>
      <c r="D269" s="12">
        <v>13820.19</v>
      </c>
      <c r="E269" s="6"/>
      <c r="F269" s="13">
        <v>6456.7</v>
      </c>
      <c r="G269" s="10">
        <v>2.0206</v>
      </c>
      <c r="H269" s="15">
        <f t="shared" si="12"/>
        <v>13046.408019999999</v>
      </c>
      <c r="I269" s="6"/>
      <c r="J269" s="13">
        <v>5700.65</v>
      </c>
      <c r="K269" s="11">
        <v>0.70950000000000002</v>
      </c>
      <c r="L269" s="15">
        <f t="shared" si="13"/>
        <v>8034.7427766032406</v>
      </c>
      <c r="M269" s="6"/>
      <c r="N269" s="13">
        <v>16312.61</v>
      </c>
      <c r="O269" s="11">
        <v>115.41</v>
      </c>
      <c r="P269" s="15">
        <f t="shared" si="14"/>
        <v>141.3448574646911</v>
      </c>
    </row>
    <row r="270" spans="1:16">
      <c r="A270" s="1">
        <v>266</v>
      </c>
      <c r="B270" s="9">
        <v>39350</v>
      </c>
      <c r="C270" s="6"/>
      <c r="D270" s="12">
        <v>13778.65</v>
      </c>
      <c r="E270" s="6"/>
      <c r="F270" s="13">
        <v>6396.9</v>
      </c>
      <c r="G270" s="10">
        <v>2.0160999999999998</v>
      </c>
      <c r="H270" s="15">
        <f t="shared" si="12"/>
        <v>12896.790089999999</v>
      </c>
      <c r="I270" s="6"/>
      <c r="J270" s="13">
        <v>5641.59</v>
      </c>
      <c r="K270" s="11">
        <v>0.70799999999999996</v>
      </c>
      <c r="L270" s="15">
        <f t="shared" si="13"/>
        <v>7968.3474576271192</v>
      </c>
      <c r="M270" s="6"/>
      <c r="N270" s="13">
        <v>16401.73</v>
      </c>
      <c r="O270" s="11">
        <v>114.36</v>
      </c>
      <c r="P270" s="15">
        <f t="shared" si="14"/>
        <v>143.42191325638333</v>
      </c>
    </row>
    <row r="271" spans="1:16">
      <c r="A271" s="1">
        <v>267</v>
      </c>
      <c r="B271" s="9">
        <v>39351</v>
      </c>
      <c r="C271" s="6"/>
      <c r="D271" s="12">
        <v>13878.15</v>
      </c>
      <c r="E271" s="6"/>
      <c r="F271" s="13">
        <v>6433</v>
      </c>
      <c r="G271" s="10">
        <v>2.0152999999999999</v>
      </c>
      <c r="H271" s="15">
        <f t="shared" si="12"/>
        <v>12964.4249</v>
      </c>
      <c r="I271" s="6"/>
      <c r="J271" s="13">
        <v>5690.77</v>
      </c>
      <c r="K271" s="11">
        <v>0.70809999999999995</v>
      </c>
      <c r="L271" s="15">
        <f t="shared" si="13"/>
        <v>8036.675610789438</v>
      </c>
      <c r="M271" s="6"/>
      <c r="N271" s="13">
        <v>16435.740000000002</v>
      </c>
      <c r="O271" s="11">
        <v>115.7</v>
      </c>
      <c r="P271" s="15">
        <f t="shared" si="14"/>
        <v>142.05479688850477</v>
      </c>
    </row>
    <row r="272" spans="1:16">
      <c r="A272" s="1">
        <v>268</v>
      </c>
      <c r="B272" s="9">
        <v>39352</v>
      </c>
      <c r="C272" s="6"/>
      <c r="D272" s="12">
        <v>13912.94</v>
      </c>
      <c r="E272" s="6"/>
      <c r="F272" s="13">
        <v>6486.4</v>
      </c>
      <c r="G272" s="10">
        <v>2.0238999999999998</v>
      </c>
      <c r="H272" s="15">
        <f t="shared" si="12"/>
        <v>13127.824959999998</v>
      </c>
      <c r="I272" s="6"/>
      <c r="J272" s="13">
        <v>5733.37</v>
      </c>
      <c r="K272" s="11">
        <v>0.70660000000000001</v>
      </c>
      <c r="L272" s="15">
        <f t="shared" si="13"/>
        <v>8114.0249080101894</v>
      </c>
      <c r="M272" s="6"/>
      <c r="N272" s="13">
        <v>16832.22</v>
      </c>
      <c r="O272" s="11">
        <v>115.67</v>
      </c>
      <c r="P272" s="15">
        <f t="shared" si="14"/>
        <v>145.51932220973461</v>
      </c>
    </row>
    <row r="273" spans="1:16">
      <c r="A273" s="1">
        <v>269</v>
      </c>
      <c r="B273" s="9">
        <v>39353</v>
      </c>
      <c r="C273" s="6"/>
      <c r="D273" s="12">
        <v>13895.63</v>
      </c>
      <c r="E273" s="6"/>
      <c r="F273" s="13">
        <v>6466.8</v>
      </c>
      <c r="G273" s="10">
        <v>2.0373999999999999</v>
      </c>
      <c r="H273" s="15">
        <f t="shared" si="12"/>
        <v>13175.45832</v>
      </c>
      <c r="I273" s="6"/>
      <c r="J273" s="13">
        <v>5715.69</v>
      </c>
      <c r="K273" s="11">
        <v>0.70299999999999996</v>
      </c>
      <c r="L273" s="15">
        <f t="shared" si="13"/>
        <v>8130.4267425320058</v>
      </c>
      <c r="M273" s="6"/>
      <c r="N273" s="13">
        <v>16785.689999999999</v>
      </c>
      <c r="O273" s="11">
        <v>115.02</v>
      </c>
      <c r="P273" s="15">
        <f t="shared" si="14"/>
        <v>145.93714136671883</v>
      </c>
    </row>
    <row r="274" spans="1:16">
      <c r="A274" s="1">
        <v>270</v>
      </c>
      <c r="B274" s="9">
        <v>39356</v>
      </c>
      <c r="C274" s="6"/>
      <c r="D274" s="12">
        <v>14087.55</v>
      </c>
      <c r="E274" s="6"/>
      <c r="F274" s="13">
        <v>6506.2</v>
      </c>
      <c r="G274" s="10">
        <v>2.0430000000000001</v>
      </c>
      <c r="H274" s="15">
        <f t="shared" si="12"/>
        <v>13292.1666</v>
      </c>
      <c r="I274" s="6"/>
      <c r="J274" s="13">
        <v>5773.26</v>
      </c>
      <c r="K274" s="11">
        <v>0.70209999999999995</v>
      </c>
      <c r="L274" s="15">
        <f t="shared" si="13"/>
        <v>8222.8457484688806</v>
      </c>
      <c r="M274" s="6"/>
      <c r="N274" s="13">
        <v>16845.96</v>
      </c>
      <c r="O274" s="11">
        <v>115.66</v>
      </c>
      <c r="P274" s="15">
        <f t="shared" si="14"/>
        <v>145.65070032854919</v>
      </c>
    </row>
    <row r="275" spans="1:16">
      <c r="A275" s="1">
        <v>271</v>
      </c>
      <c r="B275" s="9">
        <v>39357</v>
      </c>
      <c r="C275" s="6"/>
      <c r="D275" s="12">
        <v>14047.31</v>
      </c>
      <c r="E275" s="6"/>
      <c r="F275" s="13">
        <v>6500.4</v>
      </c>
      <c r="G275" s="10">
        <v>2.0407999999999999</v>
      </c>
      <c r="H275" s="15">
        <f t="shared" si="12"/>
        <v>13266.016319999999</v>
      </c>
      <c r="I275" s="6"/>
      <c r="J275" s="13">
        <v>5799.27</v>
      </c>
      <c r="K275" s="11">
        <v>0.70660000000000001</v>
      </c>
      <c r="L275" s="15">
        <f t="shared" si="13"/>
        <v>8207.2884234361736</v>
      </c>
      <c r="M275" s="6"/>
      <c r="N275" s="13">
        <v>17046.78</v>
      </c>
      <c r="O275" s="11">
        <v>115.9</v>
      </c>
      <c r="P275" s="15">
        <f t="shared" si="14"/>
        <v>147.08179465056082</v>
      </c>
    </row>
    <row r="276" spans="1:16">
      <c r="A276" s="1">
        <v>272</v>
      </c>
      <c r="B276" s="9">
        <v>39358</v>
      </c>
      <c r="C276" s="6"/>
      <c r="D276" s="12">
        <v>13968.05</v>
      </c>
      <c r="E276" s="6"/>
      <c r="F276" s="13">
        <v>6535.2</v>
      </c>
      <c r="G276" s="10">
        <v>2.0369999999999999</v>
      </c>
      <c r="H276" s="15">
        <f t="shared" si="12"/>
        <v>13312.202399999998</v>
      </c>
      <c r="I276" s="6"/>
      <c r="J276" s="13">
        <v>5806.18</v>
      </c>
      <c r="K276" s="11">
        <v>0.70689999999999997</v>
      </c>
      <c r="L276" s="15">
        <f t="shared" si="13"/>
        <v>8213.5804215589196</v>
      </c>
      <c r="M276" s="6"/>
      <c r="N276" s="13">
        <v>17199.89</v>
      </c>
      <c r="O276" s="11">
        <v>116.75</v>
      </c>
      <c r="P276" s="15">
        <f t="shared" si="14"/>
        <v>147.3223982869379</v>
      </c>
    </row>
    <row r="277" spans="1:16">
      <c r="A277" s="1">
        <v>273</v>
      </c>
      <c r="B277" s="9">
        <v>39359</v>
      </c>
      <c r="C277" s="6"/>
      <c r="D277" s="12">
        <v>13974.31</v>
      </c>
      <c r="E277" s="6"/>
      <c r="F277" s="13">
        <v>6547.9</v>
      </c>
      <c r="G277" s="10">
        <v>2.0413000000000001</v>
      </c>
      <c r="H277" s="15">
        <f t="shared" si="12"/>
        <v>13366.22827</v>
      </c>
      <c r="I277" s="6"/>
      <c r="J277" s="13">
        <v>5804.39</v>
      </c>
      <c r="K277" s="11">
        <v>0.70750000000000002</v>
      </c>
      <c r="L277" s="15">
        <f t="shared" si="13"/>
        <v>8204.0848056537106</v>
      </c>
      <c r="M277" s="6"/>
      <c r="N277" s="13">
        <v>17092.490000000002</v>
      </c>
      <c r="O277" s="11">
        <v>116.46</v>
      </c>
      <c r="P277" s="15">
        <f t="shared" si="14"/>
        <v>146.76704447879104</v>
      </c>
    </row>
    <row r="278" spans="1:16">
      <c r="A278" s="1">
        <v>274</v>
      </c>
      <c r="B278" s="9">
        <v>39360</v>
      </c>
      <c r="C278" s="6"/>
      <c r="D278" s="12">
        <v>14066.01</v>
      </c>
      <c r="E278" s="6"/>
      <c r="F278" s="13">
        <v>6595.8</v>
      </c>
      <c r="G278" s="10">
        <v>2.0417000000000001</v>
      </c>
      <c r="H278" s="15">
        <f t="shared" si="12"/>
        <v>13466.64486</v>
      </c>
      <c r="I278" s="6"/>
      <c r="J278" s="13">
        <v>5843.24</v>
      </c>
      <c r="K278" s="11">
        <v>0.70709999999999995</v>
      </c>
      <c r="L278" s="15">
        <f t="shared" si="13"/>
        <v>8263.6685051619297</v>
      </c>
      <c r="M278" s="6"/>
      <c r="N278" s="13">
        <v>17065.04</v>
      </c>
      <c r="O278" s="11">
        <v>116.7</v>
      </c>
      <c r="P278" s="15">
        <f t="shared" si="14"/>
        <v>146.22999143101973</v>
      </c>
    </row>
    <row r="279" spans="1:16">
      <c r="A279" s="1">
        <v>275</v>
      </c>
      <c r="B279" s="9">
        <v>39364</v>
      </c>
      <c r="C279" s="6"/>
      <c r="D279" s="12">
        <v>14164.53</v>
      </c>
      <c r="E279" s="6"/>
      <c r="F279" s="13">
        <v>6615.4</v>
      </c>
      <c r="G279" s="10">
        <v>2.0335999999999999</v>
      </c>
      <c r="H279" s="15">
        <f t="shared" si="12"/>
        <v>13453.077439999999</v>
      </c>
      <c r="I279" s="6"/>
      <c r="J279" s="13">
        <v>5861.93</v>
      </c>
      <c r="K279" s="11">
        <v>0.70979999999999999</v>
      </c>
      <c r="L279" s="15">
        <f t="shared" si="13"/>
        <v>8258.5657931811784</v>
      </c>
      <c r="M279" s="6"/>
      <c r="N279" s="13">
        <v>17159.900000000001</v>
      </c>
      <c r="O279" s="11">
        <v>116.99</v>
      </c>
      <c r="P279" s="15">
        <f t="shared" si="14"/>
        <v>146.67834857680145</v>
      </c>
    </row>
    <row r="280" spans="1:16">
      <c r="A280" s="1">
        <v>276</v>
      </c>
      <c r="B280" s="9">
        <v>39365</v>
      </c>
      <c r="C280" s="6"/>
      <c r="D280" s="12">
        <v>14078.69</v>
      </c>
      <c r="E280" s="6"/>
      <c r="F280" s="13">
        <v>6633</v>
      </c>
      <c r="G280" s="10">
        <v>2.0436999999999999</v>
      </c>
      <c r="H280" s="15">
        <f t="shared" si="12"/>
        <v>13555.862099999998</v>
      </c>
      <c r="I280" s="6"/>
      <c r="J280" s="13">
        <v>5838.49</v>
      </c>
      <c r="K280" s="11">
        <v>0.70599999999999996</v>
      </c>
      <c r="L280" s="15">
        <f t="shared" si="13"/>
        <v>8269.8158640226629</v>
      </c>
      <c r="M280" s="6"/>
      <c r="N280" s="13">
        <v>17177.89</v>
      </c>
      <c r="O280" s="11">
        <v>117.08</v>
      </c>
      <c r="P280" s="15">
        <f t="shared" si="14"/>
        <v>146.71925179364536</v>
      </c>
    </row>
    <row r="281" spans="1:16">
      <c r="A281" s="1">
        <v>277</v>
      </c>
      <c r="B281" s="9">
        <v>39366</v>
      </c>
      <c r="C281" s="6"/>
      <c r="D281" s="12">
        <v>14015.12</v>
      </c>
      <c r="E281" s="6"/>
      <c r="F281" s="13">
        <v>6724.5</v>
      </c>
      <c r="G281" s="10">
        <v>2.0385</v>
      </c>
      <c r="H281" s="15">
        <f t="shared" si="12"/>
        <v>13707.893249999999</v>
      </c>
      <c r="I281" s="6"/>
      <c r="J281" s="13">
        <v>5862.83</v>
      </c>
      <c r="K281" s="11">
        <v>0.70230000000000004</v>
      </c>
      <c r="L281" s="15">
        <f t="shared" si="13"/>
        <v>8348.0421472305279</v>
      </c>
      <c r="M281" s="6"/>
      <c r="N281" s="13">
        <v>17458.98</v>
      </c>
      <c r="O281" s="11">
        <v>117.58</v>
      </c>
      <c r="P281" s="15">
        <f t="shared" si="14"/>
        <v>148.48596700119069</v>
      </c>
    </row>
    <row r="282" spans="1:16">
      <c r="A282" s="1">
        <v>278</v>
      </c>
      <c r="B282" s="9">
        <v>39367</v>
      </c>
      <c r="C282" s="6"/>
      <c r="D282" s="12">
        <v>14093.08</v>
      </c>
      <c r="E282" s="6"/>
      <c r="F282" s="13">
        <v>6730.7</v>
      </c>
      <c r="G282" s="10">
        <v>2.0347</v>
      </c>
      <c r="H282" s="15">
        <f t="shared" si="12"/>
        <v>13694.95529</v>
      </c>
      <c r="I282" s="6"/>
      <c r="J282" s="13">
        <v>5843.95</v>
      </c>
      <c r="K282" s="11">
        <v>0.70569999999999999</v>
      </c>
      <c r="L282" s="15">
        <f t="shared" si="13"/>
        <v>8281.0684426810258</v>
      </c>
      <c r="M282" s="6"/>
      <c r="N282" s="13">
        <v>17331.169999999998</v>
      </c>
      <c r="O282" s="11">
        <v>117.43</v>
      </c>
      <c r="P282" s="15">
        <f t="shared" si="14"/>
        <v>147.5872434641914</v>
      </c>
    </row>
    <row r="283" spans="1:16">
      <c r="A283" s="1">
        <v>279</v>
      </c>
      <c r="B283" s="9">
        <v>39370</v>
      </c>
      <c r="C283" s="6"/>
      <c r="D283" s="12">
        <v>13984.8</v>
      </c>
      <c r="E283" s="6"/>
      <c r="F283" s="13">
        <v>6644.5</v>
      </c>
      <c r="G283" s="10">
        <v>2.0421999999999998</v>
      </c>
      <c r="H283" s="15">
        <f t="shared" si="12"/>
        <v>13569.397899999998</v>
      </c>
      <c r="I283" s="6"/>
      <c r="J283" s="13">
        <v>5807.44</v>
      </c>
      <c r="K283" s="11">
        <v>0.70299999999999996</v>
      </c>
      <c r="L283" s="15">
        <f t="shared" si="13"/>
        <v>8260.9388335704116</v>
      </c>
      <c r="M283" s="6"/>
      <c r="N283" s="13">
        <v>17358.150000000001</v>
      </c>
      <c r="O283" s="11">
        <v>117.46</v>
      </c>
      <c r="P283" s="15">
        <f t="shared" si="14"/>
        <v>147.77924399795677</v>
      </c>
    </row>
    <row r="284" spans="1:16">
      <c r="A284" s="1">
        <v>280</v>
      </c>
      <c r="B284" s="9">
        <v>39371</v>
      </c>
      <c r="C284" s="6"/>
      <c r="D284" s="12">
        <v>13912.94</v>
      </c>
      <c r="E284" s="6"/>
      <c r="F284" s="13">
        <v>6614.3</v>
      </c>
      <c r="G284" s="10">
        <v>2.0318999999999998</v>
      </c>
      <c r="H284" s="15">
        <f t="shared" si="12"/>
        <v>13439.596169999999</v>
      </c>
      <c r="I284" s="6"/>
      <c r="J284" s="13">
        <v>5774.36</v>
      </c>
      <c r="K284" s="11">
        <v>0.70640000000000003</v>
      </c>
      <c r="L284" s="15">
        <f t="shared" si="13"/>
        <v>8174.3488108720267</v>
      </c>
      <c r="M284" s="6"/>
      <c r="N284" s="13">
        <v>17137.919999999998</v>
      </c>
      <c r="O284" s="11">
        <v>116.57</v>
      </c>
      <c r="P284" s="15">
        <f t="shared" si="14"/>
        <v>147.01827228274857</v>
      </c>
    </row>
    <row r="285" spans="1:16">
      <c r="A285" s="1">
        <v>281</v>
      </c>
      <c r="B285" s="9">
        <v>39372</v>
      </c>
      <c r="C285" s="6"/>
      <c r="D285" s="12">
        <v>13892.54</v>
      </c>
      <c r="E285" s="6"/>
      <c r="F285" s="13">
        <v>6677.7</v>
      </c>
      <c r="G285" s="10">
        <v>2.0377000000000001</v>
      </c>
      <c r="H285" s="15">
        <f t="shared" si="12"/>
        <v>13607.149289999999</v>
      </c>
      <c r="I285" s="6"/>
      <c r="J285" s="13">
        <v>5818.8</v>
      </c>
      <c r="K285" s="11">
        <v>0.70440000000000003</v>
      </c>
      <c r="L285" s="15">
        <f t="shared" si="13"/>
        <v>8260.6473594548552</v>
      </c>
      <c r="M285" s="6"/>
      <c r="N285" s="13">
        <v>16955.310000000001</v>
      </c>
      <c r="O285" s="11">
        <v>116.68</v>
      </c>
      <c r="P285" s="15">
        <f t="shared" si="14"/>
        <v>145.31462118615016</v>
      </c>
    </row>
    <row r="286" spans="1:16">
      <c r="A286" s="1">
        <v>282</v>
      </c>
      <c r="B286" s="9">
        <v>39373</v>
      </c>
      <c r="C286" s="6"/>
      <c r="D286" s="12">
        <v>13888.96</v>
      </c>
      <c r="E286" s="6"/>
      <c r="F286" s="13">
        <v>6609.4</v>
      </c>
      <c r="G286" s="10">
        <v>2.0464000000000002</v>
      </c>
      <c r="H286" s="15">
        <f t="shared" si="12"/>
        <v>13525.47616</v>
      </c>
      <c r="I286" s="6"/>
      <c r="J286" s="13">
        <v>5767.24</v>
      </c>
      <c r="K286" s="11">
        <v>0.70020000000000004</v>
      </c>
      <c r="L286" s="15">
        <f t="shared" si="13"/>
        <v>8236.5609825764059</v>
      </c>
      <c r="M286" s="6"/>
      <c r="N286" s="13">
        <v>17106.09</v>
      </c>
      <c r="O286" s="11">
        <v>115.67</v>
      </c>
      <c r="P286" s="15">
        <f t="shared" si="14"/>
        <v>147.88700613815163</v>
      </c>
    </row>
    <row r="287" spans="1:16">
      <c r="A287" s="1">
        <v>283</v>
      </c>
      <c r="B287" s="9">
        <v>39374</v>
      </c>
      <c r="C287" s="6"/>
      <c r="D287" s="12">
        <v>13522.02</v>
      </c>
      <c r="E287" s="6"/>
      <c r="F287" s="13">
        <v>6527.9</v>
      </c>
      <c r="G287" s="10">
        <v>2.0457999999999998</v>
      </c>
      <c r="H287" s="15">
        <f t="shared" si="12"/>
        <v>13354.777819999998</v>
      </c>
      <c r="I287" s="6"/>
      <c r="J287" s="13">
        <v>5740.48</v>
      </c>
      <c r="K287" s="11">
        <v>0.70189999999999997</v>
      </c>
      <c r="L287" s="15">
        <f t="shared" si="13"/>
        <v>8178.4869639549788</v>
      </c>
      <c r="M287" s="6"/>
      <c r="N287" s="13">
        <v>16814.37</v>
      </c>
      <c r="O287" s="11">
        <v>114.94</v>
      </c>
      <c r="P287" s="15">
        <f t="shared" si="14"/>
        <v>146.2882373412215</v>
      </c>
    </row>
    <row r="288" spans="1:16">
      <c r="A288" s="1">
        <v>284</v>
      </c>
      <c r="B288" s="9">
        <v>39377</v>
      </c>
      <c r="C288" s="6"/>
      <c r="D288" s="12">
        <v>13566.97</v>
      </c>
      <c r="E288" s="6"/>
      <c r="F288" s="13">
        <v>6459.3</v>
      </c>
      <c r="G288" s="10">
        <v>2.0276000000000001</v>
      </c>
      <c r="H288" s="15">
        <f t="shared" si="12"/>
        <v>13096.876680000001</v>
      </c>
      <c r="I288" s="6"/>
      <c r="J288" s="13">
        <v>5661.27</v>
      </c>
      <c r="K288" s="11">
        <v>0.70689999999999997</v>
      </c>
      <c r="L288" s="15">
        <f t="shared" si="13"/>
        <v>8008.5867873815259</v>
      </c>
      <c r="M288" s="6"/>
      <c r="N288" s="13">
        <v>16438.47</v>
      </c>
      <c r="O288" s="11">
        <v>114.06</v>
      </c>
      <c r="P288" s="15">
        <f t="shared" si="14"/>
        <v>144.12125197264598</v>
      </c>
    </row>
    <row r="289" spans="1:16">
      <c r="A289" s="1">
        <v>285</v>
      </c>
      <c r="B289" s="9">
        <v>39378</v>
      </c>
      <c r="C289" s="6"/>
      <c r="D289" s="12">
        <v>13676.23</v>
      </c>
      <c r="E289" s="6"/>
      <c r="F289" s="13">
        <v>6514</v>
      </c>
      <c r="G289" s="10">
        <v>2.0484</v>
      </c>
      <c r="H289" s="15">
        <f t="shared" si="12"/>
        <v>13343.277599999999</v>
      </c>
      <c r="I289" s="6"/>
      <c r="J289" s="13">
        <v>5705.05</v>
      </c>
      <c r="K289" s="11">
        <v>0.70199999999999996</v>
      </c>
      <c r="L289" s="15">
        <f t="shared" si="13"/>
        <v>8126.8518518518522</v>
      </c>
      <c r="M289" s="6"/>
      <c r="N289" s="13">
        <v>16450.580000000002</v>
      </c>
      <c r="O289" s="11">
        <v>114.67</v>
      </c>
      <c r="P289" s="15">
        <f t="shared" si="14"/>
        <v>143.46019011075262</v>
      </c>
    </row>
    <row r="290" spans="1:16">
      <c r="A290" s="1">
        <v>286</v>
      </c>
      <c r="B290" s="9">
        <v>39379</v>
      </c>
      <c r="C290" s="6"/>
      <c r="D290" s="12">
        <v>13675.25</v>
      </c>
      <c r="E290" s="6"/>
      <c r="F290" s="13">
        <v>6482</v>
      </c>
      <c r="G290" s="10">
        <v>2.0468000000000002</v>
      </c>
      <c r="H290" s="15">
        <f t="shared" si="12"/>
        <v>13267.357600000001</v>
      </c>
      <c r="I290" s="6"/>
      <c r="J290" s="13">
        <v>5674.67</v>
      </c>
      <c r="K290" s="11">
        <v>0.70289999999999997</v>
      </c>
      <c r="L290" s="15">
        <f t="shared" si="13"/>
        <v>8073.2252098449289</v>
      </c>
      <c r="M290" s="6"/>
      <c r="N290" s="13">
        <v>16358.39</v>
      </c>
      <c r="O290" s="11">
        <v>114.08</v>
      </c>
      <c r="P290" s="15">
        <f t="shared" si="14"/>
        <v>143.39402173913044</v>
      </c>
    </row>
    <row r="291" spans="1:16">
      <c r="A291" s="1">
        <v>287</v>
      </c>
      <c r="B291" s="9">
        <v>39380</v>
      </c>
      <c r="C291" s="6"/>
      <c r="D291" s="12">
        <v>13671.92</v>
      </c>
      <c r="E291" s="6"/>
      <c r="F291" s="13">
        <v>6576.3</v>
      </c>
      <c r="G291" s="10">
        <v>2.0497000000000001</v>
      </c>
      <c r="H291" s="15">
        <f t="shared" si="12"/>
        <v>13479.442110000002</v>
      </c>
      <c r="I291" s="6"/>
      <c r="J291" s="13">
        <v>5760.3</v>
      </c>
      <c r="K291" s="11">
        <v>0.69899999999999995</v>
      </c>
      <c r="L291" s="15">
        <f t="shared" si="13"/>
        <v>8240.7725321888429</v>
      </c>
      <c r="M291" s="6"/>
      <c r="N291" s="13">
        <v>16284.17</v>
      </c>
      <c r="O291" s="11">
        <v>114.25</v>
      </c>
      <c r="P291" s="15">
        <f t="shared" si="14"/>
        <v>142.53102844638948</v>
      </c>
    </row>
    <row r="292" spans="1:16">
      <c r="A292" s="1">
        <v>288</v>
      </c>
      <c r="B292" s="9">
        <v>39381</v>
      </c>
      <c r="C292" s="6"/>
      <c r="D292" s="12">
        <v>13806.7</v>
      </c>
      <c r="E292" s="6"/>
      <c r="F292" s="13">
        <v>6661.3</v>
      </c>
      <c r="G292" s="10">
        <v>2.0522999999999998</v>
      </c>
      <c r="H292" s="15">
        <f t="shared" si="12"/>
        <v>13670.985989999999</v>
      </c>
      <c r="I292" s="6"/>
      <c r="J292" s="13">
        <v>5794.87</v>
      </c>
      <c r="K292" s="11">
        <v>0.69499999999999995</v>
      </c>
      <c r="L292" s="15">
        <f t="shared" si="13"/>
        <v>8337.9424460431655</v>
      </c>
      <c r="M292" s="6"/>
      <c r="N292" s="13">
        <v>16505.63</v>
      </c>
      <c r="O292" s="11">
        <v>114.15</v>
      </c>
      <c r="P292" s="15">
        <f t="shared" si="14"/>
        <v>144.59597021462989</v>
      </c>
    </row>
    <row r="293" spans="1:16">
      <c r="A293" s="1">
        <v>289</v>
      </c>
      <c r="B293" s="9">
        <v>39384</v>
      </c>
      <c r="C293" s="6"/>
      <c r="D293" s="12">
        <v>13870.26</v>
      </c>
      <c r="E293" s="6"/>
      <c r="F293" s="13">
        <v>6706</v>
      </c>
      <c r="G293" s="10">
        <v>2.0609000000000002</v>
      </c>
      <c r="H293" s="15">
        <f t="shared" si="12"/>
        <v>13820.395400000001</v>
      </c>
      <c r="I293" s="6"/>
      <c r="J293" s="13">
        <v>5836.19</v>
      </c>
      <c r="K293" s="11">
        <v>0.69420000000000004</v>
      </c>
      <c r="L293" s="15">
        <f t="shared" si="13"/>
        <v>8407.0728896571582</v>
      </c>
      <c r="M293" s="6"/>
      <c r="N293" s="13">
        <v>16698.080000000002</v>
      </c>
      <c r="O293" s="11">
        <v>114.7</v>
      </c>
      <c r="P293" s="15">
        <f t="shared" si="14"/>
        <v>145.58047079337402</v>
      </c>
    </row>
    <row r="294" spans="1:16">
      <c r="A294" s="1">
        <v>290</v>
      </c>
      <c r="B294" s="9">
        <v>39385</v>
      </c>
      <c r="C294" s="6"/>
      <c r="D294" s="12">
        <v>13792.47</v>
      </c>
      <c r="E294" s="6"/>
      <c r="F294" s="13">
        <v>6659</v>
      </c>
      <c r="G294" s="10">
        <v>2.0670999999999999</v>
      </c>
      <c r="H294" s="15">
        <f t="shared" si="12"/>
        <v>13764.8189</v>
      </c>
      <c r="I294" s="6"/>
      <c r="J294" s="13">
        <v>5803.93</v>
      </c>
      <c r="K294" s="11">
        <v>0.69330000000000003</v>
      </c>
      <c r="L294" s="15">
        <f t="shared" si="13"/>
        <v>8371.4553584306941</v>
      </c>
      <c r="M294" s="6"/>
      <c r="N294" s="13">
        <v>16651.009999999998</v>
      </c>
      <c r="O294" s="11">
        <v>114.72</v>
      </c>
      <c r="P294" s="15">
        <f t="shared" si="14"/>
        <v>145.14478730822873</v>
      </c>
    </row>
    <row r="295" spans="1:16">
      <c r="A295" s="1">
        <v>291</v>
      </c>
      <c r="B295" s="9">
        <v>39386</v>
      </c>
      <c r="C295" s="6"/>
      <c r="D295" s="12">
        <v>13930.01</v>
      </c>
      <c r="E295" s="6"/>
      <c r="F295" s="13">
        <v>6721.6</v>
      </c>
      <c r="G295" s="10">
        <v>2.0773999999999999</v>
      </c>
      <c r="H295" s="15">
        <f t="shared" si="12"/>
        <v>13963.45184</v>
      </c>
      <c r="I295" s="6"/>
      <c r="J295" s="13">
        <v>5847.95</v>
      </c>
      <c r="K295" s="11">
        <v>0.69110000000000005</v>
      </c>
      <c r="L295" s="15">
        <f t="shared" si="13"/>
        <v>8461.8000289393713</v>
      </c>
      <c r="M295" s="6"/>
      <c r="N295" s="13">
        <v>16737.63</v>
      </c>
      <c r="O295" s="11">
        <v>115.29</v>
      </c>
      <c r="P295" s="15">
        <f t="shared" si="14"/>
        <v>145.1785063752277</v>
      </c>
    </row>
    <row r="296" spans="1:16">
      <c r="A296" s="1">
        <v>292</v>
      </c>
      <c r="B296" s="9">
        <v>39387</v>
      </c>
      <c r="C296" s="6"/>
      <c r="D296" s="12">
        <v>13567.87</v>
      </c>
      <c r="E296" s="6"/>
      <c r="F296" s="13">
        <v>6586.1</v>
      </c>
      <c r="G296" s="10">
        <v>2.0817000000000001</v>
      </c>
      <c r="H296" s="15">
        <f t="shared" si="12"/>
        <v>13710.284370000001</v>
      </c>
      <c r="I296" s="6"/>
      <c r="J296" s="13">
        <v>5730.92</v>
      </c>
      <c r="K296" s="11">
        <v>0.69269999999999998</v>
      </c>
      <c r="L296" s="15">
        <f t="shared" si="13"/>
        <v>8273.3073480583225</v>
      </c>
      <c r="M296" s="6"/>
      <c r="N296" s="13">
        <v>16870.400000000001</v>
      </c>
      <c r="O296" s="11">
        <v>114.88</v>
      </c>
      <c r="P296" s="15">
        <f t="shared" si="14"/>
        <v>146.8523676880223</v>
      </c>
    </row>
    <row r="297" spans="1:16">
      <c r="A297" s="1">
        <v>293</v>
      </c>
      <c r="B297" s="9">
        <v>39388</v>
      </c>
      <c r="C297" s="6"/>
      <c r="D297" s="12">
        <v>13595.1</v>
      </c>
      <c r="E297" s="6"/>
      <c r="F297" s="13">
        <v>6530.6</v>
      </c>
      <c r="G297" s="10">
        <v>2.0819999999999999</v>
      </c>
      <c r="H297" s="15">
        <f t="shared" si="12"/>
        <v>13596.709199999999</v>
      </c>
      <c r="I297" s="6"/>
      <c r="J297" s="13">
        <v>5720.42</v>
      </c>
      <c r="K297" s="11">
        <v>0.6905</v>
      </c>
      <c r="L297" s="15">
        <f t="shared" si="13"/>
        <v>8284.4605358435911</v>
      </c>
      <c r="M297" s="6"/>
      <c r="N297" s="13">
        <v>16517.48</v>
      </c>
      <c r="O297" s="11">
        <v>114.76</v>
      </c>
      <c r="P297" s="15">
        <f t="shared" si="14"/>
        <v>143.93063785291042</v>
      </c>
    </row>
    <row r="298" spans="1:16">
      <c r="A298" s="1">
        <v>294</v>
      </c>
      <c r="B298" s="9">
        <v>39391</v>
      </c>
      <c r="C298" s="6"/>
      <c r="D298" s="12">
        <v>13543.4</v>
      </c>
      <c r="E298" s="6"/>
      <c r="F298" s="13">
        <v>6461.4</v>
      </c>
      <c r="G298" s="10">
        <v>2.0806</v>
      </c>
      <c r="H298" s="15">
        <f t="shared" si="12"/>
        <v>13443.588839999999</v>
      </c>
      <c r="I298" s="6"/>
      <c r="J298" s="13">
        <v>5684.62</v>
      </c>
      <c r="K298" s="11">
        <v>0.69110000000000005</v>
      </c>
      <c r="L298" s="15">
        <f t="shared" si="13"/>
        <v>8225.4666473737507</v>
      </c>
      <c r="M298" s="6"/>
      <c r="N298" s="13">
        <v>16268.92</v>
      </c>
      <c r="O298" s="11">
        <v>114.5</v>
      </c>
      <c r="P298" s="15">
        <f t="shared" si="14"/>
        <v>142.08663755458517</v>
      </c>
    </row>
    <row r="299" spans="1:16">
      <c r="A299" s="1">
        <v>295</v>
      </c>
      <c r="B299" s="9">
        <v>39392</v>
      </c>
      <c r="C299" s="6"/>
      <c r="D299" s="12">
        <v>13660.94</v>
      </c>
      <c r="E299" s="6"/>
      <c r="F299" s="13">
        <v>6474.9</v>
      </c>
      <c r="G299" s="10">
        <v>2.0876000000000001</v>
      </c>
      <c r="H299" s="15">
        <f t="shared" si="12"/>
        <v>13517.00124</v>
      </c>
      <c r="I299" s="6"/>
      <c r="J299" s="13">
        <v>5709.42</v>
      </c>
      <c r="K299" s="11">
        <v>0.68720000000000003</v>
      </c>
      <c r="L299" s="15">
        <f t="shared" si="13"/>
        <v>8308.2363213038407</v>
      </c>
      <c r="M299" s="6"/>
      <c r="N299" s="13">
        <v>16249.63</v>
      </c>
      <c r="O299" s="11">
        <v>114.31</v>
      </c>
      <c r="P299" s="15">
        <f t="shared" si="14"/>
        <v>142.15405476336278</v>
      </c>
    </row>
    <row r="300" spans="1:16">
      <c r="A300" s="1">
        <v>296</v>
      </c>
      <c r="B300" s="9">
        <v>39393</v>
      </c>
      <c r="C300" s="6"/>
      <c r="D300" s="12">
        <v>13300.02</v>
      </c>
      <c r="E300" s="6"/>
      <c r="F300" s="13">
        <v>6385.1</v>
      </c>
      <c r="G300" s="10">
        <v>2.1040000000000001</v>
      </c>
      <c r="H300" s="15">
        <f t="shared" si="12"/>
        <v>13434.250400000001</v>
      </c>
      <c r="I300" s="6"/>
      <c r="J300" s="13">
        <v>5683.22</v>
      </c>
      <c r="K300" s="11">
        <v>0.68179999999999996</v>
      </c>
      <c r="L300" s="15">
        <f t="shared" si="13"/>
        <v>8335.6116163097686</v>
      </c>
      <c r="M300" s="6"/>
      <c r="N300" s="13">
        <v>16096.68</v>
      </c>
      <c r="O300" s="11">
        <v>113.25</v>
      </c>
      <c r="P300" s="15">
        <f t="shared" si="14"/>
        <v>142.13403973509935</v>
      </c>
    </row>
    <row r="301" spans="1:16">
      <c r="A301" s="1">
        <v>297</v>
      </c>
      <c r="B301" s="9">
        <v>39394</v>
      </c>
      <c r="C301" s="6"/>
      <c r="D301" s="12">
        <v>13266.29</v>
      </c>
      <c r="E301" s="6"/>
      <c r="F301" s="13">
        <v>6381.9</v>
      </c>
      <c r="G301" s="10">
        <v>2.1080999999999999</v>
      </c>
      <c r="H301" s="15">
        <f t="shared" si="12"/>
        <v>13453.683389999998</v>
      </c>
      <c r="I301" s="6"/>
      <c r="J301" s="13">
        <v>5631.63</v>
      </c>
      <c r="K301" s="11">
        <v>0.68079999999999996</v>
      </c>
      <c r="L301" s="15">
        <f t="shared" si="13"/>
        <v>8272.0769682726204</v>
      </c>
      <c r="M301" s="6"/>
      <c r="N301" s="13">
        <v>15771.57</v>
      </c>
      <c r="O301" s="11">
        <v>112.76</v>
      </c>
      <c r="P301" s="15">
        <f t="shared" si="14"/>
        <v>139.86848173111031</v>
      </c>
    </row>
    <row r="302" spans="1:16">
      <c r="A302" s="1">
        <v>298</v>
      </c>
      <c r="B302" s="9">
        <v>39395</v>
      </c>
      <c r="C302" s="6"/>
      <c r="D302" s="12">
        <v>13042.74</v>
      </c>
      <c r="E302" s="6"/>
      <c r="F302" s="13">
        <v>6304.9</v>
      </c>
      <c r="G302" s="10">
        <v>2.0948000000000002</v>
      </c>
      <c r="H302" s="15">
        <f t="shared" si="12"/>
        <v>13207.50452</v>
      </c>
      <c r="I302" s="6"/>
      <c r="J302" s="13">
        <v>5524.18</v>
      </c>
      <c r="K302" s="11">
        <v>0.68130000000000002</v>
      </c>
      <c r="L302" s="15">
        <f t="shared" si="13"/>
        <v>8108.2929693233527</v>
      </c>
      <c r="M302" s="6"/>
      <c r="N302" s="13">
        <v>15583.42</v>
      </c>
      <c r="O302" s="11">
        <v>110.65</v>
      </c>
      <c r="P302" s="15">
        <f t="shared" si="14"/>
        <v>140.83524627202891</v>
      </c>
    </row>
    <row r="303" spans="1:16">
      <c r="A303" s="1">
        <v>299</v>
      </c>
      <c r="B303" s="9">
        <v>39398</v>
      </c>
      <c r="C303" s="6"/>
      <c r="D303" s="12">
        <v>12987.55</v>
      </c>
      <c r="E303" s="6"/>
      <c r="F303" s="13">
        <v>6337.9</v>
      </c>
      <c r="G303" s="10">
        <v>2.0592000000000001</v>
      </c>
      <c r="H303" s="15">
        <f t="shared" si="12"/>
        <v>13051.00368</v>
      </c>
      <c r="I303" s="6"/>
      <c r="J303" s="13">
        <v>5535.56</v>
      </c>
      <c r="K303" s="11">
        <v>0.68789999999999996</v>
      </c>
      <c r="L303" s="15">
        <f t="shared" si="13"/>
        <v>8047.0417211804051</v>
      </c>
      <c r="M303" s="6"/>
      <c r="N303" s="13">
        <v>15197.09</v>
      </c>
      <c r="O303" s="11">
        <v>109.38</v>
      </c>
      <c r="P303" s="15">
        <f t="shared" si="14"/>
        <v>138.9384713841653</v>
      </c>
    </row>
    <row r="304" spans="1:16">
      <c r="A304" s="1">
        <v>300</v>
      </c>
      <c r="B304" s="9">
        <v>39399</v>
      </c>
      <c r="C304" s="6"/>
      <c r="D304" s="12">
        <v>13307.09</v>
      </c>
      <c r="E304" s="6"/>
      <c r="F304" s="13">
        <v>6362.4</v>
      </c>
      <c r="G304" s="10">
        <v>2.0724</v>
      </c>
      <c r="H304" s="15">
        <f t="shared" si="12"/>
        <v>13185.437759999999</v>
      </c>
      <c r="I304" s="6"/>
      <c r="J304" s="13">
        <v>5538.91</v>
      </c>
      <c r="K304" s="11">
        <v>0.68479999999999996</v>
      </c>
      <c r="L304" s="15">
        <f t="shared" si="13"/>
        <v>8088.3615654205605</v>
      </c>
      <c r="M304" s="6"/>
      <c r="N304" s="13">
        <v>15126.63</v>
      </c>
      <c r="O304" s="11">
        <v>110.23</v>
      </c>
      <c r="P304" s="15">
        <f t="shared" si="14"/>
        <v>137.22788714506032</v>
      </c>
    </row>
    <row r="305" spans="1:16">
      <c r="A305" s="1">
        <v>301</v>
      </c>
      <c r="B305" s="9">
        <v>39400</v>
      </c>
      <c r="C305" s="6"/>
      <c r="D305" s="12">
        <v>13231.01</v>
      </c>
      <c r="E305" s="6"/>
      <c r="F305" s="13">
        <v>6432.1</v>
      </c>
      <c r="G305" s="10">
        <v>2.0653999999999999</v>
      </c>
      <c r="H305" s="15">
        <f t="shared" si="12"/>
        <v>13284.859340000001</v>
      </c>
      <c r="I305" s="6"/>
      <c r="J305" s="13">
        <v>5613.6</v>
      </c>
      <c r="K305" s="11">
        <v>0.68059999999999998</v>
      </c>
      <c r="L305" s="15">
        <f t="shared" si="13"/>
        <v>8248.0164560681751</v>
      </c>
      <c r="M305" s="6"/>
      <c r="N305" s="13">
        <v>15499.56</v>
      </c>
      <c r="O305" s="11">
        <v>111.4</v>
      </c>
      <c r="P305" s="15">
        <f t="shared" si="14"/>
        <v>139.1342908438061</v>
      </c>
    </row>
    <row r="306" spans="1:16">
      <c r="A306" s="1">
        <v>302</v>
      </c>
      <c r="B306" s="9">
        <v>39401</v>
      </c>
      <c r="C306" s="6"/>
      <c r="D306" s="12">
        <v>13110.05</v>
      </c>
      <c r="E306" s="6"/>
      <c r="F306" s="13">
        <v>6359.6</v>
      </c>
      <c r="G306" s="10">
        <v>2.0453000000000001</v>
      </c>
      <c r="H306" s="15">
        <f t="shared" si="12"/>
        <v>13007.289880000002</v>
      </c>
      <c r="I306" s="6"/>
      <c r="J306" s="13">
        <v>5561.13</v>
      </c>
      <c r="K306" s="11">
        <v>0.68369999999999997</v>
      </c>
      <c r="L306" s="15">
        <f t="shared" si="13"/>
        <v>8133.8745063624401</v>
      </c>
      <c r="M306" s="6"/>
      <c r="N306" s="13">
        <v>15396.3</v>
      </c>
      <c r="O306" s="11">
        <v>110.93</v>
      </c>
      <c r="P306" s="15">
        <f t="shared" si="14"/>
        <v>138.79293247994229</v>
      </c>
    </row>
    <row r="307" spans="1:16">
      <c r="A307" s="1">
        <v>303</v>
      </c>
      <c r="B307" s="9">
        <v>39402</v>
      </c>
      <c r="C307" s="6"/>
      <c r="D307" s="12">
        <v>13176.79</v>
      </c>
      <c r="E307" s="6"/>
      <c r="F307" s="13">
        <v>6291.2</v>
      </c>
      <c r="G307" s="10">
        <v>2.0457000000000001</v>
      </c>
      <c r="H307" s="15">
        <f t="shared" si="12"/>
        <v>12869.90784</v>
      </c>
      <c r="I307" s="6"/>
      <c r="J307" s="13">
        <v>5523.63</v>
      </c>
      <c r="K307" s="11">
        <v>0.68340000000000001</v>
      </c>
      <c r="L307" s="15">
        <f t="shared" si="13"/>
        <v>8082.5724319578576</v>
      </c>
      <c r="M307" s="6"/>
      <c r="N307" s="13">
        <v>15154.61</v>
      </c>
      <c r="O307" s="11">
        <v>110.61</v>
      </c>
      <c r="P307" s="15">
        <f t="shared" si="14"/>
        <v>137.00940240484587</v>
      </c>
    </row>
    <row r="308" spans="1:16">
      <c r="A308" s="1">
        <v>304</v>
      </c>
      <c r="B308" s="9">
        <v>39405</v>
      </c>
      <c r="C308" s="6"/>
      <c r="D308" s="12">
        <v>12958.44</v>
      </c>
      <c r="E308" s="6"/>
      <c r="F308" s="13">
        <v>6120.8</v>
      </c>
      <c r="G308" s="10">
        <v>2.0518999999999998</v>
      </c>
      <c r="H308" s="15">
        <f t="shared" si="12"/>
        <v>12559.26952</v>
      </c>
      <c r="I308" s="6"/>
      <c r="J308" s="13">
        <v>5432.57</v>
      </c>
      <c r="K308" s="11">
        <v>0.68240000000000001</v>
      </c>
      <c r="L308" s="15">
        <f t="shared" si="13"/>
        <v>7960.975967174677</v>
      </c>
      <c r="M308" s="6"/>
      <c r="N308" s="13">
        <v>15042.56</v>
      </c>
      <c r="O308" s="11">
        <v>110.18</v>
      </c>
      <c r="P308" s="15">
        <f t="shared" si="14"/>
        <v>136.52713741150842</v>
      </c>
    </row>
    <row r="309" spans="1:16">
      <c r="A309" s="1">
        <v>305</v>
      </c>
      <c r="B309" s="9">
        <v>39406</v>
      </c>
      <c r="C309" s="6"/>
      <c r="D309" s="12">
        <v>13010.14</v>
      </c>
      <c r="E309" s="6"/>
      <c r="F309" s="13">
        <v>6226.5</v>
      </c>
      <c r="G309" s="10">
        <v>2.0646</v>
      </c>
      <c r="H309" s="15">
        <f t="shared" si="12"/>
        <v>12855.231900000001</v>
      </c>
      <c r="I309" s="6"/>
      <c r="J309" s="13">
        <v>5506.68</v>
      </c>
      <c r="K309" s="11">
        <v>0.67649999999999999</v>
      </c>
      <c r="L309" s="15">
        <f t="shared" si="13"/>
        <v>8139.9556541019965</v>
      </c>
      <c r="M309" s="6"/>
      <c r="N309" s="13">
        <v>15211.52</v>
      </c>
      <c r="O309" s="11">
        <v>110.16</v>
      </c>
      <c r="P309" s="15">
        <f t="shared" si="14"/>
        <v>138.08569353667394</v>
      </c>
    </row>
    <row r="310" spans="1:16">
      <c r="A310" s="1">
        <v>306</v>
      </c>
      <c r="B310" s="9">
        <v>39407</v>
      </c>
      <c r="C310" s="6"/>
      <c r="D310" s="12">
        <v>12799.04</v>
      </c>
      <c r="E310" s="6"/>
      <c r="F310" s="13">
        <v>6070.9</v>
      </c>
      <c r="G310" s="10">
        <v>2.0550999999999999</v>
      </c>
      <c r="H310" s="15">
        <f t="shared" si="12"/>
        <v>12476.306589999998</v>
      </c>
      <c r="I310" s="6"/>
      <c r="J310" s="13">
        <v>5381.3</v>
      </c>
      <c r="K310" s="11">
        <v>0.67449999999999999</v>
      </c>
      <c r="L310" s="15">
        <f t="shared" si="13"/>
        <v>7978.2060785767235</v>
      </c>
      <c r="M310" s="6"/>
      <c r="N310" s="13">
        <v>14837.66</v>
      </c>
      <c r="O310" s="11">
        <v>108.42</v>
      </c>
      <c r="P310" s="15">
        <f t="shared" si="14"/>
        <v>136.85353255856853</v>
      </c>
    </row>
    <row r="311" spans="1:16">
      <c r="A311" s="1">
        <v>307</v>
      </c>
      <c r="B311" s="9">
        <v>39412</v>
      </c>
      <c r="C311" s="6"/>
      <c r="D311" s="12">
        <v>12743.44</v>
      </c>
      <c r="E311" s="6"/>
      <c r="F311" s="13">
        <v>6180.5</v>
      </c>
      <c r="G311" s="10">
        <v>2.0678000000000001</v>
      </c>
      <c r="H311" s="15">
        <f t="shared" si="12"/>
        <v>12780.037900000001</v>
      </c>
      <c r="I311" s="6"/>
      <c r="J311" s="13">
        <v>5458.39</v>
      </c>
      <c r="K311" s="11">
        <v>0.67390000000000005</v>
      </c>
      <c r="L311" s="15">
        <f t="shared" si="13"/>
        <v>8099.7032200623235</v>
      </c>
      <c r="M311" s="6"/>
      <c r="N311" s="13">
        <v>15135.21</v>
      </c>
      <c r="O311" s="11">
        <v>108.26</v>
      </c>
      <c r="P311" s="15">
        <f t="shared" si="14"/>
        <v>139.80426750415666</v>
      </c>
    </row>
    <row r="312" spans="1:16">
      <c r="A312" s="1">
        <v>308</v>
      </c>
      <c r="B312" s="9">
        <v>39413</v>
      </c>
      <c r="C312" s="6"/>
      <c r="D312" s="12">
        <v>12958.44</v>
      </c>
      <c r="E312" s="6"/>
      <c r="F312" s="13">
        <v>6140.7</v>
      </c>
      <c r="G312" s="10">
        <v>2.0697999999999999</v>
      </c>
      <c r="H312" s="15">
        <f t="shared" si="12"/>
        <v>12710.020859999999</v>
      </c>
      <c r="I312" s="6"/>
      <c r="J312" s="13">
        <v>5434.17</v>
      </c>
      <c r="K312" s="11">
        <v>0.67290000000000005</v>
      </c>
      <c r="L312" s="15">
        <f t="shared" si="13"/>
        <v>8075.746767721801</v>
      </c>
      <c r="M312" s="6"/>
      <c r="N312" s="13">
        <v>15222.85</v>
      </c>
      <c r="O312" s="11">
        <v>108.57</v>
      </c>
      <c r="P312" s="15">
        <f t="shared" si="14"/>
        <v>140.21230542507141</v>
      </c>
    </row>
    <row r="313" spans="1:16">
      <c r="A313" s="1">
        <v>309</v>
      </c>
      <c r="B313" s="9">
        <v>39414</v>
      </c>
      <c r="C313" s="6"/>
      <c r="D313" s="12">
        <v>13289.45</v>
      </c>
      <c r="E313" s="6"/>
      <c r="F313" s="13">
        <v>6306.2</v>
      </c>
      <c r="G313" s="10">
        <v>2.0712000000000002</v>
      </c>
      <c r="H313" s="15">
        <f t="shared" si="12"/>
        <v>13061.401440000001</v>
      </c>
      <c r="I313" s="6"/>
      <c r="J313" s="13">
        <v>5561.21</v>
      </c>
      <c r="K313" s="11">
        <v>0.67759999999999998</v>
      </c>
      <c r="L313" s="15">
        <f t="shared" si="13"/>
        <v>8207.2166469893746</v>
      </c>
      <c r="M313" s="6"/>
      <c r="N313" s="13">
        <v>15153.78</v>
      </c>
      <c r="O313" s="11">
        <v>109.96</v>
      </c>
      <c r="P313" s="15">
        <f t="shared" si="14"/>
        <v>137.81174972717352</v>
      </c>
    </row>
    <row r="314" spans="1:16">
      <c r="A314" s="1">
        <v>310</v>
      </c>
      <c r="B314" s="9">
        <v>39415</v>
      </c>
      <c r="C314" s="6"/>
      <c r="D314" s="12">
        <v>13311.73</v>
      </c>
      <c r="E314" s="6"/>
      <c r="F314" s="13">
        <v>6349.1</v>
      </c>
      <c r="G314" s="10">
        <v>2.0625</v>
      </c>
      <c r="H314" s="15">
        <f t="shared" si="12"/>
        <v>13095.018750000001</v>
      </c>
      <c r="I314" s="6"/>
      <c r="J314" s="13">
        <v>5598.11</v>
      </c>
      <c r="K314" s="11">
        <v>0.67700000000000005</v>
      </c>
      <c r="L314" s="15">
        <f t="shared" si="13"/>
        <v>8268.9955686853755</v>
      </c>
      <c r="M314" s="6"/>
      <c r="N314" s="13">
        <v>15513.74</v>
      </c>
      <c r="O314" s="11">
        <v>109.67</v>
      </c>
      <c r="P314" s="15">
        <f t="shared" si="14"/>
        <v>141.45837512537614</v>
      </c>
    </row>
    <row r="315" spans="1:16">
      <c r="A315" s="1">
        <v>311</v>
      </c>
      <c r="B315" s="9">
        <v>39416</v>
      </c>
      <c r="C315" s="6"/>
      <c r="D315" s="12">
        <v>13371.72</v>
      </c>
      <c r="E315" s="6"/>
      <c r="F315" s="13">
        <v>6432.5</v>
      </c>
      <c r="G315" s="10">
        <v>2.0560999999999998</v>
      </c>
      <c r="H315" s="15">
        <f t="shared" si="12"/>
        <v>13225.863249999999</v>
      </c>
      <c r="I315" s="6"/>
      <c r="J315" s="13">
        <v>5670.57</v>
      </c>
      <c r="K315" s="11">
        <v>0.68120000000000003</v>
      </c>
      <c r="L315" s="15">
        <f t="shared" si="13"/>
        <v>8324.383440986494</v>
      </c>
      <c r="M315" s="6"/>
      <c r="N315" s="13">
        <v>15680.67</v>
      </c>
      <c r="O315" s="11">
        <v>110.88</v>
      </c>
      <c r="P315" s="15">
        <f t="shared" si="14"/>
        <v>141.42018398268399</v>
      </c>
    </row>
    <row r="316" spans="1:16">
      <c r="A316" s="1">
        <v>312</v>
      </c>
      <c r="B316" s="9">
        <v>39419</v>
      </c>
      <c r="C316" s="6"/>
      <c r="D316" s="12">
        <v>13314.57</v>
      </c>
      <c r="E316" s="6"/>
      <c r="F316" s="13">
        <v>6386.6</v>
      </c>
      <c r="G316" s="10">
        <v>2.0672999999999999</v>
      </c>
      <c r="H316" s="15">
        <f t="shared" si="12"/>
        <v>13203.018180000001</v>
      </c>
      <c r="I316" s="6"/>
      <c r="J316" s="13">
        <v>5629.46</v>
      </c>
      <c r="K316" s="11">
        <v>0.68210000000000004</v>
      </c>
      <c r="L316" s="15">
        <f t="shared" si="13"/>
        <v>8253.1300395836388</v>
      </c>
      <c r="M316" s="6"/>
      <c r="N316" s="13">
        <v>15628.97</v>
      </c>
      <c r="O316" s="11">
        <v>110.47</v>
      </c>
      <c r="P316" s="15">
        <f t="shared" si="14"/>
        <v>141.47705259346429</v>
      </c>
    </row>
    <row r="317" spans="1:16">
      <c r="A317" s="1">
        <v>313</v>
      </c>
      <c r="B317" s="9">
        <v>39420</v>
      </c>
      <c r="C317" s="6"/>
      <c r="D317" s="12">
        <v>13248.73</v>
      </c>
      <c r="E317" s="6"/>
      <c r="F317" s="13">
        <v>6315.2</v>
      </c>
      <c r="G317" s="10">
        <v>2.0587</v>
      </c>
      <c r="H317" s="15">
        <f t="shared" si="12"/>
        <v>13001.10224</v>
      </c>
      <c r="I317" s="6"/>
      <c r="J317" s="13">
        <v>5547.21</v>
      </c>
      <c r="K317" s="11">
        <v>0.67779999999999996</v>
      </c>
      <c r="L317" s="15">
        <f t="shared" si="13"/>
        <v>8184.1398642667455</v>
      </c>
      <c r="M317" s="6"/>
      <c r="N317" s="13">
        <v>15480.19</v>
      </c>
      <c r="O317" s="11">
        <v>109.62</v>
      </c>
      <c r="P317" s="15">
        <f t="shared" si="14"/>
        <v>141.21683999270206</v>
      </c>
    </row>
    <row r="318" spans="1:16">
      <c r="A318" s="1">
        <v>314</v>
      </c>
      <c r="B318" s="9">
        <v>39421</v>
      </c>
      <c r="C318" s="6"/>
      <c r="D318" s="12">
        <v>13444.96</v>
      </c>
      <c r="E318" s="6"/>
      <c r="F318" s="13">
        <v>6493.8</v>
      </c>
      <c r="G318" s="10">
        <v>2.0276000000000001</v>
      </c>
      <c r="H318" s="15">
        <f t="shared" si="12"/>
        <v>13166.828880000001</v>
      </c>
      <c r="I318" s="6"/>
      <c r="J318" s="13">
        <v>5659.07</v>
      </c>
      <c r="K318" s="11">
        <v>0.68230000000000002</v>
      </c>
      <c r="L318" s="15">
        <f t="shared" si="13"/>
        <v>8294.1081635644132</v>
      </c>
      <c r="M318" s="6"/>
      <c r="N318" s="13">
        <v>15608.88</v>
      </c>
      <c r="O318" s="11">
        <v>110.93</v>
      </c>
      <c r="P318" s="15">
        <f t="shared" si="14"/>
        <v>140.70927612007571</v>
      </c>
    </row>
    <row r="319" spans="1:16">
      <c r="A319" s="1">
        <v>315</v>
      </c>
      <c r="B319" s="9">
        <v>39422</v>
      </c>
      <c r="C319" s="6"/>
      <c r="D319" s="12">
        <v>13619.89</v>
      </c>
      <c r="E319" s="6"/>
      <c r="F319" s="13">
        <v>6485.6</v>
      </c>
      <c r="G319" s="10">
        <v>2.0253999999999999</v>
      </c>
      <c r="H319" s="15">
        <f t="shared" si="12"/>
        <v>13135.934240000001</v>
      </c>
      <c r="I319" s="6"/>
      <c r="J319" s="13">
        <v>5673.76</v>
      </c>
      <c r="K319" s="11">
        <v>0.68389999999999995</v>
      </c>
      <c r="L319" s="15">
        <f t="shared" si="13"/>
        <v>8296.1836525807867</v>
      </c>
      <c r="M319" s="6"/>
      <c r="N319" s="13">
        <v>15874.08</v>
      </c>
      <c r="O319" s="11">
        <v>111.36</v>
      </c>
      <c r="P319" s="15">
        <f t="shared" si="14"/>
        <v>142.54741379310346</v>
      </c>
    </row>
    <row r="320" spans="1:16">
      <c r="A320" s="1">
        <v>316</v>
      </c>
      <c r="B320" s="9">
        <v>39423</v>
      </c>
      <c r="C320" s="6"/>
      <c r="D320" s="12">
        <v>13625.58</v>
      </c>
      <c r="E320" s="6"/>
      <c r="F320" s="13">
        <v>6554.9</v>
      </c>
      <c r="G320" s="10">
        <v>2.0295000000000001</v>
      </c>
      <c r="H320" s="15">
        <f t="shared" si="12"/>
        <v>13303.169550000001</v>
      </c>
      <c r="I320" s="6"/>
      <c r="J320" s="13">
        <v>5718.75</v>
      </c>
      <c r="K320" s="11">
        <v>0.6825</v>
      </c>
      <c r="L320" s="15">
        <f t="shared" si="13"/>
        <v>8379.1208791208792</v>
      </c>
      <c r="M320" s="6"/>
      <c r="N320" s="13">
        <v>15956.37</v>
      </c>
      <c r="O320" s="11">
        <v>111.67</v>
      </c>
      <c r="P320" s="15">
        <f t="shared" si="14"/>
        <v>142.88860034028835</v>
      </c>
    </row>
    <row r="321" spans="1:16">
      <c r="A321" s="1">
        <v>317</v>
      </c>
      <c r="B321" s="9">
        <v>39426</v>
      </c>
      <c r="C321" s="6"/>
      <c r="D321" s="12">
        <v>13727.03</v>
      </c>
      <c r="E321" s="6"/>
      <c r="F321" s="13">
        <v>6565.4</v>
      </c>
      <c r="G321" s="10">
        <v>2.0461999999999998</v>
      </c>
      <c r="H321" s="15">
        <f t="shared" si="12"/>
        <v>13434.121479999998</v>
      </c>
      <c r="I321" s="6"/>
      <c r="J321" s="13">
        <v>5750.92</v>
      </c>
      <c r="K321" s="11">
        <v>0.67959999999999998</v>
      </c>
      <c r="L321" s="15">
        <f t="shared" si="13"/>
        <v>8462.213066509712</v>
      </c>
      <c r="M321" s="6"/>
      <c r="N321" s="13">
        <v>15924.39</v>
      </c>
      <c r="O321" s="11">
        <v>111.71</v>
      </c>
      <c r="P321" s="15">
        <f t="shared" si="14"/>
        <v>142.55115925163369</v>
      </c>
    </row>
    <row r="322" spans="1:16">
      <c r="A322" s="1">
        <v>318</v>
      </c>
      <c r="B322" s="9">
        <v>39427</v>
      </c>
      <c r="C322" s="6"/>
      <c r="D322" s="12">
        <v>13432.77</v>
      </c>
      <c r="E322" s="6"/>
      <c r="F322" s="13">
        <v>6536.9</v>
      </c>
      <c r="G322" s="10">
        <v>2.0390000000000001</v>
      </c>
      <c r="H322" s="15">
        <f t="shared" si="12"/>
        <v>13328.739100000001</v>
      </c>
      <c r="I322" s="6"/>
      <c r="J322" s="13">
        <v>5724.76</v>
      </c>
      <c r="K322" s="11">
        <v>0.68059999999999998</v>
      </c>
      <c r="L322" s="15">
        <f t="shared" si="13"/>
        <v>8411.3429327064368</v>
      </c>
      <c r="M322" s="6"/>
      <c r="N322" s="13">
        <v>16044.72</v>
      </c>
      <c r="O322" s="11">
        <v>111.61</v>
      </c>
      <c r="P322" s="15">
        <f t="shared" si="14"/>
        <v>143.75701102051787</v>
      </c>
    </row>
    <row r="323" spans="1:16">
      <c r="A323" s="1">
        <v>319</v>
      </c>
      <c r="B323" s="9">
        <v>39428</v>
      </c>
      <c r="C323" s="6"/>
      <c r="D323" s="12">
        <v>13473.9</v>
      </c>
      <c r="E323" s="6"/>
      <c r="F323" s="13">
        <v>6559.8</v>
      </c>
      <c r="G323" s="10">
        <v>2.0455999999999999</v>
      </c>
      <c r="H323" s="15">
        <f t="shared" si="12"/>
        <v>13418.72688</v>
      </c>
      <c r="I323" s="6"/>
      <c r="J323" s="13">
        <v>5743.32</v>
      </c>
      <c r="K323" s="11">
        <v>0.68120000000000003</v>
      </c>
      <c r="L323" s="15">
        <f t="shared" si="13"/>
        <v>8431.1802701115666</v>
      </c>
      <c r="M323" s="6"/>
      <c r="N323" s="13">
        <v>15932.26</v>
      </c>
      <c r="O323" s="11">
        <v>112.24</v>
      </c>
      <c r="P323" s="15">
        <f t="shared" si="14"/>
        <v>141.94814682822525</v>
      </c>
    </row>
    <row r="324" spans="1:16">
      <c r="A324" s="1">
        <v>320</v>
      </c>
      <c r="B324" s="9">
        <v>39429</v>
      </c>
      <c r="C324" s="6"/>
      <c r="D324" s="12">
        <v>13517.96</v>
      </c>
      <c r="E324" s="6"/>
      <c r="F324" s="13">
        <v>6364.2</v>
      </c>
      <c r="G324" s="10">
        <v>2.0377000000000001</v>
      </c>
      <c r="H324" s="15">
        <f t="shared" si="12"/>
        <v>12968.33034</v>
      </c>
      <c r="I324" s="6"/>
      <c r="J324" s="13">
        <v>5590.91</v>
      </c>
      <c r="K324" s="11">
        <v>0.68469999999999998</v>
      </c>
      <c r="L324" s="15">
        <f t="shared" si="13"/>
        <v>8165.4885351248722</v>
      </c>
      <c r="M324" s="6"/>
      <c r="N324" s="13">
        <v>15536.52</v>
      </c>
      <c r="O324" s="11">
        <v>112.14</v>
      </c>
      <c r="P324" s="15">
        <f t="shared" si="14"/>
        <v>138.54574638844301</v>
      </c>
    </row>
    <row r="325" spans="1:16">
      <c r="A325" s="1">
        <v>321</v>
      </c>
      <c r="B325" s="9">
        <v>39430</v>
      </c>
      <c r="C325" s="6"/>
      <c r="D325" s="12">
        <v>13339.85</v>
      </c>
      <c r="E325" s="6"/>
      <c r="F325" s="13">
        <v>6397</v>
      </c>
      <c r="G325" s="10">
        <v>2.0196000000000001</v>
      </c>
      <c r="H325" s="15">
        <f t="shared" ref="H325:H388" si="15">F325*G325</f>
        <v>12919.3812</v>
      </c>
      <c r="I325" s="6"/>
      <c r="J325" s="13">
        <v>5605.36</v>
      </c>
      <c r="K325" s="11">
        <v>0.69269999999999998</v>
      </c>
      <c r="L325" s="15">
        <f t="shared" ref="L325:L388" si="16">J325/K325</f>
        <v>8092.0456185939074</v>
      </c>
      <c r="M325" s="6"/>
      <c r="N325" s="13">
        <v>15514.51</v>
      </c>
      <c r="O325" s="11">
        <v>113.36</v>
      </c>
      <c r="P325" s="15">
        <f t="shared" ref="P325:P388" si="17">N325/O325</f>
        <v>136.86053281580806</v>
      </c>
    </row>
    <row r="326" spans="1:16">
      <c r="A326" s="1">
        <v>322</v>
      </c>
      <c r="B326" s="9">
        <v>39433</v>
      </c>
      <c r="C326" s="6"/>
      <c r="D326" s="12">
        <v>13167.2</v>
      </c>
      <c r="E326" s="6"/>
      <c r="F326" s="13">
        <v>6277.8</v>
      </c>
      <c r="G326" s="10">
        <v>2.0150999999999999</v>
      </c>
      <c r="H326" s="15">
        <f t="shared" si="15"/>
        <v>12650.394780000001</v>
      </c>
      <c r="I326" s="6"/>
      <c r="J326" s="13">
        <v>5514.88</v>
      </c>
      <c r="K326" s="11">
        <v>0.6956</v>
      </c>
      <c r="L326" s="15">
        <f t="shared" si="16"/>
        <v>7928.2346175963203</v>
      </c>
      <c r="M326" s="6"/>
      <c r="N326" s="13">
        <v>15249.79</v>
      </c>
      <c r="O326" s="11">
        <v>113.24</v>
      </c>
      <c r="P326" s="15">
        <f t="shared" si="17"/>
        <v>134.6678735429177</v>
      </c>
    </row>
    <row r="327" spans="1:16">
      <c r="A327" s="1">
        <v>323</v>
      </c>
      <c r="B327" s="9">
        <v>39434</v>
      </c>
      <c r="C327" s="6"/>
      <c r="D327" s="12">
        <v>13232.47</v>
      </c>
      <c r="E327" s="6"/>
      <c r="F327" s="13">
        <v>6279.3</v>
      </c>
      <c r="G327" s="10">
        <v>2.0179999999999998</v>
      </c>
      <c r="H327" s="15">
        <f t="shared" si="15"/>
        <v>12671.627399999999</v>
      </c>
      <c r="I327" s="6"/>
      <c r="J327" s="13">
        <v>5509.37</v>
      </c>
      <c r="K327" s="11">
        <v>0.69430000000000003</v>
      </c>
      <c r="L327" s="15">
        <f t="shared" si="16"/>
        <v>7935.1433098084399</v>
      </c>
      <c r="M327" s="6"/>
      <c r="N327" s="13">
        <v>15207.86</v>
      </c>
      <c r="O327" s="11">
        <v>113.21</v>
      </c>
      <c r="P327" s="15">
        <f t="shared" si="17"/>
        <v>134.33318611430087</v>
      </c>
    </row>
    <row r="328" spans="1:16">
      <c r="A328" s="1">
        <v>324</v>
      </c>
      <c r="B328" s="9">
        <v>39435</v>
      </c>
      <c r="C328" s="6"/>
      <c r="D328" s="12">
        <v>13207.27</v>
      </c>
      <c r="E328" s="6"/>
      <c r="F328" s="13">
        <v>6284.5</v>
      </c>
      <c r="G328" s="10">
        <v>2.0034000000000001</v>
      </c>
      <c r="H328" s="15">
        <f t="shared" si="15"/>
        <v>12590.3673</v>
      </c>
      <c r="I328" s="6"/>
      <c r="J328" s="13">
        <v>5497.42</v>
      </c>
      <c r="K328" s="11">
        <v>0.69499999999999995</v>
      </c>
      <c r="L328" s="15">
        <f t="shared" si="16"/>
        <v>7909.9568345323751</v>
      </c>
      <c r="M328" s="6"/>
      <c r="N328" s="13">
        <v>15030.51</v>
      </c>
      <c r="O328" s="11">
        <v>113.37</v>
      </c>
      <c r="P328" s="15">
        <f t="shared" si="17"/>
        <v>132.57925377083885</v>
      </c>
    </row>
    <row r="329" spans="1:16">
      <c r="A329" s="1">
        <v>325</v>
      </c>
      <c r="B329" s="9">
        <v>39436</v>
      </c>
      <c r="C329" s="6"/>
      <c r="D329" s="12">
        <v>13245.64</v>
      </c>
      <c r="E329" s="6"/>
      <c r="F329" s="13">
        <v>6345.6</v>
      </c>
      <c r="G329" s="10">
        <v>1.9813000000000001</v>
      </c>
      <c r="H329" s="15">
        <f t="shared" si="15"/>
        <v>12572.53728</v>
      </c>
      <c r="I329" s="6"/>
      <c r="J329" s="13">
        <v>5511.45</v>
      </c>
      <c r="K329" s="11">
        <v>0.69720000000000004</v>
      </c>
      <c r="L329" s="15">
        <f t="shared" si="16"/>
        <v>7905.12048192771</v>
      </c>
      <c r="M329" s="6"/>
      <c r="N329" s="13">
        <v>15031.6</v>
      </c>
      <c r="O329" s="11">
        <v>112.91</v>
      </c>
      <c r="P329" s="15">
        <f t="shared" si="17"/>
        <v>133.12904082897884</v>
      </c>
    </row>
    <row r="330" spans="1:16">
      <c r="A330" s="1">
        <v>326</v>
      </c>
      <c r="B330" s="9">
        <v>39437</v>
      </c>
      <c r="C330" s="6"/>
      <c r="D330" s="12">
        <v>13450.65</v>
      </c>
      <c r="E330" s="6"/>
      <c r="F330" s="13">
        <v>6434.1</v>
      </c>
      <c r="G330" s="10">
        <v>1.9841</v>
      </c>
      <c r="H330" s="15">
        <f t="shared" si="15"/>
        <v>12765.89781</v>
      </c>
      <c r="I330" s="6"/>
      <c r="J330" s="13">
        <v>5602.77</v>
      </c>
      <c r="K330" s="11">
        <v>0.69579999999999997</v>
      </c>
      <c r="L330" s="15">
        <f t="shared" si="16"/>
        <v>8052.2707674619151</v>
      </c>
      <c r="M330" s="6"/>
      <c r="N330" s="13">
        <v>15257</v>
      </c>
      <c r="O330" s="11">
        <v>113.92</v>
      </c>
      <c r="P330" s="15">
        <f t="shared" si="17"/>
        <v>133.92731741573033</v>
      </c>
    </row>
    <row r="331" spans="1:16">
      <c r="A331" s="1">
        <v>327</v>
      </c>
      <c r="B331" s="9">
        <v>39443</v>
      </c>
      <c r="C331" s="6"/>
      <c r="D331" s="12">
        <v>13359.61</v>
      </c>
      <c r="E331" s="6"/>
      <c r="F331" s="13">
        <v>6497.8</v>
      </c>
      <c r="G331" s="10">
        <v>1.9882</v>
      </c>
      <c r="H331" s="15">
        <f t="shared" si="15"/>
        <v>12918.92596</v>
      </c>
      <c r="I331" s="6"/>
      <c r="J331" s="13">
        <v>5627.48</v>
      </c>
      <c r="K331" s="11">
        <v>0.68640000000000001</v>
      </c>
      <c r="L331" s="15">
        <f t="shared" si="16"/>
        <v>8198.5431235431224</v>
      </c>
      <c r="M331" s="6"/>
      <c r="N331" s="13">
        <v>15564.69</v>
      </c>
      <c r="O331" s="11">
        <v>114.16</v>
      </c>
      <c r="P331" s="15">
        <f t="shared" si="17"/>
        <v>136.34101261387528</v>
      </c>
    </row>
    <row r="332" spans="1:16">
      <c r="A332" s="1">
        <v>328</v>
      </c>
      <c r="B332" s="9">
        <v>39444</v>
      </c>
      <c r="C332" s="6"/>
      <c r="D332" s="12">
        <v>13365.87</v>
      </c>
      <c r="E332" s="6"/>
      <c r="F332" s="13">
        <v>6476.9</v>
      </c>
      <c r="G332" s="10">
        <v>1.9928999999999999</v>
      </c>
      <c r="H332" s="15">
        <f t="shared" si="15"/>
        <v>12907.814009999998</v>
      </c>
      <c r="I332" s="6"/>
      <c r="J332" s="13">
        <v>5627.25</v>
      </c>
      <c r="K332" s="11">
        <v>0.68010000000000004</v>
      </c>
      <c r="L332" s="15">
        <f t="shared" si="16"/>
        <v>8274.1508601676214</v>
      </c>
      <c r="M332" s="6"/>
      <c r="N332" s="13">
        <v>15307.78</v>
      </c>
      <c r="O332" s="11">
        <v>113.13</v>
      </c>
      <c r="P332" s="15">
        <f t="shared" si="17"/>
        <v>135.3114116503138</v>
      </c>
    </row>
    <row r="333" spans="1:16">
      <c r="A333" s="1">
        <v>329</v>
      </c>
      <c r="B333" s="9">
        <v>39451</v>
      </c>
      <c r="C333" s="6"/>
      <c r="D333" s="12">
        <v>12800.18</v>
      </c>
      <c r="E333" s="6"/>
      <c r="F333" s="13">
        <v>6348.5</v>
      </c>
      <c r="G333" s="10">
        <v>1.9743999999999999</v>
      </c>
      <c r="H333" s="15">
        <f t="shared" si="15"/>
        <v>12534.4784</v>
      </c>
      <c r="I333" s="6"/>
      <c r="J333" s="13">
        <v>5446.79</v>
      </c>
      <c r="K333" s="11">
        <v>0.67679999999999996</v>
      </c>
      <c r="L333" s="15">
        <f t="shared" si="16"/>
        <v>8047.857565011821</v>
      </c>
      <c r="M333" s="6"/>
      <c r="N333" s="13">
        <v>14691.41</v>
      </c>
      <c r="O333" s="11">
        <v>108.23</v>
      </c>
      <c r="P333" s="15">
        <f t="shared" si="17"/>
        <v>135.74249283932366</v>
      </c>
    </row>
    <row r="334" spans="1:16">
      <c r="A334" s="1">
        <v>330</v>
      </c>
      <c r="B334" s="9">
        <v>39454</v>
      </c>
      <c r="C334" s="6"/>
      <c r="D334" s="12">
        <v>12827.49</v>
      </c>
      <c r="E334" s="6"/>
      <c r="F334" s="13">
        <v>6335.7</v>
      </c>
      <c r="G334" s="10">
        <v>1.9755</v>
      </c>
      <c r="H334" s="15">
        <f t="shared" si="15"/>
        <v>12516.17535</v>
      </c>
      <c r="I334" s="6"/>
      <c r="J334" s="13">
        <v>5452.83</v>
      </c>
      <c r="K334" s="11">
        <v>0.6794</v>
      </c>
      <c r="L334" s="15">
        <f t="shared" si="16"/>
        <v>8025.9493670886077</v>
      </c>
      <c r="M334" s="6"/>
      <c r="N334" s="13">
        <v>14500.55</v>
      </c>
      <c r="O334" s="11">
        <v>108.69</v>
      </c>
      <c r="P334" s="15">
        <f t="shared" si="17"/>
        <v>133.41199742386604</v>
      </c>
    </row>
    <row r="335" spans="1:16">
      <c r="A335" s="1">
        <v>331</v>
      </c>
      <c r="B335" s="9">
        <v>39455</v>
      </c>
      <c r="C335" s="6"/>
      <c r="D335" s="12">
        <v>12589.07</v>
      </c>
      <c r="E335" s="6"/>
      <c r="F335" s="13">
        <v>6356.5</v>
      </c>
      <c r="G335" s="10">
        <v>1.9735</v>
      </c>
      <c r="H335" s="15">
        <f t="shared" si="15"/>
        <v>12544.552750000001</v>
      </c>
      <c r="I335" s="6"/>
      <c r="J335" s="13">
        <v>5495.67</v>
      </c>
      <c r="K335" s="11">
        <v>0.67959999999999998</v>
      </c>
      <c r="L335" s="15">
        <f t="shared" si="16"/>
        <v>8086.6244849911718</v>
      </c>
      <c r="M335" s="6"/>
      <c r="N335" s="13">
        <v>14528.67</v>
      </c>
      <c r="O335" s="11">
        <v>109.71</v>
      </c>
      <c r="P335" s="15">
        <f t="shared" si="17"/>
        <v>132.42794640415642</v>
      </c>
    </row>
    <row r="336" spans="1:16">
      <c r="A336" s="1">
        <v>332</v>
      </c>
      <c r="B336" s="9">
        <v>39456</v>
      </c>
      <c r="C336" s="6"/>
      <c r="D336" s="12">
        <v>12735.31</v>
      </c>
      <c r="E336" s="6"/>
      <c r="F336" s="13">
        <v>6272.7</v>
      </c>
      <c r="G336" s="10">
        <v>1.9582999999999999</v>
      </c>
      <c r="H336" s="15">
        <f t="shared" si="15"/>
        <v>12283.82841</v>
      </c>
      <c r="I336" s="6"/>
      <c r="J336" s="13">
        <v>5435.42</v>
      </c>
      <c r="K336" s="11">
        <v>0.68169999999999997</v>
      </c>
      <c r="L336" s="15">
        <f t="shared" si="16"/>
        <v>7973.3313774387561</v>
      </c>
      <c r="M336" s="6"/>
      <c r="N336" s="13">
        <v>14599.16</v>
      </c>
      <c r="O336" s="11">
        <v>109.54</v>
      </c>
      <c r="P336" s="15">
        <f t="shared" si="17"/>
        <v>133.27697644695999</v>
      </c>
    </row>
    <row r="337" spans="1:16">
      <c r="A337" s="1">
        <v>333</v>
      </c>
      <c r="B337" s="9">
        <v>39457</v>
      </c>
      <c r="C337" s="6"/>
      <c r="D337" s="12">
        <v>12853.09</v>
      </c>
      <c r="E337" s="6"/>
      <c r="F337" s="13">
        <v>6222.7</v>
      </c>
      <c r="G337" s="10">
        <v>1.9575</v>
      </c>
      <c r="H337" s="15">
        <f t="shared" si="15"/>
        <v>12180.93525</v>
      </c>
      <c r="I337" s="6"/>
      <c r="J337" s="13">
        <v>5400.43</v>
      </c>
      <c r="K337" s="11">
        <v>0.67859999999999998</v>
      </c>
      <c r="L337" s="15">
        <f t="shared" si="16"/>
        <v>7958.1933392278224</v>
      </c>
      <c r="M337" s="6"/>
      <c r="N337" s="13">
        <v>14388.11</v>
      </c>
      <c r="O337" s="11">
        <v>109.48</v>
      </c>
      <c r="P337" s="15">
        <f t="shared" si="17"/>
        <v>131.42226890756302</v>
      </c>
    </row>
    <row r="338" spans="1:16">
      <c r="A338" s="1">
        <v>334</v>
      </c>
      <c r="B338" s="9">
        <v>39458</v>
      </c>
      <c r="C338" s="6"/>
      <c r="D338" s="12">
        <v>12606.3</v>
      </c>
      <c r="E338" s="6"/>
      <c r="F338" s="13">
        <v>6202</v>
      </c>
      <c r="G338" s="10">
        <v>1.9582999999999999</v>
      </c>
      <c r="H338" s="15">
        <f t="shared" si="15"/>
        <v>12145.3766</v>
      </c>
      <c r="I338" s="6"/>
      <c r="J338" s="13">
        <v>5371.41</v>
      </c>
      <c r="K338" s="11">
        <v>0.67600000000000005</v>
      </c>
      <c r="L338" s="15">
        <f t="shared" si="16"/>
        <v>7945.872781065088</v>
      </c>
      <c r="M338" s="6"/>
      <c r="N338" s="13">
        <v>14110.79</v>
      </c>
      <c r="O338" s="11">
        <v>109.02</v>
      </c>
      <c r="P338" s="15">
        <f t="shared" si="17"/>
        <v>129.43303980920933</v>
      </c>
    </row>
    <row r="339" spans="1:16">
      <c r="A339" s="1">
        <v>335</v>
      </c>
      <c r="B339" s="9">
        <v>39462</v>
      </c>
      <c r="C339" s="6"/>
      <c r="D339" s="12">
        <v>12501.11</v>
      </c>
      <c r="E339" s="6"/>
      <c r="F339" s="13">
        <v>6025.6</v>
      </c>
      <c r="G339" s="10">
        <v>1.9714</v>
      </c>
      <c r="H339" s="15">
        <f t="shared" si="15"/>
        <v>11878.867840000001</v>
      </c>
      <c r="I339" s="6"/>
      <c r="J339" s="13">
        <v>5250.82</v>
      </c>
      <c r="K339" s="11">
        <v>0.67320000000000002</v>
      </c>
      <c r="L339" s="15">
        <f t="shared" si="16"/>
        <v>7799.7920380273317</v>
      </c>
      <c r="M339" s="6"/>
      <c r="N339" s="13">
        <v>13972.63</v>
      </c>
      <c r="O339" s="11">
        <v>106.82</v>
      </c>
      <c r="P339" s="15">
        <f t="shared" si="17"/>
        <v>130.805373525557</v>
      </c>
    </row>
    <row r="340" spans="1:16">
      <c r="A340" s="1">
        <v>336</v>
      </c>
      <c r="B340" s="9">
        <v>39463</v>
      </c>
      <c r="C340" s="6"/>
      <c r="D340" s="12">
        <v>12466.16</v>
      </c>
      <c r="E340" s="6"/>
      <c r="F340" s="13">
        <v>5942.9</v>
      </c>
      <c r="G340" s="10">
        <v>1.9649000000000001</v>
      </c>
      <c r="H340" s="15">
        <f t="shared" si="15"/>
        <v>11677.20421</v>
      </c>
      <c r="I340" s="6"/>
      <c r="J340" s="13">
        <v>5225.3900000000003</v>
      </c>
      <c r="K340" s="11">
        <v>0.68100000000000005</v>
      </c>
      <c r="L340" s="15">
        <f t="shared" si="16"/>
        <v>7673.1130690161526</v>
      </c>
      <c r="M340" s="6"/>
      <c r="N340" s="13">
        <v>13504.51</v>
      </c>
      <c r="O340" s="11">
        <v>106.84</v>
      </c>
      <c r="P340" s="15">
        <f t="shared" si="17"/>
        <v>126.39938225383752</v>
      </c>
    </row>
    <row r="341" spans="1:16">
      <c r="A341" s="1">
        <v>337</v>
      </c>
      <c r="B341" s="9">
        <v>39464</v>
      </c>
      <c r="C341" s="6"/>
      <c r="D341" s="12">
        <v>12159.21</v>
      </c>
      <c r="E341" s="6"/>
      <c r="F341" s="13">
        <v>5902.4</v>
      </c>
      <c r="G341" s="10">
        <v>1.9769000000000001</v>
      </c>
      <c r="H341" s="15">
        <f t="shared" si="15"/>
        <v>11668.45456</v>
      </c>
      <c r="I341" s="6"/>
      <c r="J341" s="13">
        <v>5157.09</v>
      </c>
      <c r="K341" s="11">
        <v>0.68079999999999996</v>
      </c>
      <c r="L341" s="15">
        <f t="shared" si="16"/>
        <v>7575.0440658049356</v>
      </c>
      <c r="M341" s="6"/>
      <c r="N341" s="13">
        <v>13783.45</v>
      </c>
      <c r="O341" s="11">
        <v>107.13</v>
      </c>
      <c r="P341" s="15">
        <f t="shared" si="17"/>
        <v>128.66097265005135</v>
      </c>
    </row>
    <row r="342" spans="1:16">
      <c r="A342" s="1">
        <v>338</v>
      </c>
      <c r="B342" s="9">
        <v>39465</v>
      </c>
      <c r="C342" s="6"/>
      <c r="D342" s="12">
        <v>12099.3</v>
      </c>
      <c r="E342" s="6"/>
      <c r="F342" s="13">
        <v>5901.7</v>
      </c>
      <c r="G342" s="10">
        <v>1.9538</v>
      </c>
      <c r="H342" s="15">
        <f t="shared" si="15"/>
        <v>11530.741459999999</v>
      </c>
      <c r="I342" s="6"/>
      <c r="J342" s="13">
        <v>5092.3999999999996</v>
      </c>
      <c r="K342" s="11">
        <v>0.68369999999999997</v>
      </c>
      <c r="L342" s="15">
        <f t="shared" si="16"/>
        <v>7448.2960362732192</v>
      </c>
      <c r="M342" s="6"/>
      <c r="N342" s="13">
        <v>13861.29</v>
      </c>
      <c r="O342" s="11">
        <v>107.07</v>
      </c>
      <c r="P342" s="15">
        <f t="shared" si="17"/>
        <v>129.46007284953771</v>
      </c>
    </row>
    <row r="343" spans="1:16">
      <c r="A343" s="1">
        <v>339</v>
      </c>
      <c r="B343" s="9">
        <v>39469</v>
      </c>
      <c r="C343" s="6"/>
      <c r="D343" s="12">
        <v>11971.19</v>
      </c>
      <c r="E343" s="6"/>
      <c r="F343" s="13">
        <v>5740.1</v>
      </c>
      <c r="G343" s="10">
        <v>1.9608000000000001</v>
      </c>
      <c r="H343" s="15">
        <f t="shared" si="15"/>
        <v>11255.188080000002</v>
      </c>
      <c r="I343" s="6"/>
      <c r="J343" s="13">
        <v>4842.54</v>
      </c>
      <c r="K343" s="11">
        <v>0.68420000000000003</v>
      </c>
      <c r="L343" s="15">
        <f t="shared" si="16"/>
        <v>7077.6673487284415</v>
      </c>
      <c r="M343" s="6"/>
      <c r="N343" s="13">
        <v>12573.05</v>
      </c>
      <c r="O343" s="11">
        <v>106.82</v>
      </c>
      <c r="P343" s="15">
        <f t="shared" si="17"/>
        <v>117.70314547837484</v>
      </c>
    </row>
    <row r="344" spans="1:16">
      <c r="A344" s="1">
        <v>340</v>
      </c>
      <c r="B344" s="9">
        <v>39470</v>
      </c>
      <c r="C344" s="6"/>
      <c r="D344" s="12">
        <v>12270.17</v>
      </c>
      <c r="E344" s="6"/>
      <c r="F344" s="13">
        <v>5609.3</v>
      </c>
      <c r="G344" s="10">
        <v>1.9495</v>
      </c>
      <c r="H344" s="15">
        <f t="shared" si="15"/>
        <v>10935.33035</v>
      </c>
      <c r="I344" s="6"/>
      <c r="J344" s="13">
        <v>4636.76</v>
      </c>
      <c r="K344" s="11">
        <v>0.68700000000000006</v>
      </c>
      <c r="L344" s="15">
        <f t="shared" si="16"/>
        <v>6749.286754002911</v>
      </c>
      <c r="M344" s="6"/>
      <c r="N344" s="13">
        <v>12829.06</v>
      </c>
      <c r="O344" s="11">
        <v>105.73</v>
      </c>
      <c r="P344" s="15">
        <f t="shared" si="17"/>
        <v>121.33793625271917</v>
      </c>
    </row>
    <row r="345" spans="1:16">
      <c r="A345" s="1">
        <v>341</v>
      </c>
      <c r="B345" s="9">
        <v>39471</v>
      </c>
      <c r="C345" s="6"/>
      <c r="D345" s="12">
        <v>12378.61</v>
      </c>
      <c r="E345" s="6"/>
      <c r="F345" s="13">
        <v>5875.8</v>
      </c>
      <c r="G345" s="10">
        <v>1.9716</v>
      </c>
      <c r="H345" s="15">
        <f t="shared" si="15"/>
        <v>11584.727280000001</v>
      </c>
      <c r="I345" s="6"/>
      <c r="J345" s="13">
        <v>4915.29</v>
      </c>
      <c r="K345" s="11">
        <v>0.67979999999999996</v>
      </c>
      <c r="L345" s="15">
        <f t="shared" si="16"/>
        <v>7230.4942630185351</v>
      </c>
      <c r="M345" s="6"/>
      <c r="N345" s="13">
        <v>13092.78</v>
      </c>
      <c r="O345" s="11">
        <v>106.67</v>
      </c>
      <c r="P345" s="15">
        <f t="shared" si="17"/>
        <v>122.74097684447361</v>
      </c>
    </row>
    <row r="346" spans="1:16">
      <c r="A346" s="1">
        <v>342</v>
      </c>
      <c r="B346" s="9">
        <v>39472</v>
      </c>
      <c r="C346" s="6"/>
      <c r="D346" s="12">
        <v>12207.17</v>
      </c>
      <c r="E346" s="6"/>
      <c r="F346" s="13">
        <v>5869</v>
      </c>
      <c r="G346" s="10">
        <v>1.9832000000000001</v>
      </c>
      <c r="H346" s="15">
        <f t="shared" si="15"/>
        <v>11639.400800000001</v>
      </c>
      <c r="I346" s="6"/>
      <c r="J346" s="13">
        <v>4878.12</v>
      </c>
      <c r="K346" s="11">
        <v>0.6804</v>
      </c>
      <c r="L346" s="15">
        <f t="shared" si="16"/>
        <v>7169.4885361552024</v>
      </c>
      <c r="M346" s="6"/>
      <c r="N346" s="13">
        <v>13629.16</v>
      </c>
      <c r="O346" s="11">
        <v>107.3</v>
      </c>
      <c r="P346" s="15">
        <f t="shared" si="17"/>
        <v>127.01919850885368</v>
      </c>
    </row>
    <row r="347" spans="1:16">
      <c r="A347" s="1">
        <v>343</v>
      </c>
      <c r="B347" s="9">
        <v>39475</v>
      </c>
      <c r="C347" s="6"/>
      <c r="D347" s="12">
        <v>12383.89</v>
      </c>
      <c r="E347" s="6"/>
      <c r="F347" s="13">
        <v>5788.9</v>
      </c>
      <c r="G347" s="10">
        <v>1.9874000000000001</v>
      </c>
      <c r="H347" s="15">
        <f t="shared" si="15"/>
        <v>11504.85986</v>
      </c>
      <c r="I347" s="6"/>
      <c r="J347" s="13">
        <v>4848.3</v>
      </c>
      <c r="K347" s="11">
        <v>0.67589999999999995</v>
      </c>
      <c r="L347" s="15">
        <f t="shared" si="16"/>
        <v>7173.1025299600542</v>
      </c>
      <c r="M347" s="6"/>
      <c r="N347" s="13">
        <v>13087.91</v>
      </c>
      <c r="O347" s="11">
        <v>106.79</v>
      </c>
      <c r="P347" s="15">
        <f t="shared" si="17"/>
        <v>122.55744919936323</v>
      </c>
    </row>
    <row r="348" spans="1:16">
      <c r="A348" s="1">
        <v>344</v>
      </c>
      <c r="B348" s="9">
        <v>39476</v>
      </c>
      <c r="C348" s="6"/>
      <c r="D348" s="12">
        <v>12480.3</v>
      </c>
      <c r="E348" s="6"/>
      <c r="F348" s="13">
        <v>5885.2</v>
      </c>
      <c r="G348" s="10">
        <v>1.9874000000000001</v>
      </c>
      <c r="H348" s="15">
        <f t="shared" si="15"/>
        <v>11696.24648</v>
      </c>
      <c r="I348" s="6"/>
      <c r="J348" s="13">
        <v>4941.45</v>
      </c>
      <c r="K348" s="11">
        <v>0.67720000000000002</v>
      </c>
      <c r="L348" s="15">
        <f t="shared" si="16"/>
        <v>7296.8842291789715</v>
      </c>
      <c r="M348" s="6"/>
      <c r="N348" s="13">
        <v>13478.86</v>
      </c>
      <c r="O348" s="11">
        <v>106.92</v>
      </c>
      <c r="P348" s="15">
        <f t="shared" si="17"/>
        <v>126.06490834268612</v>
      </c>
    </row>
    <row r="349" spans="1:16">
      <c r="A349" s="1">
        <v>345</v>
      </c>
      <c r="B349" s="9">
        <v>39477</v>
      </c>
      <c r="C349" s="6"/>
      <c r="D349" s="12">
        <v>12442.83</v>
      </c>
      <c r="E349" s="6"/>
      <c r="F349" s="13">
        <v>5837.3</v>
      </c>
      <c r="G349" s="10">
        <v>1.9884999999999999</v>
      </c>
      <c r="H349" s="15">
        <f t="shared" si="15"/>
        <v>11607.47105</v>
      </c>
      <c r="I349" s="6"/>
      <c r="J349" s="13">
        <v>4873.57</v>
      </c>
      <c r="K349" s="11">
        <v>0.67630000000000001</v>
      </c>
      <c r="L349" s="15">
        <f t="shared" si="16"/>
        <v>7206.2250480555958</v>
      </c>
      <c r="M349" s="6"/>
      <c r="N349" s="13">
        <v>13345.03</v>
      </c>
      <c r="O349" s="11">
        <v>107.35</v>
      </c>
      <c r="P349" s="15">
        <f t="shared" si="17"/>
        <v>124.3132743362832</v>
      </c>
    </row>
    <row r="350" spans="1:16">
      <c r="A350" s="1">
        <v>346</v>
      </c>
      <c r="B350" s="9">
        <v>39478</v>
      </c>
      <c r="C350" s="6"/>
      <c r="D350" s="12">
        <v>12650.36</v>
      </c>
      <c r="E350" s="6"/>
      <c r="F350" s="13">
        <v>5879.8</v>
      </c>
      <c r="G350" s="10">
        <v>1.9882</v>
      </c>
      <c r="H350" s="15">
        <f t="shared" si="15"/>
        <v>11690.218360000001</v>
      </c>
      <c r="I350" s="6"/>
      <c r="J350" s="13">
        <v>4869.79</v>
      </c>
      <c r="K350" s="11">
        <v>0.6754</v>
      </c>
      <c r="L350" s="15">
        <f t="shared" si="16"/>
        <v>7210.2309742374891</v>
      </c>
      <c r="M350" s="6"/>
      <c r="N350" s="13">
        <v>13592.47</v>
      </c>
      <c r="O350" s="11">
        <v>106.32</v>
      </c>
      <c r="P350" s="15">
        <f t="shared" si="17"/>
        <v>127.8449021820918</v>
      </c>
    </row>
    <row r="351" spans="1:16">
      <c r="A351" s="1">
        <v>347</v>
      </c>
      <c r="B351" s="9">
        <v>39479</v>
      </c>
      <c r="C351" s="6"/>
      <c r="D351" s="12">
        <v>12743.19</v>
      </c>
      <c r="E351" s="6"/>
      <c r="F351" s="13">
        <v>6029.2</v>
      </c>
      <c r="G351" s="10">
        <v>1.9685999999999999</v>
      </c>
      <c r="H351" s="15">
        <f t="shared" si="15"/>
        <v>11869.083119999999</v>
      </c>
      <c r="I351" s="6"/>
      <c r="J351" s="13">
        <v>4978.0600000000004</v>
      </c>
      <c r="K351" s="11">
        <v>0.67459999999999998</v>
      </c>
      <c r="L351" s="15">
        <f t="shared" si="16"/>
        <v>7379.2766083605111</v>
      </c>
      <c r="M351" s="6"/>
      <c r="N351" s="13">
        <v>13497.16</v>
      </c>
      <c r="O351" s="11">
        <v>106.25</v>
      </c>
      <c r="P351" s="15">
        <f t="shared" si="17"/>
        <v>127.03209411764706</v>
      </c>
    </row>
    <row r="352" spans="1:16">
      <c r="A352" s="1">
        <v>348</v>
      </c>
      <c r="B352" s="9">
        <v>39482</v>
      </c>
      <c r="C352" s="6"/>
      <c r="D352" s="12">
        <v>12635.16</v>
      </c>
      <c r="E352" s="6"/>
      <c r="F352" s="13">
        <v>6026.2</v>
      </c>
      <c r="G352" s="10">
        <v>1.9757</v>
      </c>
      <c r="H352" s="15">
        <f t="shared" si="15"/>
        <v>11905.96334</v>
      </c>
      <c r="I352" s="6"/>
      <c r="J352" s="13">
        <v>4973.6400000000003</v>
      </c>
      <c r="K352" s="11">
        <v>0.67490000000000006</v>
      </c>
      <c r="L352" s="15">
        <f t="shared" si="16"/>
        <v>7369.447325529708</v>
      </c>
      <c r="M352" s="6"/>
      <c r="N352" s="13">
        <v>13859.7</v>
      </c>
      <c r="O352" s="11">
        <v>106.78</v>
      </c>
      <c r="P352" s="15">
        <f t="shared" si="17"/>
        <v>129.79677842292566</v>
      </c>
    </row>
    <row r="353" spans="1:16">
      <c r="A353" s="1">
        <v>349</v>
      </c>
      <c r="B353" s="9">
        <v>39483</v>
      </c>
      <c r="C353" s="6"/>
      <c r="D353" s="12">
        <v>12265.13</v>
      </c>
      <c r="E353" s="6"/>
      <c r="F353" s="13">
        <v>5868</v>
      </c>
      <c r="G353" s="10">
        <v>1.9645999999999999</v>
      </c>
      <c r="H353" s="15">
        <f t="shared" si="15"/>
        <v>11528.272799999999</v>
      </c>
      <c r="I353" s="6"/>
      <c r="J353" s="13">
        <v>4776.8599999999997</v>
      </c>
      <c r="K353" s="11">
        <v>0.68289999999999995</v>
      </c>
      <c r="L353" s="15">
        <f t="shared" si="16"/>
        <v>6994.9626592473278</v>
      </c>
      <c r="M353" s="6"/>
      <c r="N353" s="13">
        <v>13745.5</v>
      </c>
      <c r="O353" s="11">
        <v>106.92</v>
      </c>
      <c r="P353" s="15">
        <f t="shared" si="17"/>
        <v>128.55873550317995</v>
      </c>
    </row>
    <row r="354" spans="1:16">
      <c r="A354" s="1">
        <v>350</v>
      </c>
      <c r="B354" s="9">
        <v>39484</v>
      </c>
      <c r="C354" s="6"/>
      <c r="D354" s="12">
        <v>12200.1</v>
      </c>
      <c r="E354" s="6"/>
      <c r="F354" s="13">
        <v>5875.4</v>
      </c>
      <c r="G354" s="10">
        <v>1.9601999999999999</v>
      </c>
      <c r="H354" s="15">
        <f t="shared" si="15"/>
        <v>11516.959079999999</v>
      </c>
      <c r="I354" s="6"/>
      <c r="J354" s="13">
        <v>4816.43</v>
      </c>
      <c r="K354" s="11">
        <v>0.68220000000000003</v>
      </c>
      <c r="L354" s="15">
        <f t="shared" si="16"/>
        <v>7060.1436528877166</v>
      </c>
      <c r="M354" s="6"/>
      <c r="N354" s="13">
        <v>13099.24</v>
      </c>
      <c r="O354" s="11">
        <v>106.74</v>
      </c>
      <c r="P354" s="15">
        <f t="shared" si="17"/>
        <v>122.72100430953719</v>
      </c>
    </row>
    <row r="355" spans="1:16">
      <c r="A355" s="1">
        <v>351</v>
      </c>
      <c r="B355" s="9">
        <v>39485</v>
      </c>
      <c r="C355" s="6"/>
      <c r="D355" s="12">
        <v>12247</v>
      </c>
      <c r="E355" s="6"/>
      <c r="F355" s="13">
        <v>5724.1</v>
      </c>
      <c r="G355" s="10">
        <v>1.9416</v>
      </c>
      <c r="H355" s="15">
        <f t="shared" si="15"/>
        <v>11113.912560000001</v>
      </c>
      <c r="I355" s="6"/>
      <c r="J355" s="13">
        <v>4723.8</v>
      </c>
      <c r="K355" s="11">
        <v>0.6895</v>
      </c>
      <c r="L355" s="15">
        <f t="shared" si="16"/>
        <v>6851.0514865844816</v>
      </c>
      <c r="M355" s="6"/>
      <c r="N355" s="13">
        <v>13207.15</v>
      </c>
      <c r="O355" s="11">
        <v>106.62</v>
      </c>
      <c r="P355" s="15">
        <f t="shared" si="17"/>
        <v>123.8712249108985</v>
      </c>
    </row>
    <row r="356" spans="1:16">
      <c r="A356" s="1">
        <v>352</v>
      </c>
      <c r="B356" s="9">
        <v>39486</v>
      </c>
      <c r="C356" s="6"/>
      <c r="D356" s="12">
        <v>12182.13</v>
      </c>
      <c r="E356" s="6"/>
      <c r="F356" s="13">
        <v>5784</v>
      </c>
      <c r="G356" s="10">
        <v>1.9463999999999999</v>
      </c>
      <c r="H356" s="15">
        <f t="shared" si="15"/>
        <v>11257.9776</v>
      </c>
      <c r="I356" s="6"/>
      <c r="J356" s="13">
        <v>4709.6499999999996</v>
      </c>
      <c r="K356" s="11">
        <v>0.68979999999999997</v>
      </c>
      <c r="L356" s="15">
        <f t="shared" si="16"/>
        <v>6827.5587126703394</v>
      </c>
      <c r="M356" s="6"/>
      <c r="N356" s="13">
        <v>13017.24</v>
      </c>
      <c r="O356" s="11">
        <v>107.45</v>
      </c>
      <c r="P356" s="15">
        <f t="shared" si="17"/>
        <v>121.14695207073056</v>
      </c>
    </row>
    <row r="357" spans="1:16">
      <c r="A357" s="1">
        <v>353</v>
      </c>
      <c r="B357" s="9">
        <v>39490</v>
      </c>
      <c r="C357" s="6"/>
      <c r="D357" s="12">
        <v>12373.41</v>
      </c>
      <c r="E357" s="6"/>
      <c r="F357" s="13">
        <v>5910</v>
      </c>
      <c r="G357" s="10">
        <v>1.9603999999999999</v>
      </c>
      <c r="H357" s="15">
        <f t="shared" si="15"/>
        <v>11585.964</v>
      </c>
      <c r="I357" s="6"/>
      <c r="J357" s="13">
        <v>4840.71</v>
      </c>
      <c r="K357" s="11">
        <v>0.68530000000000002</v>
      </c>
      <c r="L357" s="15">
        <f t="shared" si="16"/>
        <v>7063.6363636363631</v>
      </c>
      <c r="M357" s="6"/>
      <c r="N357" s="13">
        <v>13021.96</v>
      </c>
      <c r="O357" s="11">
        <v>107.43</v>
      </c>
      <c r="P357" s="15">
        <f t="shared" si="17"/>
        <v>121.21344131062085</v>
      </c>
    </row>
    <row r="358" spans="1:16">
      <c r="A358" s="1">
        <v>354</v>
      </c>
      <c r="B358" s="9">
        <v>39491</v>
      </c>
      <c r="C358" s="6"/>
      <c r="D358" s="12">
        <v>12552.24</v>
      </c>
      <c r="E358" s="6"/>
      <c r="F358" s="13">
        <v>5880.1</v>
      </c>
      <c r="G358" s="10">
        <v>1.9626999999999999</v>
      </c>
      <c r="H358" s="15">
        <f t="shared" si="15"/>
        <v>11540.87227</v>
      </c>
      <c r="I358" s="6"/>
      <c r="J358" s="13">
        <v>4855.3999999999996</v>
      </c>
      <c r="K358" s="11">
        <v>0.68659999999999999</v>
      </c>
      <c r="L358" s="15">
        <f t="shared" si="16"/>
        <v>7071.6574424701421</v>
      </c>
      <c r="M358" s="6"/>
      <c r="N358" s="13">
        <v>13068.3</v>
      </c>
      <c r="O358" s="11">
        <v>108.24</v>
      </c>
      <c r="P358" s="15">
        <f t="shared" si="17"/>
        <v>120.73447893569845</v>
      </c>
    </row>
    <row r="359" spans="1:16">
      <c r="A359" s="1">
        <v>355</v>
      </c>
      <c r="B359" s="9">
        <v>39492</v>
      </c>
      <c r="C359" s="6"/>
      <c r="D359" s="12">
        <v>12376.98</v>
      </c>
      <c r="E359" s="6"/>
      <c r="F359" s="13">
        <v>5879.3</v>
      </c>
      <c r="G359" s="10">
        <v>1.9718</v>
      </c>
      <c r="H359" s="15">
        <f t="shared" si="15"/>
        <v>11592.803740000001</v>
      </c>
      <c r="I359" s="6"/>
      <c r="J359" s="13">
        <v>4858.6499999999996</v>
      </c>
      <c r="K359" s="11">
        <v>0.68389999999999995</v>
      </c>
      <c r="L359" s="15">
        <f t="shared" si="16"/>
        <v>7104.3281181459279</v>
      </c>
      <c r="M359" s="6"/>
      <c r="N359" s="13">
        <v>13626.45</v>
      </c>
      <c r="O359" s="11">
        <v>108.17</v>
      </c>
      <c r="P359" s="15">
        <f t="shared" si="17"/>
        <v>125.97254321900712</v>
      </c>
    </row>
    <row r="360" spans="1:16">
      <c r="A360" s="1">
        <v>356</v>
      </c>
      <c r="B360" s="9">
        <v>39493</v>
      </c>
      <c r="C360" s="6"/>
      <c r="D360" s="12">
        <v>12348.21</v>
      </c>
      <c r="E360" s="6"/>
      <c r="F360" s="13">
        <v>5787.6</v>
      </c>
      <c r="G360" s="10">
        <v>1.9628000000000001</v>
      </c>
      <c r="H360" s="15">
        <f t="shared" si="15"/>
        <v>11359.901280000002</v>
      </c>
      <c r="I360" s="6"/>
      <c r="J360" s="13">
        <v>4771.79</v>
      </c>
      <c r="K360" s="11">
        <v>0.68069999999999997</v>
      </c>
      <c r="L360" s="15">
        <f t="shared" si="16"/>
        <v>7010.1219333039517</v>
      </c>
      <c r="M360" s="6"/>
      <c r="N360" s="13">
        <v>13622.56</v>
      </c>
      <c r="O360" s="11">
        <v>107.62</v>
      </c>
      <c r="P360" s="15">
        <f t="shared" si="17"/>
        <v>126.58018955584463</v>
      </c>
    </row>
    <row r="361" spans="1:16">
      <c r="A361" s="1">
        <v>357</v>
      </c>
      <c r="B361" s="9">
        <v>39497</v>
      </c>
      <c r="C361" s="6"/>
      <c r="D361" s="12">
        <v>12337.22</v>
      </c>
      <c r="E361" s="6"/>
      <c r="F361" s="13">
        <v>5966.9</v>
      </c>
      <c r="G361" s="10">
        <v>1.9513</v>
      </c>
      <c r="H361" s="15">
        <f t="shared" si="15"/>
        <v>11643.21197</v>
      </c>
      <c r="I361" s="6"/>
      <c r="J361" s="13">
        <v>4885.83</v>
      </c>
      <c r="K361" s="11">
        <v>0.67820000000000003</v>
      </c>
      <c r="L361" s="15">
        <f t="shared" si="16"/>
        <v>7204.1138307283982</v>
      </c>
      <c r="M361" s="6"/>
      <c r="N361" s="13">
        <v>13757.91</v>
      </c>
      <c r="O361" s="11">
        <v>107.54</v>
      </c>
      <c r="P361" s="15">
        <f t="shared" si="17"/>
        <v>127.9329551794681</v>
      </c>
    </row>
    <row r="362" spans="1:16">
      <c r="A362" s="1">
        <v>358</v>
      </c>
      <c r="B362" s="9">
        <v>39498</v>
      </c>
      <c r="C362" s="6"/>
      <c r="D362" s="12">
        <v>12427.26</v>
      </c>
      <c r="E362" s="6"/>
      <c r="F362" s="13">
        <v>5893.6</v>
      </c>
      <c r="G362" s="10">
        <v>1.9406000000000001</v>
      </c>
      <c r="H362" s="15">
        <f t="shared" si="15"/>
        <v>11437.120160000002</v>
      </c>
      <c r="I362" s="6"/>
      <c r="J362" s="13">
        <v>4812.8100000000004</v>
      </c>
      <c r="K362" s="11">
        <v>0.68269999999999997</v>
      </c>
      <c r="L362" s="15">
        <f t="shared" si="16"/>
        <v>7049.6704262487192</v>
      </c>
      <c r="M362" s="6"/>
      <c r="N362" s="13">
        <v>13310.37</v>
      </c>
      <c r="O362" s="11">
        <v>108.03</v>
      </c>
      <c r="P362" s="15">
        <f t="shared" si="17"/>
        <v>123.20994168286587</v>
      </c>
    </row>
    <row r="363" spans="1:16">
      <c r="A363" s="1">
        <v>359</v>
      </c>
      <c r="B363" s="9">
        <v>39499</v>
      </c>
      <c r="C363" s="6"/>
      <c r="D363" s="12">
        <v>12284.3</v>
      </c>
      <c r="E363" s="6"/>
      <c r="F363" s="13">
        <v>5932.2</v>
      </c>
      <c r="G363" s="10">
        <v>1.96</v>
      </c>
      <c r="H363" s="15">
        <f t="shared" si="15"/>
        <v>11627.111999999999</v>
      </c>
      <c r="I363" s="6"/>
      <c r="J363" s="13">
        <v>4858.8500000000004</v>
      </c>
      <c r="K363" s="11">
        <v>0.67610000000000003</v>
      </c>
      <c r="L363" s="15">
        <f t="shared" si="16"/>
        <v>7186.5848247300701</v>
      </c>
      <c r="M363" s="6"/>
      <c r="N363" s="13">
        <v>13688.28</v>
      </c>
      <c r="O363" s="11">
        <v>107.51</v>
      </c>
      <c r="P363" s="15">
        <f t="shared" si="17"/>
        <v>127.32099339596317</v>
      </c>
    </row>
    <row r="364" spans="1:16">
      <c r="A364" s="1">
        <v>360</v>
      </c>
      <c r="B364" s="9">
        <v>39500</v>
      </c>
      <c r="C364" s="6"/>
      <c r="D364" s="12">
        <v>12381.02</v>
      </c>
      <c r="E364" s="6"/>
      <c r="F364" s="13">
        <v>5888.5</v>
      </c>
      <c r="G364" s="10">
        <v>1.9668000000000001</v>
      </c>
      <c r="H364" s="15">
        <f t="shared" si="15"/>
        <v>11581.5018</v>
      </c>
      <c r="I364" s="6"/>
      <c r="J364" s="13">
        <v>4824.55</v>
      </c>
      <c r="K364" s="11">
        <v>0.67500000000000004</v>
      </c>
      <c r="L364" s="15">
        <f t="shared" si="16"/>
        <v>7147.4814814814808</v>
      </c>
      <c r="M364" s="6"/>
      <c r="N364" s="13">
        <v>13500.46</v>
      </c>
      <c r="O364" s="11">
        <v>106.96</v>
      </c>
      <c r="P364" s="15">
        <f t="shared" si="17"/>
        <v>126.21970830216904</v>
      </c>
    </row>
    <row r="365" spans="1:16">
      <c r="A365" s="1">
        <v>361</v>
      </c>
      <c r="B365" s="9">
        <v>39503</v>
      </c>
      <c r="C365" s="6"/>
      <c r="D365" s="12">
        <v>12570.22</v>
      </c>
      <c r="E365" s="6"/>
      <c r="F365" s="13">
        <v>5999.5</v>
      </c>
      <c r="G365" s="10">
        <v>1.9679</v>
      </c>
      <c r="H365" s="15">
        <f t="shared" si="15"/>
        <v>11806.41605</v>
      </c>
      <c r="I365" s="6"/>
      <c r="J365" s="13">
        <v>4919.26</v>
      </c>
      <c r="K365" s="11">
        <v>0.67430000000000001</v>
      </c>
      <c r="L365" s="15">
        <f t="shared" si="16"/>
        <v>7295.3581491917548</v>
      </c>
      <c r="M365" s="6"/>
      <c r="N365" s="13">
        <v>13914.57</v>
      </c>
      <c r="O365" s="11">
        <v>108.09</v>
      </c>
      <c r="P365" s="15">
        <f t="shared" si="17"/>
        <v>128.73133499861225</v>
      </c>
    </row>
    <row r="366" spans="1:16">
      <c r="A366" s="1">
        <v>362</v>
      </c>
      <c r="B366" s="9">
        <v>39504</v>
      </c>
      <c r="C366" s="6"/>
      <c r="D366" s="12">
        <v>12684.92</v>
      </c>
      <c r="E366" s="6"/>
      <c r="F366" s="13">
        <v>6087.4</v>
      </c>
      <c r="G366" s="10">
        <v>1.9722</v>
      </c>
      <c r="H366" s="15">
        <f t="shared" si="15"/>
        <v>12005.570279999998</v>
      </c>
      <c r="I366" s="6"/>
      <c r="J366" s="13">
        <v>4973.07</v>
      </c>
      <c r="K366" s="11">
        <v>0.67200000000000004</v>
      </c>
      <c r="L366" s="15">
        <f t="shared" si="16"/>
        <v>7400.4017857142844</v>
      </c>
      <c r="M366" s="6"/>
      <c r="N366" s="13">
        <v>13824.72</v>
      </c>
      <c r="O366" s="11">
        <v>107.65</v>
      </c>
      <c r="P366" s="15">
        <f t="shared" si="17"/>
        <v>128.42285183464932</v>
      </c>
    </row>
    <row r="367" spans="1:16">
      <c r="A367" s="1">
        <v>363</v>
      </c>
      <c r="B367" s="9">
        <v>39505</v>
      </c>
      <c r="C367" s="6"/>
      <c r="D367" s="12">
        <v>12694.28</v>
      </c>
      <c r="E367" s="6"/>
      <c r="F367" s="13">
        <v>6076.5</v>
      </c>
      <c r="G367" s="10">
        <v>1.9884999999999999</v>
      </c>
      <c r="H367" s="15">
        <f t="shared" si="15"/>
        <v>12083.12025</v>
      </c>
      <c r="I367" s="6"/>
      <c r="J367" s="13">
        <v>4968.82</v>
      </c>
      <c r="K367" s="11">
        <v>0.66239999999999999</v>
      </c>
      <c r="L367" s="15">
        <f t="shared" si="16"/>
        <v>7501.2379227053134</v>
      </c>
      <c r="M367" s="6"/>
      <c r="N367" s="13">
        <v>14031.3</v>
      </c>
      <c r="O367" s="11">
        <v>106.52</v>
      </c>
      <c r="P367" s="15">
        <f t="shared" si="17"/>
        <v>131.72455876830642</v>
      </c>
    </row>
    <row r="368" spans="1:16">
      <c r="A368" s="1">
        <v>364</v>
      </c>
      <c r="B368" s="9">
        <v>39506</v>
      </c>
      <c r="C368" s="6"/>
      <c r="D368" s="12">
        <v>12582.18</v>
      </c>
      <c r="E368" s="6"/>
      <c r="F368" s="13">
        <v>5965.7</v>
      </c>
      <c r="G368" s="10">
        <v>1.9896</v>
      </c>
      <c r="H368" s="15">
        <f t="shared" si="15"/>
        <v>11869.35672</v>
      </c>
      <c r="I368" s="6"/>
      <c r="J368" s="13">
        <v>4865.2299999999996</v>
      </c>
      <c r="K368" s="11">
        <v>0.65880000000000005</v>
      </c>
      <c r="L368" s="15">
        <f t="shared" si="16"/>
        <v>7384.9878567091673</v>
      </c>
      <c r="M368" s="6"/>
      <c r="N368" s="13">
        <v>13925.51</v>
      </c>
      <c r="O368" s="11">
        <v>105.77</v>
      </c>
      <c r="P368" s="15">
        <f t="shared" si="17"/>
        <v>131.65840975701997</v>
      </c>
    </row>
    <row r="369" spans="1:16">
      <c r="A369" s="1">
        <v>365</v>
      </c>
      <c r="B369" s="9">
        <v>39507</v>
      </c>
      <c r="C369" s="6"/>
      <c r="D369" s="12">
        <v>12266.39</v>
      </c>
      <c r="E369" s="6"/>
      <c r="F369" s="13">
        <v>5884.3</v>
      </c>
      <c r="G369" s="10">
        <v>1.9892000000000001</v>
      </c>
      <c r="H369" s="15">
        <f t="shared" si="15"/>
        <v>11705.049560000001</v>
      </c>
      <c r="I369" s="6"/>
      <c r="J369" s="13">
        <v>4790.66</v>
      </c>
      <c r="K369" s="11">
        <v>0.65880000000000005</v>
      </c>
      <c r="L369" s="15">
        <f t="shared" si="16"/>
        <v>7271.7972070431078</v>
      </c>
      <c r="M369" s="6"/>
      <c r="N369" s="13">
        <v>13603.02</v>
      </c>
      <c r="O369" s="11">
        <v>104.1</v>
      </c>
      <c r="P369" s="15">
        <f t="shared" si="17"/>
        <v>130.67262247838619</v>
      </c>
    </row>
    <row r="370" spans="1:16">
      <c r="A370" s="1">
        <v>366</v>
      </c>
      <c r="B370" s="9">
        <v>39510</v>
      </c>
      <c r="C370" s="6"/>
      <c r="D370" s="12">
        <v>12258.9</v>
      </c>
      <c r="E370" s="6"/>
      <c r="F370" s="13">
        <v>5818.6</v>
      </c>
      <c r="G370" s="10">
        <v>1.9824999999999999</v>
      </c>
      <c r="H370" s="15">
        <f t="shared" si="15"/>
        <v>11535.3745</v>
      </c>
      <c r="I370" s="6"/>
      <c r="J370" s="13">
        <v>4742.66</v>
      </c>
      <c r="K370" s="11">
        <v>0.65790000000000004</v>
      </c>
      <c r="L370" s="15">
        <f t="shared" si="16"/>
        <v>7208.7855297157612</v>
      </c>
      <c r="M370" s="6"/>
      <c r="N370" s="13">
        <v>12992.18</v>
      </c>
      <c r="O370" s="11">
        <v>103.39</v>
      </c>
      <c r="P370" s="15">
        <f t="shared" si="17"/>
        <v>125.66186284940517</v>
      </c>
    </row>
    <row r="371" spans="1:16">
      <c r="A371" s="1">
        <v>367</v>
      </c>
      <c r="B371" s="9">
        <v>39511</v>
      </c>
      <c r="C371" s="6"/>
      <c r="D371" s="12">
        <v>12213.8</v>
      </c>
      <c r="E371" s="6"/>
      <c r="F371" s="13">
        <v>5767.7</v>
      </c>
      <c r="G371" s="10">
        <v>1.9861</v>
      </c>
      <c r="H371" s="15">
        <f t="shared" si="15"/>
        <v>11455.22897</v>
      </c>
      <c r="I371" s="6"/>
      <c r="J371" s="13">
        <v>4675.91</v>
      </c>
      <c r="K371" s="11">
        <v>0.65639999999999998</v>
      </c>
      <c r="L371" s="15">
        <f t="shared" si="16"/>
        <v>7123.5679463741617</v>
      </c>
      <c r="M371" s="6"/>
      <c r="N371" s="13">
        <v>12992.28</v>
      </c>
      <c r="O371" s="11">
        <v>102.79</v>
      </c>
      <c r="P371" s="15">
        <f t="shared" si="17"/>
        <v>126.3963420566203</v>
      </c>
    </row>
    <row r="372" spans="1:16">
      <c r="A372" s="1">
        <v>368</v>
      </c>
      <c r="B372" s="9">
        <v>39512</v>
      </c>
      <c r="C372" s="6"/>
      <c r="D372" s="12">
        <v>12254.99</v>
      </c>
      <c r="E372" s="6"/>
      <c r="F372" s="13">
        <v>5853.5</v>
      </c>
      <c r="G372" s="10">
        <v>1.9897</v>
      </c>
      <c r="H372" s="15">
        <f t="shared" si="15"/>
        <v>11646.70895</v>
      </c>
      <c r="I372" s="6"/>
      <c r="J372" s="13">
        <v>4756.42</v>
      </c>
      <c r="K372" s="11">
        <v>0.65490000000000004</v>
      </c>
      <c r="L372" s="15">
        <f t="shared" si="16"/>
        <v>7262.8187509543441</v>
      </c>
      <c r="M372" s="6"/>
      <c r="N372" s="13">
        <v>12972.06</v>
      </c>
      <c r="O372" s="11">
        <v>103.96</v>
      </c>
      <c r="P372" s="15">
        <f t="shared" si="17"/>
        <v>124.7793382070027</v>
      </c>
    </row>
    <row r="373" spans="1:16">
      <c r="A373" s="1">
        <v>369</v>
      </c>
      <c r="B373" s="9">
        <v>39513</v>
      </c>
      <c r="C373" s="6"/>
      <c r="D373" s="12">
        <v>12040.39</v>
      </c>
      <c r="E373" s="6"/>
      <c r="F373" s="13">
        <v>5766.4</v>
      </c>
      <c r="G373" s="10">
        <v>2.0093999999999999</v>
      </c>
      <c r="H373" s="15">
        <f t="shared" si="15"/>
        <v>11587.004159999999</v>
      </c>
      <c r="I373" s="6"/>
      <c r="J373" s="13">
        <v>4678.05</v>
      </c>
      <c r="K373" s="11">
        <v>0.65110000000000001</v>
      </c>
      <c r="L373" s="15">
        <f t="shared" si="16"/>
        <v>7184.8410382429738</v>
      </c>
      <c r="M373" s="6"/>
      <c r="N373" s="13">
        <v>13215.42</v>
      </c>
      <c r="O373" s="11">
        <v>103.09</v>
      </c>
      <c r="P373" s="15">
        <f t="shared" si="17"/>
        <v>128.19303521195073</v>
      </c>
    </row>
    <row r="374" spans="1:16">
      <c r="A374" s="1">
        <v>370</v>
      </c>
      <c r="B374" s="9">
        <v>39514</v>
      </c>
      <c r="C374" s="6"/>
      <c r="D374" s="12">
        <v>11893.69</v>
      </c>
      <c r="E374" s="6"/>
      <c r="F374" s="13">
        <v>5699.9</v>
      </c>
      <c r="G374" s="10">
        <v>2.0141</v>
      </c>
      <c r="H374" s="15">
        <f t="shared" si="15"/>
        <v>11480.168589999999</v>
      </c>
      <c r="I374" s="6"/>
      <c r="J374" s="13">
        <v>4618.96</v>
      </c>
      <c r="K374" s="11">
        <v>0.6512</v>
      </c>
      <c r="L374" s="15">
        <f t="shared" si="16"/>
        <v>7092.997542997543</v>
      </c>
      <c r="M374" s="6"/>
      <c r="N374" s="13">
        <v>12782.8</v>
      </c>
      <c r="O374" s="11">
        <v>102.98</v>
      </c>
      <c r="P374" s="15">
        <f t="shared" si="17"/>
        <v>124.12895707904447</v>
      </c>
    </row>
    <row r="375" spans="1:16">
      <c r="A375" s="1">
        <v>371</v>
      </c>
      <c r="B375" s="9">
        <v>39517</v>
      </c>
      <c r="C375" s="6"/>
      <c r="D375" s="12">
        <v>11740.15</v>
      </c>
      <c r="E375" s="6"/>
      <c r="F375" s="13">
        <v>5629.1</v>
      </c>
      <c r="G375" s="10">
        <v>2.0165999999999999</v>
      </c>
      <c r="H375" s="15">
        <f t="shared" si="15"/>
        <v>11351.64306</v>
      </c>
      <c r="I375" s="6"/>
      <c r="J375" s="13">
        <v>4566.99</v>
      </c>
      <c r="K375" s="11">
        <v>0.65059999999999996</v>
      </c>
      <c r="L375" s="15">
        <f t="shared" si="16"/>
        <v>7019.6587765139875</v>
      </c>
      <c r="M375" s="6"/>
      <c r="N375" s="13">
        <v>12532.13</v>
      </c>
      <c r="O375" s="11">
        <v>101.82</v>
      </c>
      <c r="P375" s="15">
        <f t="shared" si="17"/>
        <v>123.08122176389708</v>
      </c>
    </row>
    <row r="376" spans="1:16">
      <c r="A376" s="1">
        <v>372</v>
      </c>
      <c r="B376" s="9">
        <v>39518</v>
      </c>
      <c r="C376" s="6"/>
      <c r="D376" s="12">
        <v>12156.81</v>
      </c>
      <c r="E376" s="6"/>
      <c r="F376" s="13">
        <v>5690.4</v>
      </c>
      <c r="G376" s="10">
        <v>2.0036999999999998</v>
      </c>
      <c r="H376" s="15">
        <f t="shared" si="15"/>
        <v>11401.854479999998</v>
      </c>
      <c r="I376" s="6"/>
      <c r="J376" s="13">
        <v>4627.6899999999996</v>
      </c>
      <c r="K376" s="11">
        <v>0.65239999999999998</v>
      </c>
      <c r="L376" s="15">
        <f t="shared" si="16"/>
        <v>7093.3323114653585</v>
      </c>
      <c r="M376" s="6"/>
      <c r="N376" s="13">
        <v>12658.28</v>
      </c>
      <c r="O376" s="11">
        <v>102.88</v>
      </c>
      <c r="P376" s="15">
        <f t="shared" si="17"/>
        <v>123.03926905132194</v>
      </c>
    </row>
    <row r="377" spans="1:16">
      <c r="A377" s="1">
        <v>373</v>
      </c>
      <c r="B377" s="9">
        <v>39519</v>
      </c>
      <c r="C377" s="6"/>
      <c r="D377" s="12">
        <v>12110.24</v>
      </c>
      <c r="E377" s="6"/>
      <c r="F377" s="13">
        <v>5776.4</v>
      </c>
      <c r="G377" s="10">
        <v>2.0209999999999999</v>
      </c>
      <c r="H377" s="15">
        <f t="shared" si="15"/>
        <v>11674.104399999998</v>
      </c>
      <c r="I377" s="6"/>
      <c r="J377" s="13">
        <v>4697.1000000000004</v>
      </c>
      <c r="K377" s="11">
        <v>0.64539999999999997</v>
      </c>
      <c r="L377" s="15">
        <f t="shared" si="16"/>
        <v>7277.8122094824921</v>
      </c>
      <c r="M377" s="6"/>
      <c r="N377" s="13">
        <v>12861.13</v>
      </c>
      <c r="O377" s="11">
        <v>102.4</v>
      </c>
      <c r="P377" s="15">
        <f t="shared" si="17"/>
        <v>125.59697265624999</v>
      </c>
    </row>
    <row r="378" spans="1:16">
      <c r="A378" s="1">
        <v>374</v>
      </c>
      <c r="B378" s="9">
        <v>39520</v>
      </c>
      <c r="C378" s="6"/>
      <c r="D378" s="12">
        <v>12145.74</v>
      </c>
      <c r="E378" s="6"/>
      <c r="F378" s="13">
        <v>5692.4</v>
      </c>
      <c r="G378" s="10">
        <v>2.0310000000000001</v>
      </c>
      <c r="H378" s="15">
        <f t="shared" si="15"/>
        <v>11561.2644</v>
      </c>
      <c r="I378" s="6"/>
      <c r="J378" s="13">
        <v>4630.1899999999996</v>
      </c>
      <c r="K378" s="11">
        <v>0.64170000000000005</v>
      </c>
      <c r="L378" s="15">
        <f t="shared" si="16"/>
        <v>7215.5056880162056</v>
      </c>
      <c r="M378" s="6"/>
      <c r="N378" s="13">
        <v>12433.44</v>
      </c>
      <c r="O378" s="11">
        <v>100.59</v>
      </c>
      <c r="P378" s="15">
        <f t="shared" si="17"/>
        <v>123.60512973456606</v>
      </c>
    </row>
    <row r="379" spans="1:16">
      <c r="A379" s="1">
        <v>375</v>
      </c>
      <c r="B379" s="9">
        <v>39521</v>
      </c>
      <c r="C379" s="6"/>
      <c r="D379" s="12">
        <v>11951.09</v>
      </c>
      <c r="E379" s="6"/>
      <c r="F379" s="13">
        <v>5631.7</v>
      </c>
      <c r="G379" s="10">
        <v>2.0291000000000001</v>
      </c>
      <c r="H379" s="15">
        <f t="shared" si="15"/>
        <v>11427.28247</v>
      </c>
      <c r="I379" s="6"/>
      <c r="J379" s="13">
        <v>4592.1499999999996</v>
      </c>
      <c r="K379" s="11">
        <v>0.64090000000000003</v>
      </c>
      <c r="L379" s="15">
        <f t="shared" si="16"/>
        <v>7165.1583710407231</v>
      </c>
      <c r="M379" s="6"/>
      <c r="N379" s="13">
        <v>12241.6</v>
      </c>
      <c r="O379" s="11">
        <v>100.21</v>
      </c>
      <c r="P379" s="15">
        <f t="shared" si="17"/>
        <v>122.1594651232412</v>
      </c>
    </row>
    <row r="380" spans="1:16">
      <c r="A380" s="1">
        <v>376</v>
      </c>
      <c r="B380" s="9">
        <v>39524</v>
      </c>
      <c r="C380" s="6"/>
      <c r="D380" s="12">
        <v>11972.25</v>
      </c>
      <c r="E380" s="6"/>
      <c r="F380" s="13">
        <v>5414.4</v>
      </c>
      <c r="G380" s="10">
        <v>2.0007999999999999</v>
      </c>
      <c r="H380" s="15">
        <f t="shared" si="15"/>
        <v>10833.131519999999</v>
      </c>
      <c r="I380" s="6"/>
      <c r="J380" s="13">
        <v>4431.04</v>
      </c>
      <c r="K380" s="11">
        <v>0.63439999999999996</v>
      </c>
      <c r="L380" s="15">
        <f t="shared" si="16"/>
        <v>6984.6153846153848</v>
      </c>
      <c r="M380" s="6"/>
      <c r="N380" s="13">
        <v>11787.51</v>
      </c>
      <c r="O380" s="11">
        <v>96.91</v>
      </c>
      <c r="P380" s="15">
        <f t="shared" si="17"/>
        <v>121.63357754617687</v>
      </c>
    </row>
    <row r="381" spans="1:16">
      <c r="A381" s="1">
        <v>377</v>
      </c>
      <c r="B381" s="9">
        <v>39525</v>
      </c>
      <c r="C381" s="6"/>
      <c r="D381" s="12">
        <v>12392.66</v>
      </c>
      <c r="E381" s="6"/>
      <c r="F381" s="13">
        <v>5605.8</v>
      </c>
      <c r="G381" s="10">
        <v>2.0213999999999999</v>
      </c>
      <c r="H381" s="15">
        <f t="shared" si="15"/>
        <v>11331.564119999999</v>
      </c>
      <c r="I381" s="6"/>
      <c r="J381" s="13">
        <v>4582.59</v>
      </c>
      <c r="K381" s="11">
        <v>0.63360000000000005</v>
      </c>
      <c r="L381" s="15">
        <f t="shared" si="16"/>
        <v>7232.623106060606</v>
      </c>
      <c r="M381" s="6"/>
      <c r="N381" s="13">
        <v>11964.16</v>
      </c>
      <c r="O381" s="11">
        <v>98.24</v>
      </c>
      <c r="P381" s="15">
        <f t="shared" si="17"/>
        <v>121.78501628664496</v>
      </c>
    </row>
    <row r="382" spans="1:16">
      <c r="A382" s="1">
        <v>378</v>
      </c>
      <c r="B382" s="9">
        <v>39526</v>
      </c>
      <c r="C382" s="6"/>
      <c r="D382" s="12">
        <v>12099.66</v>
      </c>
      <c r="E382" s="6"/>
      <c r="F382" s="13">
        <v>5545.6</v>
      </c>
      <c r="G382" s="10">
        <v>1.9858</v>
      </c>
      <c r="H382" s="15">
        <f t="shared" si="15"/>
        <v>11012.45248</v>
      </c>
      <c r="I382" s="6"/>
      <c r="J382" s="13">
        <v>4555.95</v>
      </c>
      <c r="K382" s="11">
        <v>0.63929999999999998</v>
      </c>
      <c r="L382" s="15">
        <f t="shared" si="16"/>
        <v>7126.4664476771468</v>
      </c>
      <c r="M382" s="6"/>
      <c r="N382" s="13">
        <v>12260.44</v>
      </c>
      <c r="O382" s="11">
        <v>99.35</v>
      </c>
      <c r="P382" s="15">
        <f t="shared" si="17"/>
        <v>123.40654252642176</v>
      </c>
    </row>
    <row r="383" spans="1:16">
      <c r="A383" s="1">
        <v>379</v>
      </c>
      <c r="B383" s="9">
        <v>39532</v>
      </c>
      <c r="C383" s="6"/>
      <c r="D383" s="12">
        <v>12532.6</v>
      </c>
      <c r="E383" s="6"/>
      <c r="F383" s="13">
        <v>5689.1</v>
      </c>
      <c r="G383" s="10">
        <v>1.9997</v>
      </c>
      <c r="H383" s="15">
        <f t="shared" si="15"/>
        <v>11376.493270000001</v>
      </c>
      <c r="I383" s="6"/>
      <c r="J383" s="13">
        <v>4692</v>
      </c>
      <c r="K383" s="11">
        <v>0.64119999999999999</v>
      </c>
      <c r="L383" s="15">
        <f t="shared" si="16"/>
        <v>7317.5296319401123</v>
      </c>
      <c r="M383" s="6"/>
      <c r="N383" s="13">
        <v>12745.22</v>
      </c>
      <c r="O383" s="11">
        <v>100.08</v>
      </c>
      <c r="P383" s="15">
        <f t="shared" si="17"/>
        <v>127.35031974420463</v>
      </c>
    </row>
    <row r="384" spans="1:16">
      <c r="A384" s="1">
        <v>380</v>
      </c>
      <c r="B384" s="9">
        <v>39533</v>
      </c>
      <c r="C384" s="6"/>
      <c r="D384" s="12">
        <v>12422.86</v>
      </c>
      <c r="E384" s="6"/>
      <c r="F384" s="13">
        <v>5660.4</v>
      </c>
      <c r="G384" s="10">
        <v>2.0019</v>
      </c>
      <c r="H384" s="15">
        <f t="shared" si="15"/>
        <v>11331.554759999999</v>
      </c>
      <c r="I384" s="6"/>
      <c r="J384" s="13">
        <v>4676.68</v>
      </c>
      <c r="K384" s="11">
        <v>0.63449999999999995</v>
      </c>
      <c r="L384" s="15">
        <f t="shared" si="16"/>
        <v>7370.6540583136339</v>
      </c>
      <c r="M384" s="6"/>
      <c r="N384" s="13">
        <v>12706.63</v>
      </c>
      <c r="O384" s="11">
        <v>99.13</v>
      </c>
      <c r="P384" s="15">
        <f t="shared" si="17"/>
        <v>128.18147886613536</v>
      </c>
    </row>
    <row r="385" spans="1:16">
      <c r="A385" s="1">
        <v>381</v>
      </c>
      <c r="B385" s="9">
        <v>39534</v>
      </c>
      <c r="C385" s="6"/>
      <c r="D385" s="12">
        <v>12302.46</v>
      </c>
      <c r="E385" s="6"/>
      <c r="F385" s="13">
        <v>5717.5</v>
      </c>
      <c r="G385" s="10">
        <v>2.0095999999999998</v>
      </c>
      <c r="H385" s="15">
        <f t="shared" si="15"/>
        <v>11489.887999999999</v>
      </c>
      <c r="I385" s="6"/>
      <c r="J385" s="13">
        <v>4719.53</v>
      </c>
      <c r="K385" s="11">
        <v>0.63300000000000001</v>
      </c>
      <c r="L385" s="15">
        <f t="shared" si="16"/>
        <v>7455.8135860979455</v>
      </c>
      <c r="M385" s="6"/>
      <c r="N385" s="13">
        <v>12604.58</v>
      </c>
      <c r="O385" s="11">
        <v>99.88</v>
      </c>
      <c r="P385" s="15">
        <f t="shared" si="17"/>
        <v>126.19723668402084</v>
      </c>
    </row>
    <row r="386" spans="1:16">
      <c r="A386" s="1">
        <v>382</v>
      </c>
      <c r="B386" s="9">
        <v>39535</v>
      </c>
      <c r="C386" s="6"/>
      <c r="D386" s="12">
        <v>12216.4</v>
      </c>
      <c r="E386" s="6"/>
      <c r="F386" s="13">
        <v>5692.9</v>
      </c>
      <c r="G386" s="10">
        <v>1.9888999999999999</v>
      </c>
      <c r="H386" s="15">
        <f t="shared" si="15"/>
        <v>11322.608809999998</v>
      </c>
      <c r="I386" s="6"/>
      <c r="J386" s="13">
        <v>4695.92</v>
      </c>
      <c r="K386" s="11">
        <v>0.63460000000000005</v>
      </c>
      <c r="L386" s="15">
        <f t="shared" si="16"/>
        <v>7399.8109045067758</v>
      </c>
      <c r="M386" s="6"/>
      <c r="N386" s="13">
        <v>12820.47</v>
      </c>
      <c r="O386" s="11">
        <v>99.72</v>
      </c>
      <c r="P386" s="15">
        <f t="shared" si="17"/>
        <v>128.56468110709989</v>
      </c>
    </row>
    <row r="387" spans="1:16">
      <c r="A387" s="1">
        <v>383</v>
      </c>
      <c r="B387" s="9">
        <v>39538</v>
      </c>
      <c r="C387" s="6"/>
      <c r="D387" s="12">
        <v>12262.89</v>
      </c>
      <c r="E387" s="6"/>
      <c r="F387" s="13">
        <v>5702.1</v>
      </c>
      <c r="G387" s="10">
        <v>1.9875</v>
      </c>
      <c r="H387" s="15">
        <f t="shared" si="15"/>
        <v>11332.923750000002</v>
      </c>
      <c r="I387" s="6"/>
      <c r="J387" s="13">
        <v>4707.07</v>
      </c>
      <c r="K387" s="11">
        <v>0.63109999999999999</v>
      </c>
      <c r="L387" s="15">
        <f t="shared" si="16"/>
        <v>7458.5168752971003</v>
      </c>
      <c r="M387" s="6"/>
      <c r="N387" s="13">
        <v>12525.54</v>
      </c>
      <c r="O387" s="11">
        <v>99.52</v>
      </c>
      <c r="P387" s="15">
        <f t="shared" si="17"/>
        <v>125.85952572347269</v>
      </c>
    </row>
    <row r="388" spans="1:16">
      <c r="A388" s="1">
        <v>384</v>
      </c>
      <c r="B388" s="9">
        <v>39539</v>
      </c>
      <c r="C388" s="6"/>
      <c r="D388" s="12">
        <v>12654.36</v>
      </c>
      <c r="E388" s="6"/>
      <c r="F388" s="13">
        <v>5852.6</v>
      </c>
      <c r="G388" s="10">
        <v>1.9755</v>
      </c>
      <c r="H388" s="15">
        <f t="shared" si="15"/>
        <v>11561.811300000001</v>
      </c>
      <c r="I388" s="6"/>
      <c r="J388" s="13">
        <v>4866</v>
      </c>
      <c r="K388" s="11">
        <v>0.64119999999999999</v>
      </c>
      <c r="L388" s="15">
        <f t="shared" si="16"/>
        <v>7588.8958203368684</v>
      </c>
      <c r="M388" s="6"/>
      <c r="N388" s="13">
        <v>12656.42</v>
      </c>
      <c r="O388" s="11">
        <v>101.86</v>
      </c>
      <c r="P388" s="15">
        <f t="shared" si="17"/>
        <v>124.25309247987434</v>
      </c>
    </row>
    <row r="389" spans="1:16">
      <c r="A389" s="1">
        <v>385</v>
      </c>
      <c r="B389" s="9">
        <v>39540</v>
      </c>
      <c r="C389" s="6"/>
      <c r="D389" s="12">
        <v>12608.92</v>
      </c>
      <c r="E389" s="6"/>
      <c r="F389" s="13">
        <v>5915.9</v>
      </c>
      <c r="G389" s="10">
        <v>1.9813000000000001</v>
      </c>
      <c r="H389" s="15">
        <f t="shared" ref="H389:H452" si="18">F389*G389</f>
        <v>11721.17267</v>
      </c>
      <c r="I389" s="6"/>
      <c r="J389" s="13">
        <v>4911.97</v>
      </c>
      <c r="K389" s="11">
        <v>0.64059999999999995</v>
      </c>
      <c r="L389" s="15">
        <f t="shared" ref="L389:L452" si="19">J389/K389</f>
        <v>7667.7645956915403</v>
      </c>
      <c r="M389" s="6"/>
      <c r="N389" s="13">
        <v>13189.36</v>
      </c>
      <c r="O389" s="11">
        <v>102.69</v>
      </c>
      <c r="P389" s="15">
        <f t="shared" ref="P389:P452" si="20">N389/O389</f>
        <v>128.43860161651574</v>
      </c>
    </row>
    <row r="390" spans="1:16">
      <c r="A390" s="1">
        <v>386</v>
      </c>
      <c r="B390" s="9">
        <v>39541</v>
      </c>
      <c r="C390" s="6"/>
      <c r="D390" s="12">
        <v>12626.03</v>
      </c>
      <c r="E390" s="6"/>
      <c r="F390" s="13">
        <v>5891.3</v>
      </c>
      <c r="G390" s="10">
        <v>1.9952000000000001</v>
      </c>
      <c r="H390" s="15">
        <f t="shared" si="18"/>
        <v>11754.321760000001</v>
      </c>
      <c r="I390" s="6"/>
      <c r="J390" s="13">
        <v>4887.87</v>
      </c>
      <c r="K390" s="11">
        <v>0.63959999999999995</v>
      </c>
      <c r="L390" s="15">
        <f t="shared" si="19"/>
        <v>7642.0731707317082</v>
      </c>
      <c r="M390" s="6"/>
      <c r="N390" s="13">
        <v>13389.9</v>
      </c>
      <c r="O390" s="11">
        <v>102.27</v>
      </c>
      <c r="P390" s="15">
        <f t="shared" si="20"/>
        <v>130.92695805221473</v>
      </c>
    </row>
    <row r="391" spans="1:16">
      <c r="A391" s="1">
        <v>387</v>
      </c>
      <c r="B391" s="9">
        <v>39542</v>
      </c>
      <c r="C391" s="6"/>
      <c r="D391" s="12">
        <v>12609.42</v>
      </c>
      <c r="E391" s="6"/>
      <c r="F391" s="13">
        <v>5947.1</v>
      </c>
      <c r="G391" s="10">
        <v>1.9943</v>
      </c>
      <c r="H391" s="15">
        <f t="shared" si="18"/>
        <v>11860.301530000001</v>
      </c>
      <c r="I391" s="6"/>
      <c r="J391" s="13">
        <v>4900.88</v>
      </c>
      <c r="K391" s="11">
        <v>0.63519999999999999</v>
      </c>
      <c r="L391" s="15">
        <f t="shared" si="19"/>
        <v>7715.4911838790931</v>
      </c>
      <c r="M391" s="6"/>
      <c r="N391" s="13">
        <v>13293.22</v>
      </c>
      <c r="O391" s="11">
        <v>101.57</v>
      </c>
      <c r="P391" s="15">
        <f t="shared" si="20"/>
        <v>130.87742443634932</v>
      </c>
    </row>
    <row r="392" spans="1:16">
      <c r="A392" s="1">
        <v>388</v>
      </c>
      <c r="B392" s="9">
        <v>39545</v>
      </c>
      <c r="C392" s="6"/>
      <c r="D392" s="12">
        <v>12612.43</v>
      </c>
      <c r="E392" s="6"/>
      <c r="F392" s="13">
        <v>6014.8</v>
      </c>
      <c r="G392" s="10">
        <v>1.9896</v>
      </c>
      <c r="H392" s="15">
        <f t="shared" si="18"/>
        <v>11967.04608</v>
      </c>
      <c r="I392" s="6"/>
      <c r="J392" s="13">
        <v>4944.6000000000004</v>
      </c>
      <c r="K392" s="11">
        <v>0.63649999999999995</v>
      </c>
      <c r="L392" s="15">
        <f t="shared" si="19"/>
        <v>7768.4210526315801</v>
      </c>
      <c r="M392" s="6"/>
      <c r="N392" s="13">
        <v>13450.23</v>
      </c>
      <c r="O392" s="11">
        <v>102.53</v>
      </c>
      <c r="P392" s="15">
        <f t="shared" si="20"/>
        <v>131.18336096752171</v>
      </c>
    </row>
    <row r="393" spans="1:16">
      <c r="A393" s="1">
        <v>389</v>
      </c>
      <c r="B393" s="9">
        <v>39546</v>
      </c>
      <c r="C393" s="6"/>
      <c r="D393" s="12">
        <v>12576.44</v>
      </c>
      <c r="E393" s="6"/>
      <c r="F393" s="13">
        <v>5990.2</v>
      </c>
      <c r="G393" s="10">
        <v>1.9681999999999999</v>
      </c>
      <c r="H393" s="15">
        <f t="shared" si="18"/>
        <v>11789.911639999998</v>
      </c>
      <c r="I393" s="6"/>
      <c r="J393" s="13">
        <v>4912.6899999999996</v>
      </c>
      <c r="K393" s="11">
        <v>0.63660000000000005</v>
      </c>
      <c r="L393" s="15">
        <f t="shared" si="19"/>
        <v>7717.0750863964804</v>
      </c>
      <c r="M393" s="6"/>
      <c r="N393" s="13">
        <v>13250.43</v>
      </c>
      <c r="O393" s="11">
        <v>102.58</v>
      </c>
      <c r="P393" s="15">
        <f t="shared" si="20"/>
        <v>129.1716708910119</v>
      </c>
    </row>
    <row r="394" spans="1:16">
      <c r="A394" s="1">
        <v>390</v>
      </c>
      <c r="B394" s="9">
        <v>39547</v>
      </c>
      <c r="C394" s="6"/>
      <c r="D394" s="12">
        <v>12527.26</v>
      </c>
      <c r="E394" s="6"/>
      <c r="F394" s="13">
        <v>5983.9</v>
      </c>
      <c r="G394" s="10">
        <v>1.9741</v>
      </c>
      <c r="H394" s="15">
        <f t="shared" si="18"/>
        <v>11812.816989999999</v>
      </c>
      <c r="I394" s="6"/>
      <c r="J394" s="13">
        <v>4874.97</v>
      </c>
      <c r="K394" s="11">
        <v>0.63380000000000003</v>
      </c>
      <c r="L394" s="15">
        <f t="shared" si="19"/>
        <v>7691.6535184600825</v>
      </c>
      <c r="M394" s="6"/>
      <c r="N394" s="13">
        <v>13111.89</v>
      </c>
      <c r="O394" s="11">
        <v>102.29</v>
      </c>
      <c r="P394" s="15">
        <f t="shared" si="20"/>
        <v>128.18349789813274</v>
      </c>
    </row>
    <row r="395" spans="1:16">
      <c r="A395" s="1">
        <v>391</v>
      </c>
      <c r="B395" s="9">
        <v>39548</v>
      </c>
      <c r="C395" s="6"/>
      <c r="D395" s="12">
        <v>12581.98</v>
      </c>
      <c r="E395" s="6"/>
      <c r="F395" s="13">
        <v>5965.1</v>
      </c>
      <c r="G395" s="10">
        <v>1.9786999999999999</v>
      </c>
      <c r="H395" s="15">
        <f t="shared" si="18"/>
        <v>11803.14337</v>
      </c>
      <c r="I395" s="6"/>
      <c r="J395" s="13">
        <v>4859.42</v>
      </c>
      <c r="K395" s="11">
        <v>0.63329999999999997</v>
      </c>
      <c r="L395" s="15">
        <f t="shared" si="19"/>
        <v>7673.1722722248542</v>
      </c>
      <c r="M395" s="6"/>
      <c r="N395" s="13">
        <v>12945.3</v>
      </c>
      <c r="O395" s="11">
        <v>100.99</v>
      </c>
      <c r="P395" s="15">
        <f t="shared" si="20"/>
        <v>128.18397861174373</v>
      </c>
    </row>
    <row r="396" spans="1:16">
      <c r="A396" s="1">
        <v>392</v>
      </c>
      <c r="B396" s="9">
        <v>39549</v>
      </c>
      <c r="C396" s="6"/>
      <c r="D396" s="12">
        <v>12325.42</v>
      </c>
      <c r="E396" s="6"/>
      <c r="F396" s="13">
        <v>5895.5</v>
      </c>
      <c r="G396" s="10">
        <v>1.9715</v>
      </c>
      <c r="H396" s="15">
        <f t="shared" si="18"/>
        <v>11622.97825</v>
      </c>
      <c r="I396" s="6"/>
      <c r="J396" s="13">
        <v>4797.93</v>
      </c>
      <c r="K396" s="11">
        <v>0.6321</v>
      </c>
      <c r="L396" s="15">
        <f t="shared" si="19"/>
        <v>7590.4603701945898</v>
      </c>
      <c r="M396" s="6"/>
      <c r="N396" s="13">
        <v>13323.73</v>
      </c>
      <c r="O396" s="11">
        <v>101.1</v>
      </c>
      <c r="P396" s="15">
        <f t="shared" si="20"/>
        <v>131.78763600395649</v>
      </c>
    </row>
    <row r="397" spans="1:16">
      <c r="A397" s="1">
        <v>393</v>
      </c>
      <c r="B397" s="9">
        <v>39552</v>
      </c>
      <c r="C397" s="6"/>
      <c r="D397" s="12">
        <v>12302.06</v>
      </c>
      <c r="E397" s="6"/>
      <c r="F397" s="13">
        <v>5831.6</v>
      </c>
      <c r="G397" s="10">
        <v>1.9838</v>
      </c>
      <c r="H397" s="15">
        <f t="shared" si="18"/>
        <v>11568.728080000001</v>
      </c>
      <c r="I397" s="6"/>
      <c r="J397" s="13">
        <v>4766.49</v>
      </c>
      <c r="K397" s="11">
        <v>0.63129999999999997</v>
      </c>
      <c r="L397" s="15">
        <f t="shared" si="19"/>
        <v>7550.2772057658804</v>
      </c>
      <c r="M397" s="6"/>
      <c r="N397" s="13">
        <v>12917.51</v>
      </c>
      <c r="O397" s="11">
        <v>100.72</v>
      </c>
      <c r="P397" s="15">
        <f t="shared" si="20"/>
        <v>128.251687847498</v>
      </c>
    </row>
    <row r="398" spans="1:16">
      <c r="A398" s="1">
        <v>394</v>
      </c>
      <c r="B398" s="9">
        <v>39553</v>
      </c>
      <c r="C398" s="6"/>
      <c r="D398" s="12">
        <v>12362.47</v>
      </c>
      <c r="E398" s="6"/>
      <c r="F398" s="13">
        <v>5906.9</v>
      </c>
      <c r="G398" s="10">
        <v>1.9623999999999999</v>
      </c>
      <c r="H398" s="15">
        <f t="shared" si="18"/>
        <v>11591.700559999999</v>
      </c>
      <c r="I398" s="6"/>
      <c r="J398" s="13">
        <v>4780.68</v>
      </c>
      <c r="K398" s="11">
        <v>0.63280000000000003</v>
      </c>
      <c r="L398" s="15">
        <f t="shared" si="19"/>
        <v>7554.8040455120099</v>
      </c>
      <c r="M398" s="6"/>
      <c r="N398" s="13">
        <v>12990.58</v>
      </c>
      <c r="O398" s="11">
        <v>101.35</v>
      </c>
      <c r="P398" s="15">
        <f t="shared" si="20"/>
        <v>128.17543167242229</v>
      </c>
    </row>
    <row r="399" spans="1:16">
      <c r="A399" s="1">
        <v>395</v>
      </c>
      <c r="B399" s="9">
        <v>39554</v>
      </c>
      <c r="C399" s="6"/>
      <c r="D399" s="12">
        <v>12619.27</v>
      </c>
      <c r="E399" s="6"/>
      <c r="F399" s="13">
        <v>6046.2</v>
      </c>
      <c r="G399" s="10">
        <v>1.9758</v>
      </c>
      <c r="H399" s="15">
        <f t="shared" si="18"/>
        <v>11946.08196</v>
      </c>
      <c r="I399" s="6"/>
      <c r="J399" s="13">
        <v>4855.1000000000004</v>
      </c>
      <c r="K399" s="11">
        <v>0.627</v>
      </c>
      <c r="L399" s="15">
        <f t="shared" si="19"/>
        <v>7743.3811802232858</v>
      </c>
      <c r="M399" s="6"/>
      <c r="N399" s="13">
        <v>13146.13</v>
      </c>
      <c r="O399" s="11">
        <v>101.31</v>
      </c>
      <c r="P399" s="15">
        <f t="shared" si="20"/>
        <v>129.76142532820057</v>
      </c>
    </row>
    <row r="400" spans="1:16">
      <c r="A400" s="1">
        <v>396</v>
      </c>
      <c r="B400" s="9">
        <v>39555</v>
      </c>
      <c r="C400" s="6"/>
      <c r="D400" s="12">
        <v>12620.49</v>
      </c>
      <c r="E400" s="6"/>
      <c r="F400" s="13">
        <v>5980.4</v>
      </c>
      <c r="G400" s="10">
        <v>1.9855</v>
      </c>
      <c r="H400" s="15">
        <f t="shared" si="18"/>
        <v>11874.084199999999</v>
      </c>
      <c r="I400" s="6"/>
      <c r="J400" s="13">
        <v>4862.1400000000003</v>
      </c>
      <c r="K400" s="11">
        <v>0.62880000000000003</v>
      </c>
      <c r="L400" s="15">
        <f t="shared" si="19"/>
        <v>7732.4109414758268</v>
      </c>
      <c r="M400" s="6"/>
      <c r="N400" s="13">
        <v>13398.3</v>
      </c>
      <c r="O400" s="11">
        <v>102.37</v>
      </c>
      <c r="P400" s="15">
        <f t="shared" si="20"/>
        <v>130.88111751489694</v>
      </c>
    </row>
    <row r="401" spans="1:16">
      <c r="A401" s="1">
        <v>397</v>
      </c>
      <c r="B401" s="9">
        <v>39556</v>
      </c>
      <c r="C401" s="6"/>
      <c r="D401" s="12">
        <v>12849.36</v>
      </c>
      <c r="E401" s="6"/>
      <c r="F401" s="13">
        <v>6056.5</v>
      </c>
      <c r="G401" s="10">
        <v>1.9972000000000001</v>
      </c>
      <c r="H401" s="15">
        <f t="shared" si="18"/>
        <v>12096.041800000001</v>
      </c>
      <c r="I401" s="6"/>
      <c r="J401" s="13">
        <v>4961.6899999999996</v>
      </c>
      <c r="K401" s="11">
        <v>0.63560000000000005</v>
      </c>
      <c r="L401" s="15">
        <f t="shared" si="19"/>
        <v>7806.3089993706717</v>
      </c>
      <c r="M401" s="6"/>
      <c r="N401" s="13">
        <v>13476.45</v>
      </c>
      <c r="O401" s="11">
        <v>104.46</v>
      </c>
      <c r="P401" s="15">
        <f t="shared" si="20"/>
        <v>129.01062607696727</v>
      </c>
    </row>
    <row r="402" spans="1:16">
      <c r="A402" s="1">
        <v>398</v>
      </c>
      <c r="B402" s="9">
        <v>39559</v>
      </c>
      <c r="C402" s="6"/>
      <c r="D402" s="12">
        <v>12825.02</v>
      </c>
      <c r="E402" s="6"/>
      <c r="F402" s="13">
        <v>6053</v>
      </c>
      <c r="G402" s="10">
        <v>1.9807999999999999</v>
      </c>
      <c r="H402" s="15">
        <f t="shared" si="18"/>
        <v>11989.7824</v>
      </c>
      <c r="I402" s="6"/>
      <c r="J402" s="13">
        <v>4910.3500000000004</v>
      </c>
      <c r="K402" s="11">
        <v>0.62819999999999998</v>
      </c>
      <c r="L402" s="15">
        <f t="shared" si="19"/>
        <v>7816.5393186883166</v>
      </c>
      <c r="M402" s="6"/>
      <c r="N402" s="13">
        <v>13696.55</v>
      </c>
      <c r="O402" s="11">
        <v>103.13</v>
      </c>
      <c r="P402" s="15">
        <f t="shared" si="20"/>
        <v>132.80859109861339</v>
      </c>
    </row>
    <row r="403" spans="1:16">
      <c r="A403" s="1">
        <v>399</v>
      </c>
      <c r="B403" s="9">
        <v>39560</v>
      </c>
      <c r="C403" s="6"/>
      <c r="D403" s="12">
        <v>12720.23</v>
      </c>
      <c r="E403" s="6"/>
      <c r="F403" s="13">
        <v>6034.7</v>
      </c>
      <c r="G403" s="10">
        <v>1.9944999999999999</v>
      </c>
      <c r="H403" s="15">
        <f t="shared" si="18"/>
        <v>12036.209149999999</v>
      </c>
      <c r="I403" s="6"/>
      <c r="J403" s="13">
        <v>4872.6400000000003</v>
      </c>
      <c r="K403" s="11">
        <v>0.626</v>
      </c>
      <c r="L403" s="15">
        <f t="shared" si="19"/>
        <v>7783.7699680511187</v>
      </c>
      <c r="M403" s="6"/>
      <c r="N403" s="13">
        <v>13547.82</v>
      </c>
      <c r="O403" s="11">
        <v>103.19</v>
      </c>
      <c r="P403" s="15">
        <f t="shared" si="20"/>
        <v>131.29004748522144</v>
      </c>
    </row>
    <row r="404" spans="1:16">
      <c r="A404" s="1">
        <v>400</v>
      </c>
      <c r="B404" s="9">
        <v>39561</v>
      </c>
      <c r="C404" s="6"/>
      <c r="D404" s="12">
        <v>12763.22</v>
      </c>
      <c r="E404" s="6"/>
      <c r="F404" s="13">
        <v>6083.6</v>
      </c>
      <c r="G404" s="10">
        <v>1.9802999999999999</v>
      </c>
      <c r="H404" s="15">
        <f t="shared" si="18"/>
        <v>12047.353080000001</v>
      </c>
      <c r="I404" s="6"/>
      <c r="J404" s="13">
        <v>4944.6499999999996</v>
      </c>
      <c r="K404" s="11">
        <v>0.62980000000000003</v>
      </c>
      <c r="L404" s="15">
        <f t="shared" si="19"/>
        <v>7851.1432200698628</v>
      </c>
      <c r="M404" s="6"/>
      <c r="N404" s="13">
        <v>13579.16</v>
      </c>
      <c r="O404" s="11">
        <v>103.62</v>
      </c>
      <c r="P404" s="15">
        <f t="shared" si="20"/>
        <v>131.04767419417101</v>
      </c>
    </row>
    <row r="405" spans="1:16">
      <c r="A405" s="1">
        <v>401</v>
      </c>
      <c r="B405" s="9">
        <v>39562</v>
      </c>
      <c r="C405" s="6"/>
      <c r="D405" s="12">
        <v>12848.95</v>
      </c>
      <c r="E405" s="6"/>
      <c r="F405" s="13">
        <v>6050.7</v>
      </c>
      <c r="G405" s="10">
        <v>1.9728000000000001</v>
      </c>
      <c r="H405" s="15">
        <f t="shared" si="18"/>
        <v>11936.820960000001</v>
      </c>
      <c r="I405" s="6"/>
      <c r="J405" s="13">
        <v>4929.55</v>
      </c>
      <c r="K405" s="11">
        <v>0.63690000000000002</v>
      </c>
      <c r="L405" s="15">
        <f t="shared" si="19"/>
        <v>7739.9120741089655</v>
      </c>
      <c r="M405" s="6"/>
      <c r="N405" s="13">
        <v>13540.87</v>
      </c>
      <c r="O405" s="11">
        <v>104.02</v>
      </c>
      <c r="P405" s="15">
        <f t="shared" si="20"/>
        <v>130.17563930013461</v>
      </c>
    </row>
    <row r="406" spans="1:16">
      <c r="A406" s="1">
        <v>402</v>
      </c>
      <c r="B406" s="9">
        <v>39563</v>
      </c>
      <c r="C406" s="6"/>
      <c r="D406" s="12">
        <v>12891.86</v>
      </c>
      <c r="E406" s="6"/>
      <c r="F406" s="13">
        <v>6091.4</v>
      </c>
      <c r="G406" s="10">
        <v>1.9885999999999999</v>
      </c>
      <c r="H406" s="15">
        <f t="shared" si="18"/>
        <v>12113.358039999999</v>
      </c>
      <c r="I406" s="6"/>
      <c r="J406" s="13">
        <v>4978.21</v>
      </c>
      <c r="K406" s="11">
        <v>0.63859999999999995</v>
      </c>
      <c r="L406" s="15">
        <f t="shared" si="19"/>
        <v>7795.5057939242097</v>
      </c>
      <c r="M406" s="6"/>
      <c r="N406" s="13">
        <v>13863.47</v>
      </c>
      <c r="O406" s="11">
        <v>104.13</v>
      </c>
      <c r="P406" s="15">
        <f t="shared" si="20"/>
        <v>133.13617593392874</v>
      </c>
    </row>
    <row r="407" spans="1:16">
      <c r="A407" s="1">
        <v>403</v>
      </c>
      <c r="B407" s="9">
        <v>39566</v>
      </c>
      <c r="C407" s="6"/>
      <c r="D407" s="12">
        <v>12871.75</v>
      </c>
      <c r="E407" s="6"/>
      <c r="F407" s="13">
        <v>6090.4</v>
      </c>
      <c r="G407" s="10">
        <v>1.9947999999999999</v>
      </c>
      <c r="H407" s="15">
        <f t="shared" si="18"/>
        <v>12149.129919999999</v>
      </c>
      <c r="I407" s="6"/>
      <c r="J407" s="13">
        <v>5012.75</v>
      </c>
      <c r="K407" s="11">
        <v>0.63929999999999998</v>
      </c>
      <c r="L407" s="15">
        <f t="shared" si="19"/>
        <v>7840.9979665258879</v>
      </c>
      <c r="M407" s="6"/>
      <c r="N407" s="13">
        <v>13894.37</v>
      </c>
      <c r="O407" s="11">
        <v>104.49</v>
      </c>
      <c r="P407" s="15">
        <f t="shared" si="20"/>
        <v>132.97320317733755</v>
      </c>
    </row>
    <row r="408" spans="1:16">
      <c r="A408" s="1">
        <v>404</v>
      </c>
      <c r="B408" s="9">
        <v>39568</v>
      </c>
      <c r="C408" s="6"/>
      <c r="D408" s="12">
        <v>12820.13</v>
      </c>
      <c r="E408" s="6"/>
      <c r="F408" s="13">
        <v>6087.3</v>
      </c>
      <c r="G408" s="10">
        <v>1.9802999999999999</v>
      </c>
      <c r="H408" s="15">
        <f t="shared" si="18"/>
        <v>12054.680190000001</v>
      </c>
      <c r="I408" s="6"/>
      <c r="J408" s="13">
        <v>4996.54</v>
      </c>
      <c r="K408" s="11">
        <v>0.64219999999999999</v>
      </c>
      <c r="L408" s="15">
        <f t="shared" si="19"/>
        <v>7780.348800996574</v>
      </c>
      <c r="M408" s="6"/>
      <c r="N408" s="13">
        <v>13849.99</v>
      </c>
      <c r="O408" s="11">
        <v>104.51</v>
      </c>
      <c r="P408" s="15">
        <f t="shared" si="20"/>
        <v>132.52310783657066</v>
      </c>
    </row>
    <row r="409" spans="1:16">
      <c r="A409" s="1">
        <v>405</v>
      </c>
      <c r="B409" s="9">
        <v>39570</v>
      </c>
      <c r="C409" s="6"/>
      <c r="D409" s="12">
        <v>13058.2</v>
      </c>
      <c r="E409" s="6"/>
      <c r="F409" s="13">
        <v>6215.5</v>
      </c>
      <c r="G409" s="10">
        <v>1.9750000000000001</v>
      </c>
      <c r="H409" s="15">
        <f t="shared" si="18"/>
        <v>12275.612500000001</v>
      </c>
      <c r="I409" s="6"/>
      <c r="J409" s="13">
        <v>5069.71</v>
      </c>
      <c r="K409" s="11">
        <v>0.64910000000000001</v>
      </c>
      <c r="L409" s="15">
        <f t="shared" si="19"/>
        <v>7810.3682021260202</v>
      </c>
      <c r="M409" s="6"/>
      <c r="N409" s="13">
        <v>14049.26</v>
      </c>
      <c r="O409" s="11">
        <v>105.32</v>
      </c>
      <c r="P409" s="15">
        <f t="shared" si="20"/>
        <v>133.395936194455</v>
      </c>
    </row>
    <row r="410" spans="1:16">
      <c r="A410" s="1">
        <v>406</v>
      </c>
      <c r="B410" s="9">
        <v>39575</v>
      </c>
      <c r="C410" s="6"/>
      <c r="D410" s="12">
        <v>12814.35</v>
      </c>
      <c r="E410" s="6"/>
      <c r="F410" s="13">
        <v>6261</v>
      </c>
      <c r="G410" s="10">
        <v>1.9514</v>
      </c>
      <c r="H410" s="15">
        <f t="shared" si="18"/>
        <v>12217.715400000001</v>
      </c>
      <c r="I410" s="6"/>
      <c r="J410" s="13">
        <v>5075.3100000000004</v>
      </c>
      <c r="K410" s="11">
        <v>0.64949999999999997</v>
      </c>
      <c r="L410" s="15">
        <f t="shared" si="19"/>
        <v>7814.1801385681301</v>
      </c>
      <c r="M410" s="6"/>
      <c r="N410" s="13">
        <v>14102.48</v>
      </c>
      <c r="O410" s="11">
        <v>105.34</v>
      </c>
      <c r="P410" s="15">
        <f t="shared" si="20"/>
        <v>133.87583064363014</v>
      </c>
    </row>
    <row r="411" spans="1:16">
      <c r="A411" s="1">
        <v>407</v>
      </c>
      <c r="B411" s="9">
        <v>39576</v>
      </c>
      <c r="C411" s="6"/>
      <c r="D411" s="12">
        <v>12866.78</v>
      </c>
      <c r="E411" s="6"/>
      <c r="F411" s="13">
        <v>6270.8</v>
      </c>
      <c r="G411" s="10">
        <v>1.9562999999999999</v>
      </c>
      <c r="H411" s="15">
        <f t="shared" si="18"/>
        <v>12267.56604</v>
      </c>
      <c r="I411" s="6"/>
      <c r="J411" s="13">
        <v>5055.58</v>
      </c>
      <c r="K411" s="11">
        <v>0.64849999999999997</v>
      </c>
      <c r="L411" s="15">
        <f t="shared" si="19"/>
        <v>7795.8057054741712</v>
      </c>
      <c r="M411" s="6"/>
      <c r="N411" s="13">
        <v>13943.26</v>
      </c>
      <c r="O411" s="11">
        <v>103.62</v>
      </c>
      <c r="P411" s="15">
        <f t="shared" si="20"/>
        <v>134.56147461879945</v>
      </c>
    </row>
    <row r="412" spans="1:16">
      <c r="A412" s="1">
        <v>408</v>
      </c>
      <c r="B412" s="9">
        <v>39577</v>
      </c>
      <c r="C412" s="6"/>
      <c r="D412" s="12">
        <v>12745.88</v>
      </c>
      <c r="E412" s="6"/>
      <c r="F412" s="13">
        <v>6204.7</v>
      </c>
      <c r="G412" s="10">
        <v>1.9460999999999999</v>
      </c>
      <c r="H412" s="15">
        <f t="shared" si="18"/>
        <v>12074.96667</v>
      </c>
      <c r="I412" s="6"/>
      <c r="J412" s="13">
        <v>4960.5600000000004</v>
      </c>
      <c r="K412" s="11">
        <v>0.64800000000000002</v>
      </c>
      <c r="L412" s="15">
        <f t="shared" si="19"/>
        <v>7655.1851851851852</v>
      </c>
      <c r="M412" s="6"/>
      <c r="N412" s="13">
        <v>13655.34</v>
      </c>
      <c r="O412" s="11">
        <v>103.23</v>
      </c>
      <c r="P412" s="15">
        <f t="shared" si="20"/>
        <v>132.28073234524848</v>
      </c>
    </row>
    <row r="413" spans="1:16">
      <c r="A413" s="1">
        <v>409</v>
      </c>
      <c r="B413" s="9">
        <v>39580</v>
      </c>
      <c r="C413" s="6"/>
      <c r="D413" s="12">
        <v>12876.05</v>
      </c>
      <c r="E413" s="6"/>
      <c r="F413" s="13">
        <v>6220.6</v>
      </c>
      <c r="G413" s="10">
        <v>1.9612000000000001</v>
      </c>
      <c r="H413" s="15">
        <f t="shared" si="18"/>
        <v>12199.84072</v>
      </c>
      <c r="I413" s="6"/>
      <c r="J413" s="13">
        <v>4976.21</v>
      </c>
      <c r="K413" s="11">
        <v>0.64510000000000001</v>
      </c>
      <c r="L413" s="15">
        <f t="shared" si="19"/>
        <v>7713.8583165400714</v>
      </c>
      <c r="M413" s="6"/>
      <c r="N413" s="13">
        <v>13743.36</v>
      </c>
      <c r="O413" s="11">
        <v>103.67</v>
      </c>
      <c r="P413" s="15">
        <f t="shared" si="20"/>
        <v>132.56834185395968</v>
      </c>
    </row>
    <row r="414" spans="1:16">
      <c r="A414" s="1">
        <v>410</v>
      </c>
      <c r="B414" s="9">
        <v>39581</v>
      </c>
      <c r="C414" s="6"/>
      <c r="D414" s="12">
        <v>12832.18</v>
      </c>
      <c r="E414" s="6"/>
      <c r="F414" s="13">
        <v>6211.9</v>
      </c>
      <c r="G414" s="10">
        <v>1.9464999999999999</v>
      </c>
      <c r="H414" s="15">
        <f t="shared" si="18"/>
        <v>12091.463349999998</v>
      </c>
      <c r="I414" s="6"/>
      <c r="J414" s="13">
        <v>4998.67</v>
      </c>
      <c r="K414" s="11">
        <v>0.64570000000000005</v>
      </c>
      <c r="L414" s="15">
        <f t="shared" si="19"/>
        <v>7741.474368901966</v>
      </c>
      <c r="M414" s="6"/>
      <c r="N414" s="13">
        <v>13953.73</v>
      </c>
      <c r="O414" s="11">
        <v>104.45</v>
      </c>
      <c r="P414" s="15">
        <f t="shared" si="20"/>
        <v>133.59243657252273</v>
      </c>
    </row>
    <row r="415" spans="1:16">
      <c r="A415" s="1">
        <v>411</v>
      </c>
      <c r="B415" s="9">
        <v>39582</v>
      </c>
      <c r="C415" s="6"/>
      <c r="D415" s="12">
        <v>12898.38</v>
      </c>
      <c r="E415" s="6"/>
      <c r="F415" s="13">
        <v>6216</v>
      </c>
      <c r="G415" s="10">
        <v>1.9417</v>
      </c>
      <c r="H415" s="15">
        <f t="shared" si="18"/>
        <v>12069.6072</v>
      </c>
      <c r="I415" s="6"/>
      <c r="J415" s="13">
        <v>5055.24</v>
      </c>
      <c r="K415" s="11">
        <v>0.64700000000000002</v>
      </c>
      <c r="L415" s="15">
        <f t="shared" si="19"/>
        <v>7813.3539412673872</v>
      </c>
      <c r="M415" s="6"/>
      <c r="N415" s="13">
        <v>14118.55</v>
      </c>
      <c r="O415" s="11">
        <v>105.26</v>
      </c>
      <c r="P415" s="15">
        <f t="shared" si="20"/>
        <v>134.13024890746721</v>
      </c>
    </row>
    <row r="416" spans="1:16">
      <c r="A416" s="1">
        <v>412</v>
      </c>
      <c r="B416" s="9">
        <v>39583</v>
      </c>
      <c r="C416" s="6"/>
      <c r="D416" s="12">
        <v>12992.66</v>
      </c>
      <c r="E416" s="6"/>
      <c r="F416" s="13">
        <v>6251.8</v>
      </c>
      <c r="G416" s="10">
        <v>1.9463999999999999</v>
      </c>
      <c r="H416" s="15">
        <f t="shared" si="18"/>
        <v>12168.50352</v>
      </c>
      <c r="I416" s="6"/>
      <c r="J416" s="13">
        <v>5057.51</v>
      </c>
      <c r="K416" s="11">
        <v>0.64610000000000001</v>
      </c>
      <c r="L416" s="15">
        <f t="shared" si="19"/>
        <v>7827.7511221173199</v>
      </c>
      <c r="M416" s="6"/>
      <c r="N416" s="13">
        <v>14251.74</v>
      </c>
      <c r="O416" s="11">
        <v>104.81</v>
      </c>
      <c r="P416" s="15">
        <f t="shared" si="20"/>
        <v>135.97691060013358</v>
      </c>
    </row>
    <row r="417" spans="1:16">
      <c r="A417" s="1">
        <v>413</v>
      </c>
      <c r="B417" s="9">
        <v>39584</v>
      </c>
      <c r="C417" s="6"/>
      <c r="D417" s="12">
        <v>12986.8</v>
      </c>
      <c r="E417" s="6"/>
      <c r="F417" s="13">
        <v>6304.3</v>
      </c>
      <c r="G417" s="10">
        <v>1.9537</v>
      </c>
      <c r="H417" s="15">
        <f t="shared" si="18"/>
        <v>12316.71091</v>
      </c>
      <c r="I417" s="6"/>
      <c r="J417" s="13">
        <v>5078.04</v>
      </c>
      <c r="K417" s="11">
        <v>0.64300000000000002</v>
      </c>
      <c r="L417" s="15">
        <f t="shared" si="19"/>
        <v>7897.4183514774495</v>
      </c>
      <c r="M417" s="6"/>
      <c r="N417" s="13">
        <v>14219.48</v>
      </c>
      <c r="O417" s="11">
        <v>104.08</v>
      </c>
      <c r="P417" s="15">
        <f t="shared" si="20"/>
        <v>136.62067640276709</v>
      </c>
    </row>
    <row r="418" spans="1:16">
      <c r="A418" s="1">
        <v>414</v>
      </c>
      <c r="B418" s="9">
        <v>39587</v>
      </c>
      <c r="C418" s="6"/>
      <c r="D418" s="12">
        <v>13028.16</v>
      </c>
      <c r="E418" s="6"/>
      <c r="F418" s="13">
        <v>6376.5</v>
      </c>
      <c r="G418" s="10">
        <v>1.9488000000000001</v>
      </c>
      <c r="H418" s="15">
        <f t="shared" si="18"/>
        <v>12426.523200000001</v>
      </c>
      <c r="I418" s="6"/>
      <c r="J418" s="13">
        <v>5142.1000000000004</v>
      </c>
      <c r="K418" s="11">
        <v>0.64459999999999995</v>
      </c>
      <c r="L418" s="15">
        <f t="shared" si="19"/>
        <v>7977.1951597890175</v>
      </c>
      <c r="M418" s="6"/>
      <c r="N418" s="13">
        <v>14269.61</v>
      </c>
      <c r="O418" s="11">
        <v>104.48</v>
      </c>
      <c r="P418" s="15">
        <f t="shared" si="20"/>
        <v>136.57743108728943</v>
      </c>
    </row>
    <row r="419" spans="1:16">
      <c r="A419" s="1">
        <v>415</v>
      </c>
      <c r="B419" s="9">
        <v>39588</v>
      </c>
      <c r="C419" s="6"/>
      <c r="D419" s="12">
        <v>12828.68</v>
      </c>
      <c r="E419" s="6"/>
      <c r="F419" s="13">
        <v>6191.6</v>
      </c>
      <c r="G419" s="10">
        <v>1.9684999999999999</v>
      </c>
      <c r="H419" s="15">
        <f t="shared" si="18"/>
        <v>12188.1646</v>
      </c>
      <c r="I419" s="6"/>
      <c r="J419" s="13">
        <v>5054.88</v>
      </c>
      <c r="K419" s="11">
        <v>0.63949999999999996</v>
      </c>
      <c r="L419" s="15">
        <f t="shared" si="19"/>
        <v>7904.4253322908526</v>
      </c>
      <c r="M419" s="6"/>
      <c r="N419" s="13">
        <v>14160.09</v>
      </c>
      <c r="O419" s="11">
        <v>103.84</v>
      </c>
      <c r="P419" s="15">
        <f t="shared" si="20"/>
        <v>136.36450308166408</v>
      </c>
    </row>
    <row r="420" spans="1:16">
      <c r="A420" s="1">
        <v>416</v>
      </c>
      <c r="B420" s="9">
        <v>39589</v>
      </c>
      <c r="C420" s="6"/>
      <c r="D420" s="12">
        <v>12601.19</v>
      </c>
      <c r="E420" s="6"/>
      <c r="F420" s="13">
        <v>6198.1</v>
      </c>
      <c r="G420" s="10">
        <v>1.9641999999999999</v>
      </c>
      <c r="H420" s="15">
        <f t="shared" si="18"/>
        <v>12174.30802</v>
      </c>
      <c r="I420" s="6"/>
      <c r="J420" s="13">
        <v>5027.55</v>
      </c>
      <c r="K420" s="11">
        <v>0.63419999999999999</v>
      </c>
      <c r="L420" s="15">
        <f t="shared" si="19"/>
        <v>7927.3888363292344</v>
      </c>
      <c r="M420" s="6"/>
      <c r="N420" s="13">
        <v>13926.3</v>
      </c>
      <c r="O420" s="11">
        <v>103.27</v>
      </c>
      <c r="P420" s="15">
        <f t="shared" si="20"/>
        <v>134.8532971821439</v>
      </c>
    </row>
    <row r="421" spans="1:16">
      <c r="A421" s="1">
        <v>417</v>
      </c>
      <c r="B421" s="9">
        <v>39590</v>
      </c>
      <c r="C421" s="6"/>
      <c r="D421" s="12">
        <v>12625.62</v>
      </c>
      <c r="E421" s="6"/>
      <c r="F421" s="13">
        <v>6181.6</v>
      </c>
      <c r="G421" s="10">
        <v>1.9812000000000001</v>
      </c>
      <c r="H421" s="15">
        <f t="shared" si="18"/>
        <v>12246.985920000001</v>
      </c>
      <c r="I421" s="6"/>
      <c r="J421" s="13">
        <v>5028.74</v>
      </c>
      <c r="K421" s="11">
        <v>0.63629999999999998</v>
      </c>
      <c r="L421" s="15">
        <f t="shared" si="19"/>
        <v>7903.0960238881034</v>
      </c>
      <c r="M421" s="6"/>
      <c r="N421" s="13">
        <v>13978.46</v>
      </c>
      <c r="O421" s="11">
        <v>103.95</v>
      </c>
      <c r="P421" s="15">
        <f t="shared" si="20"/>
        <v>134.47291967291966</v>
      </c>
    </row>
    <row r="422" spans="1:16">
      <c r="A422" s="1">
        <v>418</v>
      </c>
      <c r="B422" s="9">
        <v>39591</v>
      </c>
      <c r="C422" s="6"/>
      <c r="D422" s="12">
        <v>12479.63</v>
      </c>
      <c r="E422" s="6"/>
      <c r="F422" s="13">
        <v>6087.3</v>
      </c>
      <c r="G422" s="10">
        <v>1.9819</v>
      </c>
      <c r="H422" s="15">
        <f t="shared" si="18"/>
        <v>12064.41987</v>
      </c>
      <c r="I422" s="6"/>
      <c r="J422" s="13">
        <v>4933.7700000000004</v>
      </c>
      <c r="K422" s="11">
        <v>0.63419999999999999</v>
      </c>
      <c r="L422" s="15">
        <f t="shared" si="19"/>
        <v>7779.5175023651855</v>
      </c>
      <c r="M422" s="6"/>
      <c r="N422" s="13">
        <v>14012.2</v>
      </c>
      <c r="O422" s="11">
        <v>103.37</v>
      </c>
      <c r="P422" s="15">
        <f t="shared" si="20"/>
        <v>135.55383573570668</v>
      </c>
    </row>
    <row r="423" spans="1:16">
      <c r="A423" s="1">
        <v>419</v>
      </c>
      <c r="B423" s="9">
        <v>39595</v>
      </c>
      <c r="C423" s="6"/>
      <c r="D423" s="12">
        <v>12548.35</v>
      </c>
      <c r="E423" s="6"/>
      <c r="F423" s="13">
        <v>6058.5</v>
      </c>
      <c r="G423" s="10">
        <v>1.9746999999999999</v>
      </c>
      <c r="H423" s="15">
        <f t="shared" si="18"/>
        <v>11963.719949999999</v>
      </c>
      <c r="I423" s="6"/>
      <c r="J423" s="13">
        <v>4906.5600000000004</v>
      </c>
      <c r="K423" s="11">
        <v>0.6361</v>
      </c>
      <c r="L423" s="15">
        <f t="shared" si="19"/>
        <v>7713.504166011634</v>
      </c>
      <c r="M423" s="6"/>
      <c r="N423" s="13">
        <v>13893.31</v>
      </c>
      <c r="O423" s="11">
        <v>104.1</v>
      </c>
      <c r="P423" s="15">
        <f t="shared" si="20"/>
        <v>133.46119116234391</v>
      </c>
    </row>
    <row r="424" spans="1:16">
      <c r="A424" s="1">
        <v>420</v>
      </c>
      <c r="B424" s="9">
        <v>39596</v>
      </c>
      <c r="C424" s="6"/>
      <c r="D424" s="12">
        <v>12594.03</v>
      </c>
      <c r="E424" s="6"/>
      <c r="F424" s="13">
        <v>6069.6</v>
      </c>
      <c r="G424" s="10">
        <v>1.9806999999999999</v>
      </c>
      <c r="H424" s="15">
        <f t="shared" si="18"/>
        <v>12022.05672</v>
      </c>
      <c r="I424" s="6"/>
      <c r="J424" s="13">
        <v>4971.1099999999997</v>
      </c>
      <c r="K424" s="11">
        <v>0.63990000000000002</v>
      </c>
      <c r="L424" s="15">
        <f t="shared" si="19"/>
        <v>7768.5732145647753</v>
      </c>
      <c r="M424" s="6"/>
      <c r="N424" s="13">
        <v>13709.44</v>
      </c>
      <c r="O424" s="11">
        <v>104.75</v>
      </c>
      <c r="P424" s="15">
        <f t="shared" si="20"/>
        <v>130.87770883054893</v>
      </c>
    </row>
    <row r="425" spans="1:16">
      <c r="A425" s="1">
        <v>421</v>
      </c>
      <c r="B425" s="9">
        <v>39597</v>
      </c>
      <c r="C425" s="6"/>
      <c r="D425" s="12">
        <v>12646.22</v>
      </c>
      <c r="E425" s="6"/>
      <c r="F425" s="13">
        <v>6068.1</v>
      </c>
      <c r="G425" s="10">
        <v>1.9769000000000001</v>
      </c>
      <c r="H425" s="15">
        <f t="shared" si="18"/>
        <v>11996.026890000001</v>
      </c>
      <c r="I425" s="6"/>
      <c r="J425" s="13">
        <v>4975.8999999999996</v>
      </c>
      <c r="K425" s="11">
        <v>0.64380000000000004</v>
      </c>
      <c r="L425" s="15">
        <f t="shared" si="19"/>
        <v>7728.9530910220556</v>
      </c>
      <c r="M425" s="6"/>
      <c r="N425" s="13">
        <v>14124.47</v>
      </c>
      <c r="O425" s="11">
        <v>105.41</v>
      </c>
      <c r="P425" s="15">
        <f t="shared" si="20"/>
        <v>133.9955412199981</v>
      </c>
    </row>
    <row r="426" spans="1:16">
      <c r="A426" s="1">
        <v>422</v>
      </c>
      <c r="B426" s="9">
        <v>39598</v>
      </c>
      <c r="C426" s="6"/>
      <c r="D426" s="12">
        <v>12638.32</v>
      </c>
      <c r="E426" s="6"/>
      <c r="F426" s="13">
        <v>6053.5</v>
      </c>
      <c r="G426" s="10">
        <v>1.9762</v>
      </c>
      <c r="H426" s="15">
        <f t="shared" si="18"/>
        <v>11962.9267</v>
      </c>
      <c r="I426" s="6"/>
      <c r="J426" s="13">
        <v>5014.28</v>
      </c>
      <c r="K426" s="11">
        <v>0.64349999999999996</v>
      </c>
      <c r="L426" s="15">
        <f t="shared" si="19"/>
        <v>7792.1989121989127</v>
      </c>
      <c r="M426" s="6"/>
      <c r="N426" s="13">
        <v>14338.54</v>
      </c>
      <c r="O426" s="11">
        <v>105.57</v>
      </c>
      <c r="P426" s="15">
        <f t="shared" si="20"/>
        <v>135.82021407596858</v>
      </c>
    </row>
    <row r="427" spans="1:16">
      <c r="A427" s="1">
        <v>423</v>
      </c>
      <c r="B427" s="9">
        <v>39601</v>
      </c>
      <c r="C427" s="6"/>
      <c r="D427" s="12">
        <v>12503.82</v>
      </c>
      <c r="E427" s="6"/>
      <c r="F427" s="13">
        <v>6007.6</v>
      </c>
      <c r="G427" s="10">
        <v>1.9637</v>
      </c>
      <c r="H427" s="15">
        <f t="shared" si="18"/>
        <v>11797.12412</v>
      </c>
      <c r="I427" s="6"/>
      <c r="J427" s="13">
        <v>4935.21</v>
      </c>
      <c r="K427" s="11">
        <v>0.64400000000000002</v>
      </c>
      <c r="L427" s="15">
        <f t="shared" si="19"/>
        <v>7663.369565217391</v>
      </c>
      <c r="M427" s="6"/>
      <c r="N427" s="13">
        <v>14440.14</v>
      </c>
      <c r="O427" s="11">
        <v>104.55</v>
      </c>
      <c r="P427" s="15">
        <f t="shared" si="20"/>
        <v>138.11707317073171</v>
      </c>
    </row>
    <row r="428" spans="1:16">
      <c r="A428" s="1">
        <v>424</v>
      </c>
      <c r="B428" s="9">
        <v>39602</v>
      </c>
      <c r="C428" s="6"/>
      <c r="D428" s="12">
        <v>12402.85</v>
      </c>
      <c r="E428" s="6"/>
      <c r="F428" s="13">
        <v>6057.7</v>
      </c>
      <c r="G428" s="10">
        <v>1.9664999999999999</v>
      </c>
      <c r="H428" s="15">
        <f t="shared" si="18"/>
        <v>11912.467049999999</v>
      </c>
      <c r="I428" s="6"/>
      <c r="J428" s="13">
        <v>4983.71</v>
      </c>
      <c r="K428" s="11">
        <v>0.64680000000000004</v>
      </c>
      <c r="L428" s="15">
        <f t="shared" si="19"/>
        <v>7705.1793444650584</v>
      </c>
      <c r="M428" s="6"/>
      <c r="N428" s="13">
        <v>14209.17</v>
      </c>
      <c r="O428" s="11">
        <v>105.26</v>
      </c>
      <c r="P428" s="15">
        <f t="shared" si="20"/>
        <v>134.99116473494203</v>
      </c>
    </row>
    <row r="429" spans="1:16">
      <c r="A429" s="1">
        <v>425</v>
      </c>
      <c r="B429" s="9">
        <v>39603</v>
      </c>
      <c r="C429" s="6"/>
      <c r="D429" s="12">
        <v>12390.48</v>
      </c>
      <c r="E429" s="6"/>
      <c r="F429" s="13">
        <v>5970.1</v>
      </c>
      <c r="G429" s="10">
        <v>1.9537</v>
      </c>
      <c r="H429" s="15">
        <f t="shared" si="18"/>
        <v>11663.784370000001</v>
      </c>
      <c r="I429" s="6"/>
      <c r="J429" s="13">
        <v>4915.07</v>
      </c>
      <c r="K429" s="11">
        <v>0.64729999999999999</v>
      </c>
      <c r="L429" s="15">
        <f t="shared" si="19"/>
        <v>7593.1870848138415</v>
      </c>
      <c r="M429" s="6"/>
      <c r="N429" s="13">
        <v>14435.57</v>
      </c>
      <c r="O429" s="11">
        <v>105.03</v>
      </c>
      <c r="P429" s="15">
        <f t="shared" si="20"/>
        <v>137.44234980481767</v>
      </c>
    </row>
    <row r="430" spans="1:16">
      <c r="A430" s="1">
        <v>426</v>
      </c>
      <c r="B430" s="9">
        <v>39604</v>
      </c>
      <c r="C430" s="6"/>
      <c r="D430" s="12">
        <v>12604.45</v>
      </c>
      <c r="E430" s="6"/>
      <c r="F430" s="13">
        <v>5995.3</v>
      </c>
      <c r="G430" s="10">
        <v>1.9547000000000001</v>
      </c>
      <c r="H430" s="15">
        <f t="shared" si="18"/>
        <v>11719.012910000001</v>
      </c>
      <c r="I430" s="6"/>
      <c r="J430" s="13">
        <v>4907.0600000000004</v>
      </c>
      <c r="K430" s="11">
        <v>0.64370000000000005</v>
      </c>
      <c r="L430" s="15">
        <f t="shared" si="19"/>
        <v>7623.2095696753149</v>
      </c>
      <c r="M430" s="6"/>
      <c r="N430" s="13">
        <v>14341.12</v>
      </c>
      <c r="O430" s="11">
        <v>106.11</v>
      </c>
      <c r="P430" s="15">
        <f t="shared" si="20"/>
        <v>135.15333144849686</v>
      </c>
    </row>
    <row r="431" spans="1:16">
      <c r="A431" s="1">
        <v>427</v>
      </c>
      <c r="B431" s="9">
        <v>39605</v>
      </c>
      <c r="C431" s="6"/>
      <c r="D431" s="12">
        <v>12209.81</v>
      </c>
      <c r="E431" s="6"/>
      <c r="F431" s="13">
        <v>5906.8</v>
      </c>
      <c r="G431" s="10">
        <v>1.9698</v>
      </c>
      <c r="H431" s="15">
        <f t="shared" si="18"/>
        <v>11635.21464</v>
      </c>
      <c r="I431" s="6"/>
      <c r="J431" s="13">
        <v>4795.32</v>
      </c>
      <c r="K431" s="11">
        <v>0.63549999999999995</v>
      </c>
      <c r="L431" s="15">
        <f t="shared" si="19"/>
        <v>7545.7435090479939</v>
      </c>
      <c r="M431" s="6"/>
      <c r="N431" s="13">
        <v>14489.44</v>
      </c>
      <c r="O431" s="11">
        <v>105.32</v>
      </c>
      <c r="P431" s="15">
        <f t="shared" si="20"/>
        <v>137.57538928978354</v>
      </c>
    </row>
    <row r="432" spans="1:16">
      <c r="A432" s="1">
        <v>428</v>
      </c>
      <c r="B432" s="9">
        <v>39608</v>
      </c>
      <c r="C432" s="6"/>
      <c r="D432" s="12">
        <v>12280.32</v>
      </c>
      <c r="E432" s="6"/>
      <c r="F432" s="13">
        <v>5877.6</v>
      </c>
      <c r="G432" s="10">
        <v>1.9765999999999999</v>
      </c>
      <c r="H432" s="15">
        <f t="shared" si="18"/>
        <v>11617.66416</v>
      </c>
      <c r="I432" s="6"/>
      <c r="J432" s="13">
        <v>4799.38</v>
      </c>
      <c r="K432" s="11">
        <v>0.63580000000000003</v>
      </c>
      <c r="L432" s="15">
        <f t="shared" si="19"/>
        <v>7548.5687323057564</v>
      </c>
      <c r="M432" s="6"/>
      <c r="N432" s="13">
        <v>14181.38</v>
      </c>
      <c r="O432" s="11">
        <v>106.07</v>
      </c>
      <c r="P432" s="15">
        <f t="shared" si="20"/>
        <v>133.69831243518431</v>
      </c>
    </row>
    <row r="433" spans="1:16">
      <c r="A433" s="1">
        <v>429</v>
      </c>
      <c r="B433" s="9">
        <v>39609</v>
      </c>
      <c r="C433" s="6"/>
      <c r="D433" s="12">
        <v>12289.76</v>
      </c>
      <c r="E433" s="6"/>
      <c r="F433" s="13">
        <v>5827.3</v>
      </c>
      <c r="G433" s="10">
        <v>1.9527000000000001</v>
      </c>
      <c r="H433" s="15">
        <f t="shared" si="18"/>
        <v>11378.968710000001</v>
      </c>
      <c r="I433" s="6"/>
      <c r="J433" s="13">
        <v>4761.08</v>
      </c>
      <c r="K433" s="11">
        <v>0.64600000000000002</v>
      </c>
      <c r="L433" s="15">
        <f t="shared" si="19"/>
        <v>7370.0928792569657</v>
      </c>
      <c r="M433" s="6"/>
      <c r="N433" s="13">
        <v>14021.17</v>
      </c>
      <c r="O433" s="11">
        <v>107.19</v>
      </c>
      <c r="P433" s="15">
        <f t="shared" si="20"/>
        <v>130.80669838604348</v>
      </c>
    </row>
    <row r="434" spans="1:16">
      <c r="A434" s="1">
        <v>430</v>
      </c>
      <c r="B434" s="9">
        <v>39610</v>
      </c>
      <c r="C434" s="6"/>
      <c r="D434" s="12">
        <v>12083.77</v>
      </c>
      <c r="E434" s="6"/>
      <c r="F434" s="13">
        <v>5723.3</v>
      </c>
      <c r="G434" s="10">
        <v>1.9635</v>
      </c>
      <c r="H434" s="15">
        <f t="shared" si="18"/>
        <v>11237.699550000001</v>
      </c>
      <c r="I434" s="6"/>
      <c r="J434" s="13">
        <v>4660.91</v>
      </c>
      <c r="K434" s="11">
        <v>0.64359999999999995</v>
      </c>
      <c r="L434" s="15">
        <f t="shared" si="19"/>
        <v>7241.9359850839037</v>
      </c>
      <c r="M434" s="6"/>
      <c r="N434" s="13">
        <v>14183.48</v>
      </c>
      <c r="O434" s="11">
        <v>106.77</v>
      </c>
      <c r="P434" s="15">
        <f t="shared" si="20"/>
        <v>132.84143485997939</v>
      </c>
    </row>
    <row r="435" spans="1:16">
      <c r="A435" s="1">
        <v>431</v>
      </c>
      <c r="B435" s="9">
        <v>39611</v>
      </c>
      <c r="C435" s="6"/>
      <c r="D435" s="12">
        <v>12141.58</v>
      </c>
      <c r="E435" s="6"/>
      <c r="F435" s="13">
        <v>5790.5</v>
      </c>
      <c r="G435" s="10">
        <v>1.9458</v>
      </c>
      <c r="H435" s="15">
        <f t="shared" si="18"/>
        <v>11267.1549</v>
      </c>
      <c r="I435" s="6"/>
      <c r="J435" s="13">
        <v>4672.3</v>
      </c>
      <c r="K435" s="11">
        <v>0.64859999999999995</v>
      </c>
      <c r="L435" s="15">
        <f t="shared" si="19"/>
        <v>7203.6694418748084</v>
      </c>
      <c r="M435" s="6"/>
      <c r="N435" s="13">
        <v>13888.6</v>
      </c>
      <c r="O435" s="11">
        <v>108.03</v>
      </c>
      <c r="P435" s="15">
        <f t="shared" si="20"/>
        <v>128.56243636027031</v>
      </c>
    </row>
    <row r="436" spans="1:16">
      <c r="A436" s="1">
        <v>432</v>
      </c>
      <c r="B436" s="9">
        <v>39612</v>
      </c>
      <c r="C436" s="6"/>
      <c r="D436" s="12">
        <v>12307.35</v>
      </c>
      <c r="E436" s="6"/>
      <c r="F436" s="13">
        <v>5802.8</v>
      </c>
      <c r="G436" s="10">
        <v>1.9446000000000001</v>
      </c>
      <c r="H436" s="15">
        <f t="shared" si="18"/>
        <v>11284.124880000001</v>
      </c>
      <c r="I436" s="6"/>
      <c r="J436" s="13">
        <v>4682.3</v>
      </c>
      <c r="K436" s="11">
        <v>0.65169999999999995</v>
      </c>
      <c r="L436" s="15">
        <f t="shared" si="19"/>
        <v>7184.7475832438249</v>
      </c>
      <c r="M436" s="6"/>
      <c r="N436" s="13">
        <v>13973.73</v>
      </c>
      <c r="O436" s="11">
        <v>108.02</v>
      </c>
      <c r="P436" s="15">
        <f t="shared" si="20"/>
        <v>129.36243288279948</v>
      </c>
    </row>
    <row r="437" spans="1:16">
      <c r="A437" s="1">
        <v>433</v>
      </c>
      <c r="B437" s="9">
        <v>39615</v>
      </c>
      <c r="C437" s="6"/>
      <c r="D437" s="12">
        <v>12269.08</v>
      </c>
      <c r="E437" s="6"/>
      <c r="F437" s="13">
        <v>5794.6</v>
      </c>
      <c r="G437" s="10">
        <v>1.9636</v>
      </c>
      <c r="H437" s="15">
        <f t="shared" si="18"/>
        <v>11378.27656</v>
      </c>
      <c r="I437" s="6"/>
      <c r="J437" s="13">
        <v>4657.74</v>
      </c>
      <c r="K437" s="11">
        <v>0.64680000000000004</v>
      </c>
      <c r="L437" s="15">
        <f t="shared" si="19"/>
        <v>7201.2059369202216</v>
      </c>
      <c r="M437" s="6"/>
      <c r="N437" s="13">
        <v>14354.37</v>
      </c>
      <c r="O437" s="11">
        <v>108.28</v>
      </c>
      <c r="P437" s="15">
        <f t="shared" si="20"/>
        <v>132.56714074621354</v>
      </c>
    </row>
    <row r="438" spans="1:16">
      <c r="A438" s="1">
        <v>434</v>
      </c>
      <c r="B438" s="9">
        <v>39616</v>
      </c>
      <c r="C438" s="6"/>
      <c r="D438" s="12">
        <v>12160.3</v>
      </c>
      <c r="E438" s="6"/>
      <c r="F438" s="13">
        <v>5861.9</v>
      </c>
      <c r="G438" s="10">
        <v>1.9525999999999999</v>
      </c>
      <c r="H438" s="15">
        <f t="shared" si="18"/>
        <v>11445.945939999998</v>
      </c>
      <c r="I438" s="6"/>
      <c r="J438" s="13">
        <v>4686.33</v>
      </c>
      <c r="K438" s="11">
        <v>0.64500000000000002</v>
      </c>
      <c r="L438" s="15">
        <f t="shared" si="19"/>
        <v>7265.6279069767443</v>
      </c>
      <c r="M438" s="6"/>
      <c r="N438" s="13">
        <v>14348.37</v>
      </c>
      <c r="O438" s="11">
        <v>108.14</v>
      </c>
      <c r="P438" s="15">
        <f t="shared" si="20"/>
        <v>132.68328093212503</v>
      </c>
    </row>
    <row r="439" spans="1:16">
      <c r="A439" s="1">
        <v>435</v>
      </c>
      <c r="B439" s="9">
        <v>39617</v>
      </c>
      <c r="C439" s="6"/>
      <c r="D439" s="12">
        <v>12029.06</v>
      </c>
      <c r="E439" s="6"/>
      <c r="F439" s="13">
        <v>5756.9</v>
      </c>
      <c r="G439" s="10">
        <v>1.9583999999999999</v>
      </c>
      <c r="H439" s="15">
        <f t="shared" si="18"/>
        <v>11274.312959999999</v>
      </c>
      <c r="I439" s="6"/>
      <c r="J439" s="13">
        <v>4618.75</v>
      </c>
      <c r="K439" s="11">
        <v>0.64449999999999996</v>
      </c>
      <c r="L439" s="15">
        <f t="shared" si="19"/>
        <v>7166.4080682699769</v>
      </c>
      <c r="M439" s="6"/>
      <c r="N439" s="13">
        <v>14452.82</v>
      </c>
      <c r="O439" s="11">
        <v>107.9</v>
      </c>
      <c r="P439" s="15">
        <f t="shared" si="20"/>
        <v>133.94643188137164</v>
      </c>
    </row>
    <row r="440" spans="1:16">
      <c r="A440" s="1">
        <v>436</v>
      </c>
      <c r="B440" s="9">
        <v>39618</v>
      </c>
      <c r="C440" s="6"/>
      <c r="D440" s="12">
        <v>12063.09</v>
      </c>
      <c r="E440" s="6"/>
      <c r="F440" s="13">
        <v>5708.4</v>
      </c>
      <c r="G440" s="10">
        <v>1.9711000000000001</v>
      </c>
      <c r="H440" s="15">
        <f t="shared" si="18"/>
        <v>11251.827240000001</v>
      </c>
      <c r="I440" s="6"/>
      <c r="J440" s="13">
        <v>4591.3900000000003</v>
      </c>
      <c r="K440" s="11">
        <v>0.64559999999999995</v>
      </c>
      <c r="L440" s="15">
        <f t="shared" si="19"/>
        <v>7111.8184634448589</v>
      </c>
      <c r="M440" s="6"/>
      <c r="N440" s="13">
        <v>14130.17</v>
      </c>
      <c r="O440" s="11">
        <v>107.98</v>
      </c>
      <c r="P440" s="15">
        <f t="shared" si="20"/>
        <v>130.85914058158917</v>
      </c>
    </row>
    <row r="441" spans="1:16">
      <c r="A441" s="1">
        <v>437</v>
      </c>
      <c r="B441" s="9">
        <v>39619</v>
      </c>
      <c r="C441" s="6"/>
      <c r="D441" s="12">
        <v>11842.69</v>
      </c>
      <c r="E441" s="6"/>
      <c r="F441" s="13">
        <v>5620.8</v>
      </c>
      <c r="G441" s="10">
        <v>1.9756</v>
      </c>
      <c r="H441" s="15">
        <f t="shared" si="18"/>
        <v>11104.45248</v>
      </c>
      <c r="I441" s="6"/>
      <c r="J441" s="13">
        <v>4509.2700000000004</v>
      </c>
      <c r="K441" s="11">
        <v>0.63970000000000005</v>
      </c>
      <c r="L441" s="15">
        <f t="shared" si="19"/>
        <v>7049.0386118493043</v>
      </c>
      <c r="M441" s="6"/>
      <c r="N441" s="13">
        <v>13942.08</v>
      </c>
      <c r="O441" s="11">
        <v>107.39</v>
      </c>
      <c r="P441" s="15">
        <f t="shared" si="20"/>
        <v>129.82661327870377</v>
      </c>
    </row>
    <row r="442" spans="1:16">
      <c r="A442" s="1">
        <v>438</v>
      </c>
      <c r="B442" s="9">
        <v>39622</v>
      </c>
      <c r="C442" s="6"/>
      <c r="D442" s="12">
        <v>11842.36</v>
      </c>
      <c r="E442" s="6"/>
      <c r="F442" s="13">
        <v>5667.2</v>
      </c>
      <c r="G442" s="10">
        <v>1.9594</v>
      </c>
      <c r="H442" s="15">
        <f t="shared" si="18"/>
        <v>11104.311680000001</v>
      </c>
      <c r="I442" s="6"/>
      <c r="J442" s="13">
        <v>4511.37</v>
      </c>
      <c r="K442" s="11">
        <v>0.64580000000000004</v>
      </c>
      <c r="L442" s="15">
        <f t="shared" si="19"/>
        <v>6985.7076494270668</v>
      </c>
      <c r="M442" s="6"/>
      <c r="N442" s="13">
        <v>13857.47</v>
      </c>
      <c r="O442" s="11">
        <v>107.92</v>
      </c>
      <c r="P442" s="15">
        <f t="shared" si="20"/>
        <v>128.40502223869532</v>
      </c>
    </row>
    <row r="443" spans="1:16">
      <c r="A443" s="1">
        <v>439</v>
      </c>
      <c r="B443" s="9">
        <v>39623</v>
      </c>
      <c r="C443" s="6"/>
      <c r="D443" s="12">
        <v>11807.43</v>
      </c>
      <c r="E443" s="6"/>
      <c r="F443" s="13">
        <v>5634.7</v>
      </c>
      <c r="G443" s="10">
        <v>1.9711000000000001</v>
      </c>
      <c r="H443" s="15">
        <f t="shared" si="18"/>
        <v>11106.55717</v>
      </c>
      <c r="I443" s="6"/>
      <c r="J443" s="13">
        <v>4473.76</v>
      </c>
      <c r="K443" s="11">
        <v>0.64129999999999998</v>
      </c>
      <c r="L443" s="15">
        <f t="shared" si="19"/>
        <v>6976.0798378294094</v>
      </c>
      <c r="M443" s="6"/>
      <c r="N443" s="13">
        <v>13849.56</v>
      </c>
      <c r="O443" s="11">
        <v>107.71</v>
      </c>
      <c r="P443" s="15">
        <f t="shared" si="20"/>
        <v>128.58193296815523</v>
      </c>
    </row>
    <row r="444" spans="1:16">
      <c r="A444" s="1">
        <v>440</v>
      </c>
      <c r="B444" s="9">
        <v>39624</v>
      </c>
      <c r="C444" s="6"/>
      <c r="D444" s="12">
        <v>11811.83</v>
      </c>
      <c r="E444" s="6"/>
      <c r="F444" s="13">
        <v>5666.1</v>
      </c>
      <c r="G444" s="10">
        <v>1.968</v>
      </c>
      <c r="H444" s="15">
        <f t="shared" si="18"/>
        <v>11150.8848</v>
      </c>
      <c r="I444" s="6"/>
      <c r="J444" s="13">
        <v>4536.29</v>
      </c>
      <c r="K444" s="11">
        <v>0.64249999999999996</v>
      </c>
      <c r="L444" s="15">
        <f t="shared" si="19"/>
        <v>7060.3735408560315</v>
      </c>
      <c r="M444" s="6"/>
      <c r="N444" s="13">
        <v>13829.92</v>
      </c>
      <c r="O444" s="11">
        <v>108.17</v>
      </c>
      <c r="P444" s="15">
        <f t="shared" si="20"/>
        <v>127.85356383470463</v>
      </c>
    </row>
    <row r="445" spans="1:16">
      <c r="A445" s="1">
        <v>441</v>
      </c>
      <c r="B445" s="9">
        <v>39625</v>
      </c>
      <c r="C445" s="6"/>
      <c r="D445" s="12">
        <v>11453.42</v>
      </c>
      <c r="E445" s="6"/>
      <c r="F445" s="13">
        <v>5518.2</v>
      </c>
      <c r="G445" s="10">
        <v>1.9890000000000001</v>
      </c>
      <c r="H445" s="15">
        <f t="shared" si="18"/>
        <v>10975.6998</v>
      </c>
      <c r="I445" s="6"/>
      <c r="J445" s="13">
        <v>4426.1899999999996</v>
      </c>
      <c r="K445" s="11">
        <v>0.63500000000000001</v>
      </c>
      <c r="L445" s="15">
        <f t="shared" si="19"/>
        <v>6970.3779527559045</v>
      </c>
      <c r="M445" s="6"/>
      <c r="N445" s="13">
        <v>13822.32</v>
      </c>
      <c r="O445" s="11">
        <v>107.19</v>
      </c>
      <c r="P445" s="15">
        <f t="shared" si="20"/>
        <v>128.95158130422615</v>
      </c>
    </row>
    <row r="446" spans="1:16">
      <c r="A446" s="1">
        <v>442</v>
      </c>
      <c r="B446" s="9">
        <v>39626</v>
      </c>
      <c r="C446" s="6"/>
      <c r="D446" s="12">
        <v>11346.51</v>
      </c>
      <c r="E446" s="6"/>
      <c r="F446" s="13">
        <v>5529.9</v>
      </c>
      <c r="G446" s="10">
        <v>1.9914000000000001</v>
      </c>
      <c r="H446" s="15">
        <f t="shared" si="18"/>
        <v>11012.24286</v>
      </c>
      <c r="I446" s="6"/>
      <c r="J446" s="13">
        <v>4397.32</v>
      </c>
      <c r="K446" s="11">
        <v>0.63490000000000002</v>
      </c>
      <c r="L446" s="15">
        <f t="shared" si="19"/>
        <v>6926.0040951330911</v>
      </c>
      <c r="M446" s="6"/>
      <c r="N446" s="13">
        <v>13544.36</v>
      </c>
      <c r="O446" s="11">
        <v>106.14</v>
      </c>
      <c r="P446" s="15">
        <f t="shared" si="20"/>
        <v>127.60844168079895</v>
      </c>
    </row>
    <row r="447" spans="1:16">
      <c r="A447" s="1">
        <v>443</v>
      </c>
      <c r="B447" s="9">
        <v>39629</v>
      </c>
      <c r="C447" s="6"/>
      <c r="D447" s="12">
        <v>11350.01</v>
      </c>
      <c r="E447" s="6"/>
      <c r="F447" s="13">
        <v>5625.9</v>
      </c>
      <c r="G447" s="10">
        <v>1.9901</v>
      </c>
      <c r="H447" s="15">
        <f t="shared" si="18"/>
        <v>11196.103589999999</v>
      </c>
      <c r="I447" s="6"/>
      <c r="J447" s="13">
        <v>4434.8500000000004</v>
      </c>
      <c r="K447" s="11">
        <v>0.63470000000000004</v>
      </c>
      <c r="L447" s="15">
        <f t="shared" si="19"/>
        <v>6987.3168426028042</v>
      </c>
      <c r="M447" s="6"/>
      <c r="N447" s="13">
        <v>13481.38</v>
      </c>
      <c r="O447" s="11">
        <v>106.01</v>
      </c>
      <c r="P447" s="15">
        <f t="shared" si="20"/>
        <v>127.17083294028863</v>
      </c>
    </row>
    <row r="448" spans="1:16">
      <c r="A448" s="1">
        <v>444</v>
      </c>
      <c r="B448" s="9">
        <v>39630</v>
      </c>
      <c r="C448" s="6"/>
      <c r="D448" s="12">
        <v>11382.26</v>
      </c>
      <c r="E448" s="6"/>
      <c r="F448" s="13">
        <v>5479.9</v>
      </c>
      <c r="G448" s="10">
        <v>1.9914000000000001</v>
      </c>
      <c r="H448" s="15">
        <f t="shared" si="18"/>
        <v>10912.672859999999</v>
      </c>
      <c r="I448" s="6"/>
      <c r="J448" s="13">
        <v>4341.21</v>
      </c>
      <c r="K448" s="11">
        <v>0.63480000000000003</v>
      </c>
      <c r="L448" s="15">
        <f t="shared" si="19"/>
        <v>6838.7051039697544</v>
      </c>
      <c r="M448" s="6"/>
      <c r="N448" s="13">
        <v>13463.2</v>
      </c>
      <c r="O448" s="11">
        <v>106.01</v>
      </c>
      <c r="P448" s="15">
        <f t="shared" si="20"/>
        <v>126.99933968493538</v>
      </c>
    </row>
    <row r="449" spans="1:16">
      <c r="A449" s="1">
        <v>445</v>
      </c>
      <c r="B449" s="9">
        <v>39631</v>
      </c>
      <c r="C449" s="6"/>
      <c r="D449" s="12">
        <v>11215.51</v>
      </c>
      <c r="E449" s="6"/>
      <c r="F449" s="13">
        <v>5426.3</v>
      </c>
      <c r="G449" s="10">
        <v>1.9922</v>
      </c>
      <c r="H449" s="15">
        <f t="shared" si="18"/>
        <v>10810.27486</v>
      </c>
      <c r="I449" s="6"/>
      <c r="J449" s="13">
        <v>4296.4799999999996</v>
      </c>
      <c r="K449" s="11">
        <v>0.63029999999999997</v>
      </c>
      <c r="L449" s="15">
        <f t="shared" si="19"/>
        <v>6816.5635411708708</v>
      </c>
      <c r="M449" s="6"/>
      <c r="N449" s="13">
        <v>13286.37</v>
      </c>
      <c r="O449" s="11">
        <v>106.11</v>
      </c>
      <c r="P449" s="15">
        <f t="shared" si="20"/>
        <v>125.21317500706814</v>
      </c>
    </row>
    <row r="450" spans="1:16">
      <c r="A450" s="1">
        <v>446</v>
      </c>
      <c r="B450" s="9">
        <v>39632</v>
      </c>
      <c r="C450" s="6"/>
      <c r="D450" s="12">
        <v>11288.53</v>
      </c>
      <c r="E450" s="6"/>
      <c r="F450" s="13">
        <v>5476.6</v>
      </c>
      <c r="G450" s="10">
        <v>1.9826999999999999</v>
      </c>
      <c r="H450" s="15">
        <f t="shared" si="18"/>
        <v>10858.454820000001</v>
      </c>
      <c r="I450" s="6"/>
      <c r="J450" s="13">
        <v>4343.99</v>
      </c>
      <c r="K450" s="11">
        <v>0.63639999999999997</v>
      </c>
      <c r="L450" s="15">
        <f t="shared" si="19"/>
        <v>6825.8799497171594</v>
      </c>
      <c r="M450" s="6"/>
      <c r="N450" s="13">
        <v>13265.4</v>
      </c>
      <c r="O450" s="11">
        <v>106.68</v>
      </c>
      <c r="P450" s="15">
        <f t="shared" si="20"/>
        <v>124.34758155230595</v>
      </c>
    </row>
    <row r="451" spans="1:16">
      <c r="A451" s="1">
        <v>447</v>
      </c>
      <c r="B451" s="9">
        <v>39636</v>
      </c>
      <c r="C451" s="6"/>
      <c r="D451" s="12">
        <v>11231.96</v>
      </c>
      <c r="E451" s="6"/>
      <c r="F451" s="13">
        <v>5512.7</v>
      </c>
      <c r="G451" s="10">
        <v>1.9695</v>
      </c>
      <c r="H451" s="15">
        <f t="shared" si="18"/>
        <v>10857.262650000001</v>
      </c>
      <c r="I451" s="6"/>
      <c r="J451" s="13">
        <v>4342.59</v>
      </c>
      <c r="K451" s="11">
        <v>0.63839999999999997</v>
      </c>
      <c r="L451" s="15">
        <f t="shared" si="19"/>
        <v>6802.3026315789475</v>
      </c>
      <c r="M451" s="6"/>
      <c r="N451" s="13">
        <v>13360.04</v>
      </c>
      <c r="O451" s="11">
        <v>107.52</v>
      </c>
      <c r="P451" s="15">
        <f t="shared" si="20"/>
        <v>124.25632440476191</v>
      </c>
    </row>
    <row r="452" spans="1:16">
      <c r="A452" s="1">
        <v>448</v>
      </c>
      <c r="B452" s="9">
        <v>39637</v>
      </c>
      <c r="C452" s="6"/>
      <c r="D452" s="12">
        <v>11384.21</v>
      </c>
      <c r="E452" s="6"/>
      <c r="F452" s="13">
        <v>5440.5</v>
      </c>
      <c r="G452" s="10">
        <v>1.9718</v>
      </c>
      <c r="H452" s="15">
        <f t="shared" si="18"/>
        <v>10727.5779</v>
      </c>
      <c r="I452" s="6"/>
      <c r="J452" s="13">
        <v>4275.6099999999997</v>
      </c>
      <c r="K452" s="11">
        <v>0.63780000000000003</v>
      </c>
      <c r="L452" s="15">
        <f t="shared" si="19"/>
        <v>6703.6845406083403</v>
      </c>
      <c r="M452" s="6"/>
      <c r="N452" s="13">
        <v>13033.1</v>
      </c>
      <c r="O452" s="11">
        <v>107.21</v>
      </c>
      <c r="P452" s="15">
        <f t="shared" si="20"/>
        <v>121.56608525324131</v>
      </c>
    </row>
    <row r="453" spans="1:16">
      <c r="A453" s="1">
        <v>449</v>
      </c>
      <c r="B453" s="9">
        <v>39638</v>
      </c>
      <c r="C453" s="6"/>
      <c r="D453" s="12">
        <v>11147.44</v>
      </c>
      <c r="E453" s="6"/>
      <c r="F453" s="13">
        <v>5529.6</v>
      </c>
      <c r="G453" s="10">
        <v>1.9785999999999999</v>
      </c>
      <c r="H453" s="15">
        <f t="shared" ref="H453:H504" si="21">F453*G453</f>
        <v>10940.86656</v>
      </c>
      <c r="I453" s="6"/>
      <c r="J453" s="13">
        <v>4339.66</v>
      </c>
      <c r="K453" s="11">
        <v>0.63560000000000005</v>
      </c>
      <c r="L453" s="15">
        <f t="shared" ref="L453:L504" si="22">J453/K453</f>
        <v>6827.6589049716795</v>
      </c>
      <c r="M453" s="6"/>
      <c r="N453" s="13">
        <v>13052.13</v>
      </c>
      <c r="O453" s="11">
        <v>107.12</v>
      </c>
      <c r="P453" s="15">
        <f t="shared" ref="P453:P504" si="23">N453/O453</f>
        <v>121.84587378640775</v>
      </c>
    </row>
    <row r="454" spans="1:16">
      <c r="A454" s="1">
        <v>450</v>
      </c>
      <c r="B454" s="9">
        <v>39639</v>
      </c>
      <c r="C454" s="6"/>
      <c r="D454" s="12">
        <v>11229.02</v>
      </c>
      <c r="E454" s="6"/>
      <c r="F454" s="13">
        <v>5406.8</v>
      </c>
      <c r="G454" s="10">
        <v>1.978</v>
      </c>
      <c r="H454" s="15">
        <f t="shared" si="21"/>
        <v>10694.6504</v>
      </c>
      <c r="I454" s="6"/>
      <c r="J454" s="13">
        <v>4231.5600000000004</v>
      </c>
      <c r="K454" s="11">
        <v>0.63319999999999999</v>
      </c>
      <c r="L454" s="15">
        <f t="shared" si="22"/>
        <v>6682.8174352495271</v>
      </c>
      <c r="M454" s="6"/>
      <c r="N454" s="13">
        <v>13067.21</v>
      </c>
      <c r="O454" s="11">
        <v>106.89</v>
      </c>
      <c r="P454" s="15">
        <f t="shared" si="23"/>
        <v>122.24913462438019</v>
      </c>
    </row>
    <row r="455" spans="1:16">
      <c r="A455" s="1">
        <v>451</v>
      </c>
      <c r="B455" s="9">
        <v>39640</v>
      </c>
      <c r="C455" s="6"/>
      <c r="D455" s="12">
        <v>11100.54</v>
      </c>
      <c r="E455" s="6"/>
      <c r="F455" s="13">
        <v>5261.6</v>
      </c>
      <c r="G455" s="10">
        <v>1.9883999999999999</v>
      </c>
      <c r="H455" s="15">
        <f t="shared" si="21"/>
        <v>10462.165440000001</v>
      </c>
      <c r="I455" s="6"/>
      <c r="J455" s="13">
        <v>4100.6400000000003</v>
      </c>
      <c r="K455" s="11">
        <v>0.62860000000000005</v>
      </c>
      <c r="L455" s="15">
        <f t="shared" si="22"/>
        <v>6523.4489341393573</v>
      </c>
      <c r="M455" s="6"/>
      <c r="N455" s="13">
        <v>13039.69</v>
      </c>
      <c r="O455" s="11">
        <v>106.04</v>
      </c>
      <c r="P455" s="15">
        <f t="shared" si="23"/>
        <v>122.96953979630328</v>
      </c>
    </row>
    <row r="456" spans="1:16">
      <c r="A456" s="1">
        <v>452</v>
      </c>
      <c r="B456" s="9">
        <v>39643</v>
      </c>
      <c r="C456" s="6"/>
      <c r="D456" s="12">
        <v>11055.19</v>
      </c>
      <c r="E456" s="6"/>
      <c r="F456" s="13">
        <v>5300.4</v>
      </c>
      <c r="G456" s="10">
        <v>1.9918</v>
      </c>
      <c r="H456" s="15">
        <f t="shared" si="21"/>
        <v>10557.336719999999</v>
      </c>
      <c r="I456" s="6"/>
      <c r="J456" s="13">
        <v>4142.53</v>
      </c>
      <c r="K456" s="11">
        <v>0.62909999999999999</v>
      </c>
      <c r="L456" s="15">
        <f t="shared" si="22"/>
        <v>6584.8513749801305</v>
      </c>
      <c r="M456" s="6"/>
      <c r="N456" s="13">
        <v>13010.16</v>
      </c>
      <c r="O456" s="11">
        <v>106.45</v>
      </c>
      <c r="P456" s="15">
        <f t="shared" si="23"/>
        <v>122.21850634100517</v>
      </c>
    </row>
    <row r="457" spans="1:16">
      <c r="A457" s="1">
        <v>453</v>
      </c>
      <c r="B457" s="9">
        <v>39644</v>
      </c>
      <c r="C457" s="6"/>
      <c r="D457" s="12">
        <v>10962.54</v>
      </c>
      <c r="E457" s="6"/>
      <c r="F457" s="13">
        <v>5171.8999999999996</v>
      </c>
      <c r="G457" s="10">
        <v>2.0049000000000001</v>
      </c>
      <c r="H457" s="15">
        <f t="shared" si="21"/>
        <v>10369.142309999999</v>
      </c>
      <c r="I457" s="6"/>
      <c r="J457" s="13">
        <v>4061.15</v>
      </c>
      <c r="K457" s="11">
        <v>0.62609999999999999</v>
      </c>
      <c r="L457" s="15">
        <f t="shared" si="22"/>
        <v>6486.4238939466541</v>
      </c>
      <c r="M457" s="6"/>
      <c r="N457" s="13">
        <v>12754.56</v>
      </c>
      <c r="O457" s="11">
        <v>104.37</v>
      </c>
      <c r="P457" s="15">
        <f t="shared" si="23"/>
        <v>122.20523138832996</v>
      </c>
    </row>
    <row r="458" spans="1:16">
      <c r="A458" s="1">
        <v>454</v>
      </c>
      <c r="B458" s="9">
        <v>39645</v>
      </c>
      <c r="C458" s="6"/>
      <c r="D458" s="12">
        <v>11239.28</v>
      </c>
      <c r="E458" s="6"/>
      <c r="F458" s="13">
        <v>5150.6000000000004</v>
      </c>
      <c r="G458" s="10">
        <v>1.9963</v>
      </c>
      <c r="H458" s="15">
        <f t="shared" si="21"/>
        <v>10282.14278</v>
      </c>
      <c r="I458" s="6"/>
      <c r="J458" s="13">
        <v>4112.45</v>
      </c>
      <c r="K458" s="11">
        <v>0.6321</v>
      </c>
      <c r="L458" s="15">
        <f t="shared" si="22"/>
        <v>6506.0117070083843</v>
      </c>
      <c r="M458" s="6"/>
      <c r="N458" s="13">
        <v>12760.8</v>
      </c>
      <c r="O458" s="11">
        <v>104.81</v>
      </c>
      <c r="P458" s="15">
        <f t="shared" si="23"/>
        <v>121.7517412460643</v>
      </c>
    </row>
    <row r="459" spans="1:16">
      <c r="A459" s="1">
        <v>455</v>
      </c>
      <c r="B459" s="9">
        <v>39646</v>
      </c>
      <c r="C459" s="6"/>
      <c r="D459" s="12">
        <v>11446.66</v>
      </c>
      <c r="E459" s="6"/>
      <c r="F459" s="13">
        <v>5286.3</v>
      </c>
      <c r="G459" s="10">
        <v>2.0068999999999999</v>
      </c>
      <c r="H459" s="15">
        <f t="shared" si="21"/>
        <v>10609.07547</v>
      </c>
      <c r="I459" s="6"/>
      <c r="J459" s="13">
        <v>4225.99</v>
      </c>
      <c r="K459" s="11">
        <v>0.62960000000000005</v>
      </c>
      <c r="L459" s="15">
        <f t="shared" si="22"/>
        <v>6712.1823379923753</v>
      </c>
      <c r="M459" s="6"/>
      <c r="N459" s="13">
        <v>12887.95</v>
      </c>
      <c r="O459" s="11">
        <v>105.61</v>
      </c>
      <c r="P459" s="15">
        <f t="shared" si="23"/>
        <v>122.03342486506961</v>
      </c>
    </row>
    <row r="460" spans="1:16">
      <c r="A460" s="1">
        <v>456</v>
      </c>
      <c r="B460" s="9">
        <v>39647</v>
      </c>
      <c r="C460" s="6"/>
      <c r="D460" s="12">
        <v>11496.57</v>
      </c>
      <c r="E460" s="6"/>
      <c r="F460" s="13">
        <v>5376.4</v>
      </c>
      <c r="G460" s="10">
        <v>1.9963</v>
      </c>
      <c r="H460" s="15">
        <f t="shared" si="21"/>
        <v>10732.907319999998</v>
      </c>
      <c r="I460" s="6"/>
      <c r="J460" s="13">
        <v>4299.3599999999997</v>
      </c>
      <c r="K460" s="11">
        <v>0.63080000000000003</v>
      </c>
      <c r="L460" s="15">
        <f t="shared" si="22"/>
        <v>6815.7260621433097</v>
      </c>
      <c r="M460" s="6"/>
      <c r="N460" s="13">
        <v>12803.7</v>
      </c>
      <c r="O460" s="11">
        <v>106.73</v>
      </c>
      <c r="P460" s="15">
        <f t="shared" si="23"/>
        <v>119.96345919610232</v>
      </c>
    </row>
    <row r="461" spans="1:16">
      <c r="A461" s="1">
        <v>457</v>
      </c>
      <c r="B461" s="9">
        <v>39651</v>
      </c>
      <c r="C461" s="6"/>
      <c r="D461" s="12">
        <v>11602.5</v>
      </c>
      <c r="E461" s="6"/>
      <c r="F461" s="13">
        <v>5364.1</v>
      </c>
      <c r="G461" s="10">
        <v>1.9965999999999999</v>
      </c>
      <c r="H461" s="15">
        <f t="shared" si="21"/>
        <v>10709.96206</v>
      </c>
      <c r="I461" s="6"/>
      <c r="J461" s="13">
        <v>4327.26</v>
      </c>
      <c r="K461" s="11">
        <v>0.63149999999999995</v>
      </c>
      <c r="L461" s="15">
        <f t="shared" si="22"/>
        <v>6852.3515439429939</v>
      </c>
      <c r="M461" s="6"/>
      <c r="N461" s="13">
        <v>13184.96</v>
      </c>
      <c r="O461" s="11">
        <v>106.89</v>
      </c>
      <c r="P461" s="15">
        <f t="shared" si="23"/>
        <v>123.35073439985031</v>
      </c>
    </row>
    <row r="462" spans="1:16">
      <c r="A462" s="1">
        <v>458</v>
      </c>
      <c r="B462" s="9">
        <v>39652</v>
      </c>
      <c r="C462" s="6"/>
      <c r="D462" s="12">
        <v>11632.38</v>
      </c>
      <c r="E462" s="6"/>
      <c r="F462" s="13">
        <v>5449.9</v>
      </c>
      <c r="G462" s="10">
        <v>1.9966999999999999</v>
      </c>
      <c r="H462" s="15">
        <f t="shared" si="21"/>
        <v>10881.815329999999</v>
      </c>
      <c r="I462" s="6"/>
      <c r="J462" s="13">
        <v>4408.74</v>
      </c>
      <c r="K462" s="11">
        <v>0.6371</v>
      </c>
      <c r="L462" s="15">
        <f t="shared" si="22"/>
        <v>6920.0125568984458</v>
      </c>
      <c r="M462" s="6"/>
      <c r="N462" s="13">
        <v>13312.93</v>
      </c>
      <c r="O462" s="11">
        <v>107.83</v>
      </c>
      <c r="P462" s="15">
        <f t="shared" si="23"/>
        <v>123.46220903273672</v>
      </c>
    </row>
    <row r="463" spans="1:16">
      <c r="A463" s="1">
        <v>459</v>
      </c>
      <c r="B463" s="9">
        <v>39653</v>
      </c>
      <c r="C463" s="6"/>
      <c r="D463" s="12">
        <v>11349.28</v>
      </c>
      <c r="E463" s="6"/>
      <c r="F463" s="13">
        <v>5362.3</v>
      </c>
      <c r="G463" s="10">
        <v>1.9829000000000001</v>
      </c>
      <c r="H463" s="15">
        <f t="shared" si="21"/>
        <v>10632.904670000002</v>
      </c>
      <c r="I463" s="6"/>
      <c r="J463" s="13">
        <v>4347.99</v>
      </c>
      <c r="K463" s="11">
        <v>0.6381</v>
      </c>
      <c r="L463" s="15">
        <f t="shared" si="22"/>
        <v>6813.9633286318758</v>
      </c>
      <c r="M463" s="6"/>
      <c r="N463" s="13">
        <v>13603.31</v>
      </c>
      <c r="O463" s="11">
        <v>107.63</v>
      </c>
      <c r="P463" s="15">
        <f t="shared" si="23"/>
        <v>126.38957539719409</v>
      </c>
    </row>
    <row r="464" spans="1:16">
      <c r="A464" s="1">
        <v>460</v>
      </c>
      <c r="B464" s="9">
        <v>39654</v>
      </c>
      <c r="C464" s="6"/>
      <c r="D464" s="12">
        <v>11370.69</v>
      </c>
      <c r="E464" s="6"/>
      <c r="F464" s="13">
        <v>5352.6</v>
      </c>
      <c r="G464" s="10">
        <v>1.9874000000000001</v>
      </c>
      <c r="H464" s="15">
        <f t="shared" si="21"/>
        <v>10637.757240000001</v>
      </c>
      <c r="I464" s="6"/>
      <c r="J464" s="13">
        <v>4377.18</v>
      </c>
      <c r="K464" s="11">
        <v>0.6381</v>
      </c>
      <c r="L464" s="15">
        <f t="shared" si="22"/>
        <v>6859.7085096379878</v>
      </c>
      <c r="M464" s="6"/>
      <c r="N464" s="13">
        <v>13334.76</v>
      </c>
      <c r="O464" s="11">
        <v>107.9</v>
      </c>
      <c r="P464" s="15">
        <f t="shared" si="23"/>
        <v>123.58443002780352</v>
      </c>
    </row>
    <row r="465" spans="1:16">
      <c r="A465" s="1">
        <v>461</v>
      </c>
      <c r="B465" s="9">
        <v>39657</v>
      </c>
      <c r="C465" s="6"/>
      <c r="D465" s="12">
        <v>11131.08</v>
      </c>
      <c r="E465" s="6"/>
      <c r="F465" s="13">
        <v>5312.6</v>
      </c>
      <c r="G465" s="10">
        <v>1.9912000000000001</v>
      </c>
      <c r="H465" s="15">
        <f t="shared" si="21"/>
        <v>10578.449120000001</v>
      </c>
      <c r="I465" s="6"/>
      <c r="J465" s="13">
        <v>4324.45</v>
      </c>
      <c r="K465" s="11">
        <v>0.63539999999999996</v>
      </c>
      <c r="L465" s="15">
        <f t="shared" si="22"/>
        <v>6805.8703179099784</v>
      </c>
      <c r="M465" s="6"/>
      <c r="N465" s="13">
        <v>13353.78</v>
      </c>
      <c r="O465" s="11">
        <v>107.62</v>
      </c>
      <c r="P465" s="15">
        <f t="shared" si="23"/>
        <v>124.08269838320015</v>
      </c>
    </row>
    <row r="466" spans="1:16">
      <c r="A466" s="1">
        <v>462</v>
      </c>
      <c r="B466" s="9">
        <v>39658</v>
      </c>
      <c r="C466" s="6"/>
      <c r="D466" s="12">
        <v>11397.56</v>
      </c>
      <c r="E466" s="6"/>
      <c r="F466" s="13">
        <v>5319.2</v>
      </c>
      <c r="G466" s="10">
        <v>1.9807999999999999</v>
      </c>
      <c r="H466" s="15">
        <f t="shared" si="21"/>
        <v>10536.271359999999</v>
      </c>
      <c r="I466" s="6"/>
      <c r="J466" s="13">
        <v>4320.49</v>
      </c>
      <c r="K466" s="11">
        <v>0.64119999999999999</v>
      </c>
      <c r="L466" s="15">
        <f t="shared" si="22"/>
        <v>6738.1316281971303</v>
      </c>
      <c r="M466" s="6"/>
      <c r="N466" s="13">
        <v>13159.45</v>
      </c>
      <c r="O466" s="11">
        <v>108.19</v>
      </c>
      <c r="P466" s="15">
        <f t="shared" si="23"/>
        <v>121.63277567242814</v>
      </c>
    </row>
    <row r="467" spans="1:16">
      <c r="A467" s="1">
        <v>463</v>
      </c>
      <c r="B467" s="9">
        <v>39659</v>
      </c>
      <c r="C467" s="6"/>
      <c r="D467" s="12">
        <v>11583.69</v>
      </c>
      <c r="E467" s="6"/>
      <c r="F467" s="13">
        <v>5420.7</v>
      </c>
      <c r="G467" s="10">
        <v>1.9793000000000001</v>
      </c>
      <c r="H467" s="15">
        <f t="shared" si="21"/>
        <v>10729.191510000001</v>
      </c>
      <c r="I467" s="6"/>
      <c r="J467" s="13">
        <v>4400.55</v>
      </c>
      <c r="K467" s="11">
        <v>0.64270000000000005</v>
      </c>
      <c r="L467" s="15">
        <f t="shared" si="22"/>
        <v>6846.973704683367</v>
      </c>
      <c r="M467" s="6"/>
      <c r="N467" s="13">
        <v>13367.79</v>
      </c>
      <c r="O467" s="11">
        <v>108.2</v>
      </c>
      <c r="P467" s="15">
        <f t="shared" si="23"/>
        <v>123.54704251386322</v>
      </c>
    </row>
    <row r="468" spans="1:16">
      <c r="A468" s="1">
        <v>464</v>
      </c>
      <c r="B468" s="9">
        <v>39660</v>
      </c>
      <c r="C468" s="6"/>
      <c r="D468" s="12">
        <v>11378.02</v>
      </c>
      <c r="E468" s="6"/>
      <c r="F468" s="13">
        <v>5411.9</v>
      </c>
      <c r="G468" s="10">
        <v>1.9810000000000001</v>
      </c>
      <c r="H468" s="15">
        <f t="shared" si="21"/>
        <v>10720.973899999999</v>
      </c>
      <c r="I468" s="6"/>
      <c r="J468" s="13">
        <v>4392.3599999999997</v>
      </c>
      <c r="K468" s="11">
        <v>0.64090000000000003</v>
      </c>
      <c r="L468" s="15">
        <f t="shared" si="22"/>
        <v>6853.4248712747694</v>
      </c>
      <c r="M468" s="6"/>
      <c r="N468" s="13">
        <v>13376.81</v>
      </c>
      <c r="O468" s="11">
        <v>108.07</v>
      </c>
      <c r="P468" s="15">
        <f t="shared" si="23"/>
        <v>123.77912464143611</v>
      </c>
    </row>
    <row r="469" spans="1:16">
      <c r="A469" s="1">
        <v>465</v>
      </c>
      <c r="B469" s="9">
        <v>39661</v>
      </c>
      <c r="C469" s="6"/>
      <c r="D469" s="12">
        <v>11326.32</v>
      </c>
      <c r="E469" s="6"/>
      <c r="F469" s="13">
        <v>5354.7</v>
      </c>
      <c r="G469" s="10">
        <v>1.9739</v>
      </c>
      <c r="H469" s="15">
        <f t="shared" si="21"/>
        <v>10569.642329999999</v>
      </c>
      <c r="I469" s="6"/>
      <c r="J469" s="13">
        <v>4314.34</v>
      </c>
      <c r="K469" s="11">
        <v>0.64249999999999996</v>
      </c>
      <c r="L469" s="15">
        <f t="shared" si="22"/>
        <v>6714.9260700389113</v>
      </c>
      <c r="M469" s="6"/>
      <c r="N469" s="13">
        <v>13094.59</v>
      </c>
      <c r="O469" s="11">
        <v>107.53</v>
      </c>
      <c r="P469" s="15">
        <f t="shared" si="23"/>
        <v>121.77615549149074</v>
      </c>
    </row>
    <row r="470" spans="1:16">
      <c r="A470" s="1">
        <v>466</v>
      </c>
      <c r="B470" s="9">
        <v>39664</v>
      </c>
      <c r="C470" s="6"/>
      <c r="D470" s="12">
        <v>11284.15</v>
      </c>
      <c r="E470" s="6"/>
      <c r="F470" s="13">
        <v>5320.2</v>
      </c>
      <c r="G470" s="10">
        <v>1.9657</v>
      </c>
      <c r="H470" s="15">
        <f t="shared" si="21"/>
        <v>10457.91714</v>
      </c>
      <c r="I470" s="6"/>
      <c r="J470" s="13">
        <v>4280.63</v>
      </c>
      <c r="K470" s="11">
        <v>0.64059999999999995</v>
      </c>
      <c r="L470" s="15">
        <f t="shared" si="22"/>
        <v>6682.219793943179</v>
      </c>
      <c r="M470" s="6"/>
      <c r="N470" s="13">
        <v>12933.18</v>
      </c>
      <c r="O470" s="11">
        <v>107.98</v>
      </c>
      <c r="P470" s="15">
        <f t="shared" si="23"/>
        <v>119.77384700870532</v>
      </c>
    </row>
    <row r="471" spans="1:16">
      <c r="A471" s="1">
        <v>467</v>
      </c>
      <c r="B471" s="9">
        <v>39665</v>
      </c>
      <c r="C471" s="6"/>
      <c r="D471" s="12">
        <v>11615.77</v>
      </c>
      <c r="E471" s="6"/>
      <c r="F471" s="13">
        <v>5454.5</v>
      </c>
      <c r="G471" s="10">
        <v>1.9550000000000001</v>
      </c>
      <c r="H471" s="15">
        <f t="shared" si="21"/>
        <v>10663.547500000001</v>
      </c>
      <c r="I471" s="6"/>
      <c r="J471" s="13">
        <v>4386.3500000000004</v>
      </c>
      <c r="K471" s="11">
        <v>0.64570000000000005</v>
      </c>
      <c r="L471" s="15">
        <f t="shared" si="22"/>
        <v>6793.1702028805948</v>
      </c>
      <c r="M471" s="6"/>
      <c r="N471" s="13">
        <v>12914.66</v>
      </c>
      <c r="O471" s="11">
        <v>108.05</v>
      </c>
      <c r="P471" s="15">
        <f t="shared" si="23"/>
        <v>119.52484960666358</v>
      </c>
    </row>
    <row r="472" spans="1:16">
      <c r="A472" s="1">
        <v>468</v>
      </c>
      <c r="B472" s="9">
        <v>39666</v>
      </c>
      <c r="C472" s="6"/>
      <c r="D472" s="12">
        <v>11656.07</v>
      </c>
      <c r="E472" s="6"/>
      <c r="F472" s="13">
        <v>5486.1</v>
      </c>
      <c r="G472" s="10">
        <v>1.9508000000000001</v>
      </c>
      <c r="H472" s="15">
        <f t="shared" si="21"/>
        <v>10702.283880000001</v>
      </c>
      <c r="I472" s="6"/>
      <c r="J472" s="13">
        <v>4448.33</v>
      </c>
      <c r="K472" s="11">
        <v>0.64849999999999997</v>
      </c>
      <c r="L472" s="15">
        <f t="shared" si="22"/>
        <v>6859.4140323824213</v>
      </c>
      <c r="M472" s="6"/>
      <c r="N472" s="13">
        <v>13254.89</v>
      </c>
      <c r="O472" s="11">
        <v>109.14</v>
      </c>
      <c r="P472" s="15">
        <f t="shared" si="23"/>
        <v>121.44850650540589</v>
      </c>
    </row>
    <row r="473" spans="1:16">
      <c r="A473" s="1">
        <v>469</v>
      </c>
      <c r="B473" s="9">
        <v>39667</v>
      </c>
      <c r="C473" s="6"/>
      <c r="D473" s="12">
        <v>11431.43</v>
      </c>
      <c r="E473" s="6"/>
      <c r="F473" s="13">
        <v>5477.5</v>
      </c>
      <c r="G473" s="10">
        <v>1.9443999999999999</v>
      </c>
      <c r="H473" s="15">
        <f t="shared" si="21"/>
        <v>10650.450999999999</v>
      </c>
      <c r="I473" s="6"/>
      <c r="J473" s="13">
        <v>4457.43</v>
      </c>
      <c r="K473" s="11">
        <v>0.65039999999999998</v>
      </c>
      <c r="L473" s="15">
        <f t="shared" si="22"/>
        <v>6853.3671586715873</v>
      </c>
      <c r="M473" s="6"/>
      <c r="N473" s="13">
        <v>13124.99</v>
      </c>
      <c r="O473" s="11">
        <v>109.59</v>
      </c>
      <c r="P473" s="15">
        <f t="shared" si="23"/>
        <v>119.76448581074915</v>
      </c>
    </row>
    <row r="474" spans="1:16">
      <c r="A474" s="1">
        <v>470</v>
      </c>
      <c r="B474" s="9">
        <v>39668</v>
      </c>
      <c r="C474" s="6"/>
      <c r="D474" s="12">
        <v>11734.32</v>
      </c>
      <c r="E474" s="6"/>
      <c r="F474" s="13">
        <v>5489.2</v>
      </c>
      <c r="G474" s="10">
        <v>1.9158999999999999</v>
      </c>
      <c r="H474" s="15">
        <f t="shared" si="21"/>
        <v>10516.75828</v>
      </c>
      <c r="I474" s="6"/>
      <c r="J474" s="13">
        <v>4491.8500000000004</v>
      </c>
      <c r="K474" s="11">
        <v>0.6653</v>
      </c>
      <c r="L474" s="15">
        <f t="shared" si="22"/>
        <v>6751.6158124154526</v>
      </c>
      <c r="M474" s="6"/>
      <c r="N474" s="13">
        <v>13168.41</v>
      </c>
      <c r="O474" s="11">
        <v>110.18</v>
      </c>
      <c r="P474" s="15">
        <f t="shared" si="23"/>
        <v>119.51724450898529</v>
      </c>
    </row>
    <row r="475" spans="1:16">
      <c r="A475" s="1">
        <v>471</v>
      </c>
      <c r="B475" s="9">
        <v>39671</v>
      </c>
      <c r="C475" s="6"/>
      <c r="D475" s="12">
        <v>11782.35</v>
      </c>
      <c r="E475" s="6"/>
      <c r="F475" s="13">
        <v>5541.8</v>
      </c>
      <c r="G475" s="10">
        <v>1.9176</v>
      </c>
      <c r="H475" s="15">
        <f t="shared" si="21"/>
        <v>10626.955680000001</v>
      </c>
      <c r="I475" s="6"/>
      <c r="J475" s="13">
        <v>4538.49</v>
      </c>
      <c r="K475" s="11">
        <v>0.66669999999999996</v>
      </c>
      <c r="L475" s="15">
        <f t="shared" si="22"/>
        <v>6807.3946302684863</v>
      </c>
      <c r="M475" s="6"/>
      <c r="N475" s="13">
        <v>13430.91</v>
      </c>
      <c r="O475" s="11">
        <v>109.9</v>
      </c>
      <c r="P475" s="15">
        <f t="shared" si="23"/>
        <v>122.21028207461327</v>
      </c>
    </row>
    <row r="476" spans="1:16">
      <c r="A476" s="1">
        <v>472</v>
      </c>
      <c r="B476" s="9">
        <v>39672</v>
      </c>
      <c r="C476" s="6"/>
      <c r="D476" s="12">
        <v>11642.47</v>
      </c>
      <c r="E476" s="6"/>
      <c r="F476" s="13">
        <v>5534.5</v>
      </c>
      <c r="G476" s="10">
        <v>1.9013</v>
      </c>
      <c r="H476" s="15">
        <f t="shared" si="21"/>
        <v>10522.744849999999</v>
      </c>
      <c r="I476" s="6"/>
      <c r="J476" s="13">
        <v>4518.4799999999996</v>
      </c>
      <c r="K476" s="11">
        <v>0.67069999999999996</v>
      </c>
      <c r="L476" s="15">
        <f t="shared" si="22"/>
        <v>6736.9613836290437</v>
      </c>
      <c r="M476" s="6"/>
      <c r="N476" s="13">
        <v>13303.6</v>
      </c>
      <c r="O476" s="11">
        <v>109.73</v>
      </c>
      <c r="P476" s="15">
        <f t="shared" si="23"/>
        <v>121.23940581427139</v>
      </c>
    </row>
    <row r="477" spans="1:16">
      <c r="A477" s="1">
        <v>473</v>
      </c>
      <c r="B477" s="9">
        <v>39673</v>
      </c>
      <c r="C477" s="6"/>
      <c r="D477" s="12">
        <v>11532.96</v>
      </c>
      <c r="E477" s="6"/>
      <c r="F477" s="13">
        <v>5448.6</v>
      </c>
      <c r="G477" s="10">
        <v>1.8651</v>
      </c>
      <c r="H477" s="15">
        <f t="shared" si="21"/>
        <v>10162.183860000001</v>
      </c>
      <c r="I477" s="6"/>
      <c r="J477" s="13">
        <v>4402.97</v>
      </c>
      <c r="K477" s="11">
        <v>0.67259999999999998</v>
      </c>
      <c r="L477" s="15">
        <f t="shared" si="22"/>
        <v>6546.1938745168009</v>
      </c>
      <c r="M477" s="6"/>
      <c r="N477" s="13">
        <v>13023.05</v>
      </c>
      <c r="O477" s="11">
        <v>108.64</v>
      </c>
      <c r="P477" s="15">
        <f t="shared" si="23"/>
        <v>119.8734351988218</v>
      </c>
    </row>
    <row r="478" spans="1:16">
      <c r="A478" s="1">
        <v>474</v>
      </c>
      <c r="B478" s="9">
        <v>39674</v>
      </c>
      <c r="C478" s="6"/>
      <c r="D478" s="12">
        <v>11615.93</v>
      </c>
      <c r="E478" s="6"/>
      <c r="F478" s="13">
        <v>5497.4</v>
      </c>
      <c r="G478" s="10">
        <v>1.8752</v>
      </c>
      <c r="H478" s="15">
        <f t="shared" si="21"/>
        <v>10308.724479999999</v>
      </c>
      <c r="I478" s="6"/>
      <c r="J478" s="13">
        <v>4420.91</v>
      </c>
      <c r="K478" s="11">
        <v>0.67130000000000001</v>
      </c>
      <c r="L478" s="15">
        <f t="shared" si="22"/>
        <v>6585.595113957992</v>
      </c>
      <c r="M478" s="6"/>
      <c r="N478" s="13">
        <v>12956.8</v>
      </c>
      <c r="O478" s="11">
        <v>109.58</v>
      </c>
      <c r="P478" s="15">
        <f t="shared" si="23"/>
        <v>118.24055484577477</v>
      </c>
    </row>
    <row r="479" spans="1:16">
      <c r="A479" s="1">
        <v>475</v>
      </c>
      <c r="B479" s="9">
        <v>39675</v>
      </c>
      <c r="C479" s="6"/>
      <c r="D479" s="12">
        <v>11659.9</v>
      </c>
      <c r="E479" s="6"/>
      <c r="F479" s="13">
        <v>5454.8</v>
      </c>
      <c r="G479" s="10">
        <v>1.8632</v>
      </c>
      <c r="H479" s="15">
        <f t="shared" si="21"/>
        <v>10163.38336</v>
      </c>
      <c r="I479" s="6"/>
      <c r="J479" s="13">
        <v>4453.62</v>
      </c>
      <c r="K479" s="11">
        <v>0.68089999999999995</v>
      </c>
      <c r="L479" s="15">
        <f t="shared" si="22"/>
        <v>6540.7842561315911</v>
      </c>
      <c r="M479" s="6"/>
      <c r="N479" s="13">
        <v>13019.41</v>
      </c>
      <c r="O479" s="11">
        <v>110.45</v>
      </c>
      <c r="P479" s="15">
        <f t="shared" si="23"/>
        <v>117.87605251244906</v>
      </c>
    </row>
    <row r="480" spans="1:16">
      <c r="A480" s="1">
        <v>476</v>
      </c>
      <c r="B480" s="9">
        <v>39678</v>
      </c>
      <c r="C480" s="6"/>
      <c r="D480" s="12">
        <v>11479.39</v>
      </c>
      <c r="E480" s="6"/>
      <c r="F480" s="13">
        <v>5450.2</v>
      </c>
      <c r="G480" s="10">
        <v>1.8657999999999999</v>
      </c>
      <c r="H480" s="15">
        <f t="shared" si="21"/>
        <v>10168.98316</v>
      </c>
      <c r="I480" s="6"/>
      <c r="J480" s="13">
        <v>4448.84</v>
      </c>
      <c r="K480" s="11">
        <v>0.68010000000000004</v>
      </c>
      <c r="L480" s="15">
        <f t="shared" si="22"/>
        <v>6541.449786796059</v>
      </c>
      <c r="M480" s="6"/>
      <c r="N480" s="13">
        <v>13165.45</v>
      </c>
      <c r="O480" s="11">
        <v>110.27</v>
      </c>
      <c r="P480" s="15">
        <f t="shared" si="23"/>
        <v>119.39285390405369</v>
      </c>
    </row>
    <row r="481" spans="1:16">
      <c r="A481" s="1">
        <v>477</v>
      </c>
      <c r="B481" s="9">
        <v>39679</v>
      </c>
      <c r="C481" s="6"/>
      <c r="D481" s="12">
        <v>11348.55</v>
      </c>
      <c r="E481" s="6"/>
      <c r="F481" s="13">
        <v>5320.4</v>
      </c>
      <c r="G481" s="10">
        <v>1.8621000000000001</v>
      </c>
      <c r="H481" s="15">
        <f t="shared" si="21"/>
        <v>9907.1168400000006</v>
      </c>
      <c r="I481" s="6"/>
      <c r="J481" s="13">
        <v>4332.79</v>
      </c>
      <c r="K481" s="11">
        <v>0.68010000000000004</v>
      </c>
      <c r="L481" s="15">
        <f t="shared" si="22"/>
        <v>6370.8131157182761</v>
      </c>
      <c r="M481" s="6"/>
      <c r="N481" s="13">
        <v>12865.05</v>
      </c>
      <c r="O481" s="11">
        <v>109.74</v>
      </c>
      <c r="P481" s="15">
        <f t="shared" si="23"/>
        <v>117.23209404045927</v>
      </c>
    </row>
    <row r="482" spans="1:16">
      <c r="A482" s="1">
        <v>478</v>
      </c>
      <c r="B482" s="9">
        <v>39680</v>
      </c>
      <c r="C482" s="6"/>
      <c r="D482" s="12">
        <v>11417.43</v>
      </c>
      <c r="E482" s="6"/>
      <c r="F482" s="13">
        <v>5371.8</v>
      </c>
      <c r="G482" s="10">
        <v>1.8586</v>
      </c>
      <c r="H482" s="15">
        <f t="shared" si="21"/>
        <v>9984.0274800000007</v>
      </c>
      <c r="I482" s="6"/>
      <c r="J482" s="13">
        <v>4365.87</v>
      </c>
      <c r="K482" s="11">
        <v>0.67900000000000005</v>
      </c>
      <c r="L482" s="15">
        <f t="shared" si="22"/>
        <v>6429.8527245949917</v>
      </c>
      <c r="M482" s="6"/>
      <c r="N482" s="13">
        <v>12851.69</v>
      </c>
      <c r="O482" s="11">
        <v>109.9</v>
      </c>
      <c r="P482" s="15">
        <f t="shared" si="23"/>
        <v>116.93985441310282</v>
      </c>
    </row>
    <row r="483" spans="1:16">
      <c r="A483" s="1">
        <v>479</v>
      </c>
      <c r="B483" s="9">
        <v>39681</v>
      </c>
      <c r="C483" s="6"/>
      <c r="D483" s="12">
        <v>11430.21</v>
      </c>
      <c r="E483" s="6"/>
      <c r="F483" s="13">
        <v>5370.2</v>
      </c>
      <c r="G483" s="10">
        <v>1.8761000000000001</v>
      </c>
      <c r="H483" s="15">
        <f t="shared" si="21"/>
        <v>10075.032220000001</v>
      </c>
      <c r="I483" s="6"/>
      <c r="J483" s="13">
        <v>4304.6099999999997</v>
      </c>
      <c r="K483" s="11">
        <v>0.67200000000000004</v>
      </c>
      <c r="L483" s="15">
        <f t="shared" si="22"/>
        <v>6405.6696428571422</v>
      </c>
      <c r="M483" s="6"/>
      <c r="N483" s="13">
        <v>12752.21</v>
      </c>
      <c r="O483" s="11">
        <v>108.26</v>
      </c>
      <c r="P483" s="15">
        <f t="shared" si="23"/>
        <v>117.79244411601698</v>
      </c>
    </row>
    <row r="484" spans="1:16">
      <c r="A484" s="1">
        <v>480</v>
      </c>
      <c r="B484" s="9">
        <v>39682</v>
      </c>
      <c r="C484" s="6"/>
      <c r="D484" s="12">
        <v>11628.06</v>
      </c>
      <c r="E484" s="6"/>
      <c r="F484" s="13">
        <v>5505.6</v>
      </c>
      <c r="G484" s="10">
        <v>1.8582000000000001</v>
      </c>
      <c r="H484" s="15">
        <f t="shared" si="21"/>
        <v>10230.505920000001</v>
      </c>
      <c r="I484" s="6"/>
      <c r="J484" s="13">
        <v>4400.45</v>
      </c>
      <c r="K484" s="11">
        <v>0.67500000000000004</v>
      </c>
      <c r="L484" s="15">
        <f t="shared" si="22"/>
        <v>6519.1851851851843</v>
      </c>
      <c r="M484" s="6"/>
      <c r="N484" s="13">
        <v>12666.04</v>
      </c>
      <c r="O484" s="11">
        <v>109.93</v>
      </c>
      <c r="P484" s="15">
        <f t="shared" si="23"/>
        <v>115.21913945237878</v>
      </c>
    </row>
    <row r="485" spans="1:16">
      <c r="A485" s="1">
        <v>481</v>
      </c>
      <c r="B485" s="9">
        <v>39686</v>
      </c>
      <c r="C485" s="6"/>
      <c r="D485" s="12">
        <v>11412.87</v>
      </c>
      <c r="E485" s="6"/>
      <c r="F485" s="13">
        <v>5470.7</v>
      </c>
      <c r="G485" s="10">
        <v>1.8386</v>
      </c>
      <c r="H485" s="15">
        <f t="shared" si="21"/>
        <v>10058.42902</v>
      </c>
      <c r="I485" s="6"/>
      <c r="J485" s="13">
        <v>4368.55</v>
      </c>
      <c r="K485" s="11">
        <v>0.68259999999999998</v>
      </c>
      <c r="L485" s="15">
        <f t="shared" si="22"/>
        <v>6399.8681511866398</v>
      </c>
      <c r="M485" s="6"/>
      <c r="N485" s="13">
        <v>12778.71</v>
      </c>
      <c r="O485" s="11">
        <v>109.84</v>
      </c>
      <c r="P485" s="15">
        <f t="shared" si="23"/>
        <v>116.33931172614712</v>
      </c>
    </row>
    <row r="486" spans="1:16">
      <c r="A486" s="1">
        <v>482</v>
      </c>
      <c r="B486" s="9">
        <v>39687</v>
      </c>
      <c r="C486" s="6"/>
      <c r="D486" s="12">
        <v>11502.51</v>
      </c>
      <c r="E486" s="6"/>
      <c r="F486" s="13">
        <v>5528.1</v>
      </c>
      <c r="G486" s="10">
        <v>1.8383</v>
      </c>
      <c r="H486" s="15">
        <f t="shared" si="21"/>
        <v>10162.30623</v>
      </c>
      <c r="I486" s="6"/>
      <c r="J486" s="13">
        <v>4373.08</v>
      </c>
      <c r="K486" s="11">
        <v>0.67989999999999995</v>
      </c>
      <c r="L486" s="15">
        <f t="shared" si="22"/>
        <v>6431.9458743932937</v>
      </c>
      <c r="M486" s="6"/>
      <c r="N486" s="13">
        <v>12752.96</v>
      </c>
      <c r="O486" s="11">
        <v>109.73</v>
      </c>
      <c r="P486" s="15">
        <f t="shared" si="23"/>
        <v>116.22127039095962</v>
      </c>
    </row>
    <row r="487" spans="1:16">
      <c r="A487" s="1">
        <v>483</v>
      </c>
      <c r="B487" s="9">
        <v>39688</v>
      </c>
      <c r="C487" s="6"/>
      <c r="D487" s="12">
        <v>11715.18</v>
      </c>
      <c r="E487" s="6"/>
      <c r="F487" s="13">
        <v>5601.2</v>
      </c>
      <c r="G487" s="10">
        <v>1.8291999999999999</v>
      </c>
      <c r="H487" s="15">
        <f t="shared" si="21"/>
        <v>10245.715039999999</v>
      </c>
      <c r="I487" s="6"/>
      <c r="J487" s="13">
        <v>4461.49</v>
      </c>
      <c r="K487" s="11">
        <v>0.67930000000000001</v>
      </c>
      <c r="L487" s="15">
        <f t="shared" si="22"/>
        <v>6567.7756514058583</v>
      </c>
      <c r="M487" s="6"/>
      <c r="N487" s="13">
        <v>12768.25</v>
      </c>
      <c r="O487" s="11">
        <v>109.41</v>
      </c>
      <c r="P487" s="15">
        <f t="shared" si="23"/>
        <v>116.70094141303355</v>
      </c>
    </row>
    <row r="488" spans="1:16">
      <c r="A488" s="1">
        <v>484</v>
      </c>
      <c r="B488" s="9">
        <v>39689</v>
      </c>
      <c r="C488" s="6"/>
      <c r="D488" s="12">
        <v>11543.55</v>
      </c>
      <c r="E488" s="6"/>
      <c r="F488" s="13">
        <v>5636.6</v>
      </c>
      <c r="G488" s="10">
        <v>1.8237000000000001</v>
      </c>
      <c r="H488" s="15">
        <f t="shared" si="21"/>
        <v>10279.467420000001</v>
      </c>
      <c r="I488" s="6"/>
      <c r="J488" s="13">
        <v>4482.6000000000004</v>
      </c>
      <c r="K488" s="11">
        <v>0.67930000000000001</v>
      </c>
      <c r="L488" s="15">
        <f t="shared" si="22"/>
        <v>6598.8517591638456</v>
      </c>
      <c r="M488" s="6"/>
      <c r="N488" s="13">
        <v>13072.87</v>
      </c>
      <c r="O488" s="11">
        <v>108.52</v>
      </c>
      <c r="P488" s="15">
        <f t="shared" si="23"/>
        <v>120.46507556210838</v>
      </c>
    </row>
    <row r="489" spans="1:16">
      <c r="A489" s="1">
        <v>485</v>
      </c>
      <c r="B489" s="9">
        <v>39693</v>
      </c>
      <c r="C489" s="6"/>
      <c r="D489" s="12">
        <v>11516.92</v>
      </c>
      <c r="E489" s="6"/>
      <c r="F489" s="13">
        <v>5620.7</v>
      </c>
      <c r="G489" s="10">
        <v>1.7863</v>
      </c>
      <c r="H489" s="15">
        <f t="shared" si="21"/>
        <v>10040.25641</v>
      </c>
      <c r="I489" s="6"/>
      <c r="J489" s="13">
        <v>4539.07</v>
      </c>
      <c r="K489" s="11">
        <v>0.68869999999999998</v>
      </c>
      <c r="L489" s="15">
        <f t="shared" si="22"/>
        <v>6590.7797299259473</v>
      </c>
      <c r="M489" s="6"/>
      <c r="N489" s="13">
        <v>12609.47</v>
      </c>
      <c r="O489" s="11">
        <v>108.84</v>
      </c>
      <c r="P489" s="15">
        <f t="shared" si="23"/>
        <v>115.85327085630281</v>
      </c>
    </row>
    <row r="490" spans="1:16">
      <c r="A490" s="1">
        <v>486</v>
      </c>
      <c r="B490" s="9">
        <v>39694</v>
      </c>
      <c r="C490" s="6"/>
      <c r="D490" s="12">
        <v>11532.88</v>
      </c>
      <c r="E490" s="6"/>
      <c r="F490" s="13">
        <v>5499.7</v>
      </c>
      <c r="G490" s="10">
        <v>1.7764</v>
      </c>
      <c r="H490" s="15">
        <f t="shared" si="21"/>
        <v>9769.6670799999993</v>
      </c>
      <c r="I490" s="6"/>
      <c r="J490" s="13">
        <v>4447.13</v>
      </c>
      <c r="K490" s="11">
        <v>0.69159999999999999</v>
      </c>
      <c r="L490" s="15">
        <f t="shared" si="22"/>
        <v>6430.2053209947953</v>
      </c>
      <c r="M490" s="6"/>
      <c r="N490" s="13">
        <v>12689.59</v>
      </c>
      <c r="O490" s="11">
        <v>108.43</v>
      </c>
      <c r="P490" s="15">
        <f t="shared" si="23"/>
        <v>117.03024993083095</v>
      </c>
    </row>
    <row r="491" spans="1:16">
      <c r="A491" s="1">
        <v>487</v>
      </c>
      <c r="B491" s="9">
        <v>39695</v>
      </c>
      <c r="C491" s="6"/>
      <c r="D491" s="12">
        <v>11188.23</v>
      </c>
      <c r="E491" s="6"/>
      <c r="F491" s="13">
        <v>5362.1</v>
      </c>
      <c r="G491" s="10">
        <v>1.7723</v>
      </c>
      <c r="H491" s="15">
        <f t="shared" si="21"/>
        <v>9503.2498300000007</v>
      </c>
      <c r="I491" s="6"/>
      <c r="J491" s="13">
        <v>4304.01</v>
      </c>
      <c r="K491" s="11">
        <v>0.69540000000000002</v>
      </c>
      <c r="L491" s="15">
        <f t="shared" si="22"/>
        <v>6189.2579810181196</v>
      </c>
      <c r="M491" s="6"/>
      <c r="N491" s="13">
        <v>12557.66</v>
      </c>
      <c r="O491" s="11">
        <v>108.09</v>
      </c>
      <c r="P491" s="15">
        <f t="shared" si="23"/>
        <v>116.17781478397632</v>
      </c>
    </row>
    <row r="492" spans="1:16">
      <c r="A492" s="1">
        <v>488</v>
      </c>
      <c r="B492" s="9">
        <v>39696</v>
      </c>
      <c r="C492" s="6"/>
      <c r="D492" s="12">
        <v>11220.96</v>
      </c>
      <c r="E492" s="6"/>
      <c r="F492" s="13">
        <v>5240.7</v>
      </c>
      <c r="G492" s="10">
        <v>1.7667999999999999</v>
      </c>
      <c r="H492" s="15">
        <f t="shared" si="21"/>
        <v>9259.268759999999</v>
      </c>
      <c r="I492" s="6"/>
      <c r="J492" s="13">
        <v>4196.66</v>
      </c>
      <c r="K492" s="11">
        <v>0.70099999999999996</v>
      </c>
      <c r="L492" s="15">
        <f t="shared" si="22"/>
        <v>5986.676176890157</v>
      </c>
      <c r="M492" s="6"/>
      <c r="N492" s="13">
        <v>12212.23</v>
      </c>
      <c r="O492" s="11">
        <v>106.45</v>
      </c>
      <c r="P492" s="15">
        <f t="shared" si="23"/>
        <v>114.72268670737435</v>
      </c>
    </row>
    <row r="493" spans="1:16">
      <c r="A493" s="1">
        <v>489</v>
      </c>
      <c r="B493" s="9">
        <v>39699</v>
      </c>
      <c r="C493" s="6"/>
      <c r="D493" s="12">
        <v>11510.74</v>
      </c>
      <c r="E493" s="6"/>
      <c r="F493" s="13">
        <v>5446.3</v>
      </c>
      <c r="G493" s="10">
        <v>1.7643</v>
      </c>
      <c r="H493" s="15">
        <f t="shared" si="21"/>
        <v>9608.9070900000006</v>
      </c>
      <c r="I493" s="6"/>
      <c r="J493" s="13">
        <v>4340.18</v>
      </c>
      <c r="K493" s="11">
        <v>0.70389999999999997</v>
      </c>
      <c r="L493" s="15">
        <f t="shared" si="22"/>
        <v>6165.9042477624671</v>
      </c>
      <c r="M493" s="6"/>
      <c r="N493" s="13">
        <v>12624.46</v>
      </c>
      <c r="O493" s="11">
        <v>107.97</v>
      </c>
      <c r="P493" s="15">
        <f t="shared" si="23"/>
        <v>116.92562748911735</v>
      </c>
    </row>
    <row r="494" spans="1:16">
      <c r="A494" s="1">
        <v>490</v>
      </c>
      <c r="B494" s="9">
        <v>39700</v>
      </c>
      <c r="C494" s="6"/>
      <c r="D494" s="12">
        <v>11230.73</v>
      </c>
      <c r="E494" s="6"/>
      <c r="F494" s="13">
        <v>5415.6</v>
      </c>
      <c r="G494" s="10">
        <v>1.7641</v>
      </c>
      <c r="H494" s="15">
        <f t="shared" si="21"/>
        <v>9553.6599600000009</v>
      </c>
      <c r="I494" s="6"/>
      <c r="J494" s="13">
        <v>4293.34</v>
      </c>
      <c r="K494" s="11">
        <v>0.70750000000000002</v>
      </c>
      <c r="L494" s="15">
        <f t="shared" si="22"/>
        <v>6068.3250883392229</v>
      </c>
      <c r="M494" s="6"/>
      <c r="N494" s="13">
        <v>12400.65</v>
      </c>
      <c r="O494" s="11">
        <v>107.46</v>
      </c>
      <c r="P494" s="15">
        <f t="shared" si="23"/>
        <v>115.39782244556115</v>
      </c>
    </row>
    <row r="495" spans="1:16">
      <c r="A495" s="1">
        <v>491</v>
      </c>
      <c r="B495" s="9">
        <v>39701</v>
      </c>
      <c r="C495" s="6"/>
      <c r="D495" s="12">
        <v>11268.92</v>
      </c>
      <c r="E495" s="6"/>
      <c r="F495" s="13">
        <v>5366.2</v>
      </c>
      <c r="G495" s="10">
        <v>1.7552000000000001</v>
      </c>
      <c r="H495" s="15">
        <f t="shared" si="21"/>
        <v>9418.7542400000002</v>
      </c>
      <c r="I495" s="6"/>
      <c r="J495" s="13">
        <v>4283.66</v>
      </c>
      <c r="K495" s="11">
        <v>0.71140000000000003</v>
      </c>
      <c r="L495" s="15">
        <f t="shared" si="22"/>
        <v>6021.4506606691029</v>
      </c>
      <c r="M495" s="6"/>
      <c r="N495" s="13">
        <v>12346.63</v>
      </c>
      <c r="O495" s="11">
        <v>107.56</v>
      </c>
      <c r="P495" s="15">
        <f t="shared" si="23"/>
        <v>114.78830420230568</v>
      </c>
    </row>
    <row r="496" spans="1:16">
      <c r="A496" s="1">
        <v>492</v>
      </c>
      <c r="B496" s="9">
        <v>39702</v>
      </c>
      <c r="C496" s="6"/>
      <c r="D496" s="12">
        <v>11433.71</v>
      </c>
      <c r="E496" s="6"/>
      <c r="F496" s="13">
        <v>5318.4</v>
      </c>
      <c r="G496" s="10">
        <v>1.7506999999999999</v>
      </c>
      <c r="H496" s="15">
        <f t="shared" si="21"/>
        <v>9310.9228799999983</v>
      </c>
      <c r="I496" s="6"/>
      <c r="J496" s="13">
        <v>4249.07</v>
      </c>
      <c r="K496" s="11">
        <v>0.71819999999999995</v>
      </c>
      <c r="L496" s="15">
        <f t="shared" si="22"/>
        <v>5916.276803118908</v>
      </c>
      <c r="M496" s="6"/>
      <c r="N496" s="13">
        <v>12102.5</v>
      </c>
      <c r="O496" s="11">
        <v>106.52</v>
      </c>
      <c r="P496" s="15">
        <f t="shared" si="23"/>
        <v>113.6171610965077</v>
      </c>
    </row>
    <row r="497" spans="1:16">
      <c r="A497" s="1">
        <v>493</v>
      </c>
      <c r="B497" s="9">
        <v>39703</v>
      </c>
      <c r="C497" s="6"/>
      <c r="D497" s="12">
        <v>11421.99</v>
      </c>
      <c r="E497" s="6"/>
      <c r="F497" s="13">
        <v>5416.7</v>
      </c>
      <c r="G497" s="10">
        <v>1.7859</v>
      </c>
      <c r="H497" s="15">
        <f t="shared" si="21"/>
        <v>9673.6845300000004</v>
      </c>
      <c r="I497" s="6"/>
      <c r="J497" s="13">
        <v>4332.66</v>
      </c>
      <c r="K497" s="11">
        <v>0.70540000000000003</v>
      </c>
      <c r="L497" s="15">
        <f t="shared" si="22"/>
        <v>6142.1321236178046</v>
      </c>
      <c r="M497" s="6"/>
      <c r="N497" s="13">
        <v>12214.76</v>
      </c>
      <c r="O497" s="11">
        <v>107.29</v>
      </c>
      <c r="P497" s="15">
        <f t="shared" si="23"/>
        <v>113.84807530990773</v>
      </c>
    </row>
    <row r="498" spans="1:16">
      <c r="A498" s="1">
        <v>494</v>
      </c>
      <c r="B498" s="9">
        <v>39707</v>
      </c>
      <c r="C498" s="6"/>
      <c r="D498" s="12">
        <v>11059.02</v>
      </c>
      <c r="E498" s="6"/>
      <c r="F498" s="13">
        <v>5025.6000000000004</v>
      </c>
      <c r="G498" s="10">
        <v>1.7743</v>
      </c>
      <c r="H498" s="15">
        <f t="shared" si="21"/>
        <v>8916.9220800000003</v>
      </c>
      <c r="I498" s="6"/>
      <c r="J498" s="13">
        <v>4087.4</v>
      </c>
      <c r="K498" s="11">
        <v>0.70830000000000004</v>
      </c>
      <c r="L498" s="15">
        <f t="shared" si="22"/>
        <v>5770.7186220528019</v>
      </c>
      <c r="M498" s="6"/>
      <c r="N498" s="13">
        <v>11609.72</v>
      </c>
      <c r="O498" s="11">
        <v>104.89</v>
      </c>
      <c r="P498" s="15">
        <f t="shared" si="23"/>
        <v>110.68471732290971</v>
      </c>
    </row>
    <row r="499" spans="1:16">
      <c r="A499" s="1">
        <v>495</v>
      </c>
      <c r="B499" s="9">
        <v>39708</v>
      </c>
      <c r="C499" s="6"/>
      <c r="D499" s="12">
        <v>10609.66</v>
      </c>
      <c r="E499" s="6"/>
      <c r="F499" s="13">
        <v>4912.3999999999996</v>
      </c>
      <c r="G499" s="10">
        <v>1.7955000000000001</v>
      </c>
      <c r="H499" s="15">
        <f t="shared" si="21"/>
        <v>8820.2142000000003</v>
      </c>
      <c r="I499" s="6"/>
      <c r="J499" s="13">
        <v>4000.11</v>
      </c>
      <c r="K499" s="11">
        <v>0.7046</v>
      </c>
      <c r="L499" s="15">
        <f t="shared" si="22"/>
        <v>5677.1359636673287</v>
      </c>
      <c r="M499" s="6"/>
      <c r="N499" s="13">
        <v>11749.79</v>
      </c>
      <c r="O499" s="11">
        <v>104.75</v>
      </c>
      <c r="P499" s="15">
        <f t="shared" si="23"/>
        <v>112.16983293556086</v>
      </c>
    </row>
    <row r="500" spans="1:16">
      <c r="A500" s="1">
        <v>496</v>
      </c>
      <c r="B500" s="9">
        <v>39709</v>
      </c>
      <c r="C500" s="6"/>
      <c r="D500" s="12">
        <v>11019.69</v>
      </c>
      <c r="E500" s="6"/>
      <c r="F500" s="13">
        <v>4880</v>
      </c>
      <c r="G500" s="10">
        <v>1.8192999999999999</v>
      </c>
      <c r="H500" s="15">
        <f t="shared" si="21"/>
        <v>8878.1839999999993</v>
      </c>
      <c r="I500" s="6"/>
      <c r="J500" s="13">
        <v>3957.86</v>
      </c>
      <c r="K500" s="11">
        <v>0.6956</v>
      </c>
      <c r="L500" s="15">
        <f t="shared" si="22"/>
        <v>5689.8504887866593</v>
      </c>
      <c r="M500" s="6"/>
      <c r="N500" s="13">
        <v>11489.3</v>
      </c>
      <c r="O500" s="11">
        <v>104.88</v>
      </c>
      <c r="P500" s="15">
        <f t="shared" si="23"/>
        <v>109.54710144927536</v>
      </c>
    </row>
    <row r="501" spans="1:16">
      <c r="A501" s="1">
        <v>497</v>
      </c>
      <c r="B501" s="9">
        <v>39710</v>
      </c>
      <c r="C501" s="6"/>
      <c r="D501" s="12">
        <v>11388.44</v>
      </c>
      <c r="E501" s="6"/>
      <c r="F501" s="13">
        <v>5311.3</v>
      </c>
      <c r="G501" s="10">
        <v>1.8327</v>
      </c>
      <c r="H501" s="15">
        <f t="shared" si="21"/>
        <v>9734.0195100000001</v>
      </c>
      <c r="I501" s="6"/>
      <c r="J501" s="13">
        <v>4324.87</v>
      </c>
      <c r="K501" s="11">
        <v>0.69420000000000004</v>
      </c>
      <c r="L501" s="15">
        <f t="shared" si="22"/>
        <v>6230.0057620282332</v>
      </c>
      <c r="M501" s="6"/>
      <c r="N501" s="13">
        <v>11920.86</v>
      </c>
      <c r="O501" s="11">
        <v>106.8</v>
      </c>
      <c r="P501" s="15">
        <f t="shared" si="23"/>
        <v>111.6185393258427</v>
      </c>
    </row>
    <row r="502" spans="1:16">
      <c r="A502" s="1">
        <v>498</v>
      </c>
      <c r="B502" s="9">
        <v>39713</v>
      </c>
      <c r="C502" s="6"/>
      <c r="D502" s="12">
        <v>11015.69</v>
      </c>
      <c r="E502" s="6"/>
      <c r="F502" s="13">
        <v>5236.3</v>
      </c>
      <c r="G502" s="10">
        <v>1.8441000000000001</v>
      </c>
      <c r="H502" s="15">
        <f t="shared" si="21"/>
        <v>9656.2608300000011</v>
      </c>
      <c r="I502" s="6"/>
      <c r="J502" s="13">
        <v>4223.51</v>
      </c>
      <c r="K502" s="11">
        <v>0.68320000000000003</v>
      </c>
      <c r="L502" s="15">
        <f t="shared" si="22"/>
        <v>6181.9525761124123</v>
      </c>
      <c r="M502" s="6"/>
      <c r="N502" s="13">
        <v>12090.59</v>
      </c>
      <c r="O502" s="11">
        <v>106.78</v>
      </c>
      <c r="P502" s="15">
        <f t="shared" si="23"/>
        <v>113.22897546356995</v>
      </c>
    </row>
    <row r="503" spans="1:16">
      <c r="A503" s="1">
        <v>499</v>
      </c>
      <c r="B503" s="9">
        <v>39715</v>
      </c>
      <c r="C503" s="6"/>
      <c r="D503" s="12">
        <v>10825.17</v>
      </c>
      <c r="E503" s="6"/>
      <c r="F503" s="13">
        <v>5095.6000000000004</v>
      </c>
      <c r="G503" s="10">
        <v>1.8523000000000001</v>
      </c>
      <c r="H503" s="15">
        <f t="shared" si="21"/>
        <v>9438.5798800000011</v>
      </c>
      <c r="I503" s="6"/>
      <c r="J503" s="13">
        <v>4114.54</v>
      </c>
      <c r="K503" s="11">
        <v>0.68189999999999995</v>
      </c>
      <c r="L503" s="15">
        <f t="shared" si="22"/>
        <v>6033.9345945153254</v>
      </c>
      <c r="M503" s="6"/>
      <c r="N503" s="13">
        <v>12115.03</v>
      </c>
      <c r="O503" s="11">
        <v>106.03</v>
      </c>
      <c r="P503" s="15">
        <f t="shared" si="23"/>
        <v>114.26039800056589</v>
      </c>
    </row>
    <row r="504" spans="1:16">
      <c r="A504" s="1">
        <v>500</v>
      </c>
      <c r="B504" s="9">
        <v>39716</v>
      </c>
      <c r="C504" s="6"/>
      <c r="D504" s="12">
        <v>11022.06</v>
      </c>
      <c r="E504" s="6"/>
      <c r="F504" s="13">
        <v>5197</v>
      </c>
      <c r="G504" s="10">
        <v>1.8472</v>
      </c>
      <c r="H504" s="15">
        <f t="shared" si="21"/>
        <v>9599.8984</v>
      </c>
      <c r="I504" s="6"/>
      <c r="J504" s="13">
        <v>4226.8100000000004</v>
      </c>
      <c r="K504" s="11">
        <v>0.68169999999999997</v>
      </c>
      <c r="L504" s="15">
        <f t="shared" si="22"/>
        <v>6200.3960686519004</v>
      </c>
      <c r="M504" s="6"/>
      <c r="N504" s="13">
        <v>12006.53</v>
      </c>
      <c r="O504" s="11">
        <v>106.42</v>
      </c>
      <c r="P504" s="15">
        <f t="shared" si="23"/>
        <v>112.82211990227401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0"/>
  <sheetViews>
    <sheetView showGridLines="0" tabSelected="1" zoomScale="85" zoomScaleNormal="85" workbookViewId="0">
      <selection activeCell="K3" sqref="K3"/>
    </sheetView>
  </sheetViews>
  <sheetFormatPr defaultColWidth="11.453125" defaultRowHeight="14.5"/>
  <cols>
    <col min="1" max="1" width="9.08984375" style="1" customWidth="1"/>
    <col min="2" max="2" width="11.08984375" style="18" bestFit="1" customWidth="1"/>
    <col min="3" max="4" width="9.08984375" style="18" customWidth="1"/>
    <col min="5" max="5" width="9.6328125" style="18" customWidth="1"/>
    <col min="6" max="7" width="9.08984375" customWidth="1"/>
    <col min="8" max="9" width="15.6328125" style="17" customWidth="1"/>
    <col min="10" max="10" width="20.36328125" style="17" bestFit="1" customWidth="1"/>
    <col min="11" max="11" width="20.36328125" style="17" customWidth="1"/>
    <col min="12" max="12" width="12.36328125" customWidth="1"/>
    <col min="13" max="13" width="11.90625" customWidth="1"/>
    <col min="14" max="14" width="11.54296875" bestFit="1" customWidth="1"/>
    <col min="15" max="17" width="11.08984375" bestFit="1" customWidth="1"/>
    <col min="18" max="18" width="11.54296875" bestFit="1" customWidth="1"/>
    <col min="19" max="258" width="9.08984375" customWidth="1"/>
  </cols>
  <sheetData>
    <row r="1" spans="1:18" ht="16.5">
      <c r="A1" s="26" t="s">
        <v>12</v>
      </c>
      <c r="B1" s="31" t="s">
        <v>4</v>
      </c>
      <c r="C1" s="31" t="s">
        <v>13</v>
      </c>
      <c r="D1" s="31" t="s">
        <v>14</v>
      </c>
      <c r="E1" s="31" t="s">
        <v>15</v>
      </c>
      <c r="H1" s="84" t="s">
        <v>16</v>
      </c>
      <c r="J1" s="29" t="s">
        <v>17</v>
      </c>
      <c r="K1" s="29" t="s">
        <v>18</v>
      </c>
      <c r="M1" s="85" t="s">
        <v>19</v>
      </c>
      <c r="N1" s="89" t="s">
        <v>4</v>
      </c>
      <c r="O1" s="89" t="s">
        <v>13</v>
      </c>
      <c r="P1" s="89" t="s">
        <v>20</v>
      </c>
      <c r="Q1" s="89" t="s">
        <v>15</v>
      </c>
      <c r="R1" s="86"/>
    </row>
    <row r="2" spans="1:18" ht="15" thickBot="1">
      <c r="A2" s="1">
        <v>1</v>
      </c>
      <c r="B2" s="28">
        <f>Data!D5/Data!D4</f>
        <v>0.99591866930258188</v>
      </c>
      <c r="C2" s="28">
        <f>Data!H5/Data!H4</f>
        <v>0.99680538771271698</v>
      </c>
      <c r="D2" s="28">
        <f>Data!L5/Data!L4</f>
        <v>1.0006695242935777</v>
      </c>
      <c r="E2" s="28">
        <f>Data!P5/Data!P4</f>
        <v>1.0197867406023644</v>
      </c>
      <c r="F2" s="105">
        <f>F$503^G2</f>
        <v>6.6368515579945213E-3</v>
      </c>
      <c r="G2">
        <v>499</v>
      </c>
      <c r="H2" s="14">
        <f>$N$2*B2+$O$2*C2+$P$2*D2+$Q$2*E2</f>
        <v>10014333.845846785</v>
      </c>
      <c r="J2" s="13">
        <f>H2-SUM($N$2:$Q$2)</f>
        <v>14333.845846785232</v>
      </c>
      <c r="K2" s="28">
        <f>(H2/$R$2)-1</f>
        <v>1.4333845846785653E-3</v>
      </c>
      <c r="M2" s="87" t="s">
        <v>21</v>
      </c>
      <c r="N2" s="59">
        <v>4000000</v>
      </c>
      <c r="O2" s="59">
        <v>3000000</v>
      </c>
      <c r="P2" s="59">
        <v>1000000</v>
      </c>
      <c r="Q2" s="59">
        <v>2000000</v>
      </c>
      <c r="R2" s="88">
        <f>SUM(N2:Q2)</f>
        <v>10000000</v>
      </c>
    </row>
    <row r="3" spans="1:18">
      <c r="A3" s="1">
        <v>2</v>
      </c>
      <c r="B3" s="28">
        <f>Data!D6/Data!D5</f>
        <v>0.99128212150257888</v>
      </c>
      <c r="C3" s="28">
        <f>Data!H6/Data!H5</f>
        <v>1.008027012425007</v>
      </c>
      <c r="D3" s="28">
        <f>Data!L6/Data!L5</f>
        <v>1.0150323389987279</v>
      </c>
      <c r="E3" s="28">
        <f>Data!P6/Data!P5</f>
        <v>1.0116197254185593</v>
      </c>
      <c r="F3" s="105">
        <f>F$503^G3</f>
        <v>6.7038904626207305E-3</v>
      </c>
      <c r="G3">
        <v>498</v>
      </c>
      <c r="H3" s="14">
        <f>$N$2*B3+$O$2*C3+$P$2*D3+$Q$2*E3</f>
        <v>10027481.313121183</v>
      </c>
      <c r="J3" s="13">
        <f>H3-SUM($N$2:$Q$2)</f>
        <v>27481.313121182844</v>
      </c>
      <c r="K3" s="28">
        <f>(H3/$R$2)-1</f>
        <v>2.7481313121182627E-3</v>
      </c>
    </row>
    <row r="4" spans="1:18">
      <c r="A4" s="1">
        <v>3</v>
      </c>
      <c r="B4" s="28">
        <f>Data!D7/Data!D6</f>
        <v>1.0043507779758003</v>
      </c>
      <c r="C4" s="28">
        <f>Data!H7/Data!H6</f>
        <v>0.98492294157296079</v>
      </c>
      <c r="D4" s="28">
        <f>Data!L7/Data!L6</f>
        <v>0.98199667527218004</v>
      </c>
      <c r="E4" s="28">
        <f>Data!P7/Data!P6</f>
        <v>0.99628366447171246</v>
      </c>
      <c r="F4" s="105">
        <f t="shared" ref="F4:F65" si="0">F$503^G4</f>
        <v>6.7716065278997277E-3</v>
      </c>
      <c r="G4">
        <v>497</v>
      </c>
      <c r="H4" s="14">
        <f>$N$2*B4+$O$2*C4+$P$2*D4+$Q$2*E4</f>
        <v>9946735.9408376887</v>
      </c>
      <c r="J4" s="13">
        <f>H4-SUM($N$2:$Q$2)</f>
        <v>-53264.059162311256</v>
      </c>
      <c r="K4" s="28">
        <f t="shared" ref="K3:K66" si="1">(H4/$R$2)-1</f>
        <v>-5.326405916231125E-3</v>
      </c>
    </row>
    <row r="5" spans="1:18">
      <c r="A5" s="1">
        <v>4</v>
      </c>
      <c r="B5" s="28">
        <f>Data!D8/Data!D7</f>
        <v>0.99673239922800116</v>
      </c>
      <c r="C5" s="28">
        <f>Data!H8/Data!H7</f>
        <v>1.0021804680434796</v>
      </c>
      <c r="D5" s="28">
        <f>Data!L8/Data!L7</f>
        <v>1.0011448723980374</v>
      </c>
      <c r="E5" s="28">
        <f>Data!P8/Data!P7</f>
        <v>0.99012238010164566</v>
      </c>
      <c r="F5" s="105">
        <f t="shared" si="0"/>
        <v>6.8400065938381081E-3</v>
      </c>
      <c r="G5">
        <v>496</v>
      </c>
      <c r="H5" s="14">
        <f>$N$2*B5+$O$2*C5+$P$2*D5+$Q$2*E5</f>
        <v>9974860.6336437725</v>
      </c>
      <c r="J5" s="13">
        <f>H5-SUM($N$2:$Q$2)</f>
        <v>-25139.366356227547</v>
      </c>
      <c r="K5" s="28">
        <f>(H5/$R$2)-1</f>
        <v>-2.5139366356227155E-3</v>
      </c>
    </row>
    <row r="6" spans="1:18">
      <c r="A6" s="1">
        <v>5</v>
      </c>
      <c r="B6" s="28">
        <f>Data!D9/Data!D8</f>
        <v>1.0008883461609919</v>
      </c>
      <c r="C6" s="28">
        <f>Data!H9/Data!H8</f>
        <v>1.0062291507779597</v>
      </c>
      <c r="D6" s="28">
        <f>Data!L9/Data!L8</f>
        <v>1.0105115744366069</v>
      </c>
      <c r="E6" s="28">
        <f>Data!P9/Data!P8</f>
        <v>1.0154413569418124</v>
      </c>
      <c r="F6" s="105">
        <f t="shared" si="0"/>
        <v>6.9090975695334433E-3</v>
      </c>
      <c r="G6">
        <v>495</v>
      </c>
      <c r="H6" s="14">
        <f>$N$2*B6+$O$2*C6+$P$2*D6+$Q$2*E6</f>
        <v>10063635.125298079</v>
      </c>
      <c r="J6" s="13">
        <f>H6-SUM($N$2:$Q$2)</f>
        <v>63635.125298079103</v>
      </c>
      <c r="K6" s="28">
        <f t="shared" si="1"/>
        <v>6.3635125298078243E-3</v>
      </c>
      <c r="L6" t="s">
        <v>22</v>
      </c>
    </row>
    <row r="7" spans="1:18">
      <c r="A7" s="1">
        <v>6</v>
      </c>
      <c r="B7" s="28">
        <f>Data!D10/Data!D9</f>
        <v>1.011929316166075</v>
      </c>
      <c r="C7" s="28">
        <f>Data!H10/Data!H9</f>
        <v>1.0062977950734033</v>
      </c>
      <c r="D7" s="28">
        <f>Data!L10/Data!L9</f>
        <v>1.0169906368796895</v>
      </c>
      <c r="E7" s="28">
        <f>Data!P10/Data!P9</f>
        <v>1.0011161474865276</v>
      </c>
      <c r="F7" s="105">
        <f t="shared" si="0"/>
        <v>6.978886433872164E-3</v>
      </c>
      <c r="G7">
        <v>494</v>
      </c>
      <c r="H7" s="14">
        <f>$N$2*B7+$O$2*C7+$P$2*D7+$Q$2*E7</f>
        <v>10085833.581737254</v>
      </c>
      <c r="J7" s="13">
        <f>H7-SUM($N$2:$Q$2)</f>
        <v>85833.581737253815</v>
      </c>
      <c r="K7" s="28">
        <f t="shared" si="1"/>
        <v>8.5833581737253528E-3</v>
      </c>
    </row>
    <row r="8" spans="1:18">
      <c r="A8" s="1">
        <v>7</v>
      </c>
      <c r="B8" s="28">
        <f>Data!D11/Data!D10</f>
        <v>1.0086249116227051</v>
      </c>
      <c r="C8" s="28">
        <f>Data!H11/Data!H10</f>
        <v>1.0021531030705577</v>
      </c>
      <c r="D8" s="28">
        <f>Data!L11/Data!L10</f>
        <v>1.0095215473027122</v>
      </c>
      <c r="E8" s="28">
        <f>Data!P11/Data!P10</f>
        <v>1.0182398081898976</v>
      </c>
      <c r="F8" s="105">
        <f t="shared" si="0"/>
        <v>7.0493802362345086E-3</v>
      </c>
      <c r="G8">
        <v>493</v>
      </c>
      <c r="H8" s="14">
        <f>$N$2*B8+$O$2*C8+$P$2*D8+$Q$2*E8</f>
        <v>10086960.119385</v>
      </c>
      <c r="J8" s="13">
        <f>H8-SUM($N$2:$Q$2)</f>
        <v>86960.119385000318</v>
      </c>
      <c r="K8" s="28">
        <f t="shared" si="1"/>
        <v>8.6960119385000034E-3</v>
      </c>
    </row>
    <row r="9" spans="1:18">
      <c r="A9" s="1">
        <v>8</v>
      </c>
      <c r="B9" s="28">
        <f>Data!D12/Data!D11</f>
        <v>1.0006921441637413</v>
      </c>
      <c r="C9" s="28">
        <f>Data!H12/Data!H11</f>
        <v>0.99701051988924916</v>
      </c>
      <c r="D9" s="28">
        <f>Data!L12/Data!L11</f>
        <v>1.0021097770580587</v>
      </c>
      <c r="E9" s="28">
        <f>Data!P12/Data!P11</f>
        <v>0.99901365772068662</v>
      </c>
      <c r="F9" s="105">
        <f t="shared" si="0"/>
        <v>7.1205860972065769E-3</v>
      </c>
      <c r="G9">
        <v>492</v>
      </c>
      <c r="H9" s="14">
        <f>$N$2*B9+$O$2*C9+$P$2*D9+$Q$2*E9</f>
        <v>9993937.2288221437</v>
      </c>
      <c r="J9" s="13">
        <f>H9-SUM($N$2:$Q$2)</f>
        <v>-6062.7711778562516</v>
      </c>
      <c r="K9" s="28">
        <f t="shared" si="1"/>
        <v>-6.06277117785603E-4</v>
      </c>
    </row>
    <row r="10" spans="1:18">
      <c r="A10" s="1">
        <v>9</v>
      </c>
      <c r="B10" s="28">
        <f>Data!D13/Data!D12</f>
        <v>1.0041032345945642</v>
      </c>
      <c r="C10" s="28">
        <f>Data!H13/Data!H12</f>
        <v>0.99337365380739417</v>
      </c>
      <c r="D10" s="28">
        <f>Data!L13/Data!L12</f>
        <v>0.9950220910909191</v>
      </c>
      <c r="E10" s="28">
        <f>Data!P13/Data!P12</f>
        <v>1.0034902740968381</v>
      </c>
      <c r="F10" s="105">
        <f t="shared" si="0"/>
        <v>7.1925112092995703E-3</v>
      </c>
      <c r="G10">
        <v>491</v>
      </c>
      <c r="H10" s="14">
        <f>$N$2*B10+$O$2*C10+$P$2*D10+$Q$2*E10</f>
        <v>9998536.5390850343</v>
      </c>
      <c r="J10" s="13">
        <f>H10-SUM($N$2:$Q$2)</f>
        <v>-1463.460914965719</v>
      </c>
      <c r="K10" s="28">
        <f t="shared" si="1"/>
        <v>-1.4634609149655198E-4</v>
      </c>
    </row>
    <row r="11" spans="1:18">
      <c r="A11" s="1">
        <v>10</v>
      </c>
      <c r="B11" s="28">
        <f>Data!D14/Data!D13</f>
        <v>0.99679918323380035</v>
      </c>
      <c r="C11" s="28">
        <f>Data!H14/Data!H13</f>
        <v>1.0112746408205664</v>
      </c>
      <c r="D11" s="28">
        <f>Data!L14/Data!L13</f>
        <v>1.0015317100649683</v>
      </c>
      <c r="E11" s="28">
        <f>Data!P14/Data!P13</f>
        <v>0.99047064145067965</v>
      </c>
      <c r="F11" s="105">
        <f t="shared" si="0"/>
        <v>7.2651628376763349E-3</v>
      </c>
      <c r="G11">
        <v>490</v>
      </c>
      <c r="H11" s="14">
        <f>$N$2*B11+$O$2*C11+$P$2*D11+$Q$2*E11</f>
        <v>10003493.648363229</v>
      </c>
      <c r="J11" s="13">
        <f>H11-SUM($N$2:$Q$2)</f>
        <v>3493.6483632288873</v>
      </c>
      <c r="K11" s="28">
        <f t="shared" si="1"/>
        <v>3.4936483632286297E-4</v>
      </c>
    </row>
    <row r="12" spans="1:18">
      <c r="A12" s="1">
        <v>11</v>
      </c>
      <c r="B12" s="28">
        <f>Data!D15/Data!D14</f>
        <v>0.99954164991925976</v>
      </c>
      <c r="C12" s="28">
        <f>Data!H15/Data!H14</f>
        <v>0.9933986799053045</v>
      </c>
      <c r="D12" s="28">
        <f>Data!L15/Data!L14</f>
        <v>0.99652867557872271</v>
      </c>
      <c r="E12" s="28">
        <f>Data!P15/Data!P14</f>
        <v>1.008063407626782</v>
      </c>
      <c r="F12" s="105">
        <f t="shared" si="0"/>
        <v>7.3385483208851868E-3</v>
      </c>
      <c r="G12">
        <v>489</v>
      </c>
      <c r="H12" s="14">
        <f>$N$2*B12+$O$2*C12+$P$2*D12+$Q$2*E12</f>
        <v>9991018.1302252393</v>
      </c>
      <c r="J12" s="13">
        <f>H12-SUM($N$2:$Q$2)</f>
        <v>-8981.8697747606784</v>
      </c>
      <c r="K12" s="28">
        <f t="shared" si="1"/>
        <v>-8.9818697747612308E-4</v>
      </c>
    </row>
    <row r="13" spans="1:18">
      <c r="A13" s="1">
        <v>12</v>
      </c>
      <c r="B13" s="28">
        <f>Data!D16/Data!D15</f>
        <v>0.99630153511866126</v>
      </c>
      <c r="C13" s="28">
        <f>Data!H16/Data!H15</f>
        <v>0.995516477030567</v>
      </c>
      <c r="D13" s="28">
        <f>Data!L16/Data!L15</f>
        <v>0.98958655599827239</v>
      </c>
      <c r="E13" s="28">
        <f>Data!P16/Data!P15</f>
        <v>0.99827891359991416</v>
      </c>
      <c r="F13" s="105">
        <f t="shared" si="0"/>
        <v>7.4126750716011994E-3</v>
      </c>
      <c r="G13">
        <v>488</v>
      </c>
      <c r="H13" s="14">
        <f>$N$2*B13+$O$2*C13+$P$2*D13+$Q$2*E13</f>
        <v>9957899.9547644462</v>
      </c>
      <c r="J13" s="13">
        <f>H13-SUM($N$2:$Q$2)</f>
        <v>-42100.045235553756</v>
      </c>
      <c r="K13" s="28">
        <f t="shared" si="1"/>
        <v>-4.2100045235553551E-3</v>
      </c>
    </row>
    <row r="14" spans="1:18" ht="15" thickBot="1">
      <c r="A14" s="1">
        <v>13</v>
      </c>
      <c r="B14" s="28">
        <f>Data!D17/Data!D16</f>
        <v>1.0005806388797918</v>
      </c>
      <c r="C14" s="28">
        <f>Data!H17/Data!H16</f>
        <v>1.0003364614229218</v>
      </c>
      <c r="D14" s="28">
        <f>Data!L17/Data!L16</f>
        <v>1.005925949243812</v>
      </c>
      <c r="E14" s="28">
        <f>Data!P17/Data!P16</f>
        <v>0.98925973266971623</v>
      </c>
      <c r="F14" s="105">
        <f t="shared" si="0"/>
        <v>7.487550577374949E-3</v>
      </c>
      <c r="G14">
        <v>487</v>
      </c>
      <c r="H14" s="14">
        <f>$N$2*B14+$O$2*C14+$P$2*D14+$Q$2*E14</f>
        <v>9987777.3543711752</v>
      </c>
      <c r="J14" s="13">
        <f>H14-SUM($N$2:$Q$2)</f>
        <v>-12222.64562882483</v>
      </c>
      <c r="K14" s="28">
        <f t="shared" si="1"/>
        <v>-1.2222645628824358E-3</v>
      </c>
    </row>
    <row r="15" spans="1:18">
      <c r="A15" s="1">
        <v>14</v>
      </c>
      <c r="B15" s="66">
        <f>Data!D18/Data!D17</f>
        <v>0.99819451791593761</v>
      </c>
      <c r="C15" s="66">
        <f>Data!H18/Data!H17</f>
        <v>0.99886491044486081</v>
      </c>
      <c r="D15" s="66">
        <f>Data!L18/Data!L17</f>
        <v>0.99596821423081427</v>
      </c>
      <c r="E15" s="66">
        <f>Data!P18/Data!P17</f>
        <v>0.99028096243738362</v>
      </c>
      <c r="F15" s="105">
        <f t="shared" si="0"/>
        <v>7.5631824013888379E-3</v>
      </c>
      <c r="G15">
        <v>486</v>
      </c>
      <c r="H15" s="45">
        <f>$N$2*B15+$O$2*C15+$P$2*D15+$Q$2*E15</f>
        <v>9965902.9421039131</v>
      </c>
      <c r="J15" s="37">
        <f>H15-SUM($N$2:$Q$2)</f>
        <v>-34097.057896086946</v>
      </c>
      <c r="K15" s="66">
        <f t="shared" si="1"/>
        <v>-3.4097057896086413E-3</v>
      </c>
      <c r="N15" s="24" t="s">
        <v>23</v>
      </c>
      <c r="O15" s="24" t="s">
        <v>24</v>
      </c>
    </row>
    <row r="16" spans="1:18">
      <c r="A16" s="1">
        <v>15</v>
      </c>
      <c r="B16" s="28">
        <f>Data!D19/Data!D18</f>
        <v>1.0076116288034882</v>
      </c>
      <c r="C16" s="28">
        <f>Data!H19/Data!H18</f>
        <v>1.0052080292755352</v>
      </c>
      <c r="D16" s="28">
        <f>Data!L19/Data!L18</f>
        <v>1.0105257749726135</v>
      </c>
      <c r="E16" s="28">
        <f>Data!P19/Data!P18</f>
        <v>1.0002224577911079</v>
      </c>
      <c r="F16" s="105">
        <f t="shared" si="0"/>
        <v>7.6395781832210487E-3</v>
      </c>
      <c r="G16">
        <v>485</v>
      </c>
      <c r="H16" s="14">
        <f>$N$2*B16+$O$2*C16+$P$2*D16+$Q$2*E16</f>
        <v>10057041.293595389</v>
      </c>
      <c r="J16" s="13">
        <f>H16-SUM($N$2:$Q$2)</f>
        <v>57041.293595388532</v>
      </c>
      <c r="K16" s="28">
        <f t="shared" si="1"/>
        <v>5.7041293595387899E-3</v>
      </c>
      <c r="N16" s="30">
        <v>-4.7784100103359428E-2</v>
      </c>
      <c r="O16">
        <v>1</v>
      </c>
    </row>
    <row r="17" spans="1:15">
      <c r="A17" s="1">
        <v>16</v>
      </c>
      <c r="B17" s="28">
        <f>Data!D20/Data!D19</f>
        <v>1.0011407272157988</v>
      </c>
      <c r="C17" s="28">
        <f>Data!H20/Data!H19</f>
        <v>1.0138785494827591</v>
      </c>
      <c r="D17" s="28">
        <f>Data!L20/Data!L19</f>
        <v>1.0102835779321329</v>
      </c>
      <c r="E17" s="28">
        <f>Data!P20/Data!P19</f>
        <v>0.99772392889706485</v>
      </c>
      <c r="F17" s="105">
        <f t="shared" si="0"/>
        <v>7.7167456396172208E-3</v>
      </c>
      <c r="G17">
        <v>484</v>
      </c>
      <c r="H17" s="14">
        <f>$N$2*B17+$O$2*C17+$P$2*D17+$Q$2*E17</f>
        <v>10051929.993037736</v>
      </c>
      <c r="J17" s="13">
        <f>H17-SUM($N$2:$Q$2)</f>
        <v>51929.993037736043</v>
      </c>
      <c r="K17" s="28">
        <f>(H17/$R$2)-1</f>
        <v>5.1929993037735933E-3</v>
      </c>
      <c r="N17" s="30">
        <v>-4.3085752774051064E-2</v>
      </c>
      <c r="O17">
        <v>0</v>
      </c>
    </row>
    <row r="18" spans="1:15">
      <c r="A18" s="1">
        <v>17</v>
      </c>
      <c r="B18" s="28">
        <f>Data!D21/Data!D20</f>
        <v>0.99984538224408348</v>
      </c>
      <c r="C18" s="28">
        <f>Data!H21/Data!H20</f>
        <v>0.9939444303982059</v>
      </c>
      <c r="D18" s="28">
        <f>Data!L21/Data!L20</f>
        <v>0.99389658098732492</v>
      </c>
      <c r="E18" s="28">
        <f>Data!P21/Data!P20</f>
        <v>1.0147643087168208</v>
      </c>
      <c r="F18" s="105">
        <f t="shared" si="0"/>
        <v>7.7946925652699192E-3</v>
      </c>
      <c r="G18">
        <v>483</v>
      </c>
      <c r="H18" s="14">
        <f>$N$2*B18+$O$2*C18+$P$2*D18+$Q$2*E18</f>
        <v>10004640.018591918</v>
      </c>
      <c r="J18" s="13">
        <f>H18-SUM($N$2:$Q$2)</f>
        <v>4640.0185919180512</v>
      </c>
      <c r="K18" s="28">
        <f t="shared" si="1"/>
        <v>4.6400185919170944E-4</v>
      </c>
      <c r="N18" s="30">
        <v>-3.83874054447427E-2</v>
      </c>
      <c r="O18">
        <v>0</v>
      </c>
    </row>
    <row r="19" spans="1:15">
      <c r="A19" s="1">
        <v>18</v>
      </c>
      <c r="B19" s="28">
        <f>Data!D22/Data!D21</f>
        <v>1.0072927603976751</v>
      </c>
      <c r="C19" s="28">
        <f>Data!H22/Data!H21</f>
        <v>1.0081280416546792</v>
      </c>
      <c r="D19" s="28">
        <f>Data!L22/Data!L21</f>
        <v>1.0039498400682711</v>
      </c>
      <c r="E19" s="28">
        <f>Data!P22/Data!P21</f>
        <v>0.99942626810613189</v>
      </c>
      <c r="F19" s="105">
        <f t="shared" si="0"/>
        <v>7.8734268336059805E-3</v>
      </c>
      <c r="G19">
        <v>482</v>
      </c>
      <c r="H19" s="14">
        <f>$N$2*B19+$O$2*C19+$P$2*D19+$Q$2*E19</f>
        <v>10056357.542835273</v>
      </c>
      <c r="J19" s="13">
        <f>H19-SUM($N$2:$Q$2)</f>
        <v>56357.542835272849</v>
      </c>
      <c r="K19" s="28">
        <f t="shared" si="1"/>
        <v>5.6357542835272501E-3</v>
      </c>
      <c r="N19" s="30">
        <v>-3.3689058115434337E-2</v>
      </c>
      <c r="O19">
        <v>1</v>
      </c>
    </row>
    <row r="20" spans="1:15">
      <c r="A20" s="1">
        <v>19</v>
      </c>
      <c r="B20" s="28">
        <f>Data!D23/Data!D22</f>
        <v>1.000447481932808</v>
      </c>
      <c r="C20" s="28">
        <f>Data!H23/Data!H22</f>
        <v>0.99977467071286064</v>
      </c>
      <c r="D20" s="28">
        <f>Data!L23/Data!L22</f>
        <v>0.99821065367802853</v>
      </c>
      <c r="E20" s="28">
        <f>Data!P23/Data!P22</f>
        <v>1.0262730935603486</v>
      </c>
      <c r="F20" s="105">
        <f t="shared" si="0"/>
        <v>7.952956397581798E-3</v>
      </c>
      <c r="G20">
        <v>481</v>
      </c>
      <c r="H20" s="14">
        <f>$N$2*B20+$O$2*C20+$P$2*D20+$Q$2*E20</f>
        <v>10051870.78066854</v>
      </c>
      <c r="J20" s="13">
        <f>H20-SUM($N$2:$Q$2)</f>
        <v>51870.780668539926</v>
      </c>
      <c r="K20" s="28">
        <f t="shared" si="1"/>
        <v>5.1870780668539229E-3</v>
      </c>
      <c r="N20" s="30">
        <v>-2.8990710786125969E-2</v>
      </c>
      <c r="O20">
        <v>0</v>
      </c>
    </row>
    <row r="21" spans="1:15">
      <c r="A21" s="1">
        <v>20</v>
      </c>
      <c r="B21" s="28">
        <f>Data!D24/Data!D23</f>
        <v>0.99450009067700851</v>
      </c>
      <c r="C21" s="28">
        <f>Data!H24/Data!H23</f>
        <v>0.98495500748557197</v>
      </c>
      <c r="D21" s="28">
        <f>Data!L24/Data!L23</f>
        <v>0.98739961475525118</v>
      </c>
      <c r="E21" s="28">
        <f>Data!P24/Data!P23</f>
        <v>0.98926705841016638</v>
      </c>
      <c r="F21" s="105">
        <f t="shared" si="0"/>
        <v>8.033289290486665E-3</v>
      </c>
      <c r="G21">
        <v>480</v>
      </c>
      <c r="H21" s="14">
        <f>$N$2*B21+$O$2*C21+$P$2*D21+$Q$2*E21</f>
        <v>9898799.1167403348</v>
      </c>
      <c r="J21" s="13">
        <f>H21-SUM($N$2:$Q$2)</f>
        <v>-101200.88325966522</v>
      </c>
      <c r="K21" s="28">
        <f t="shared" si="1"/>
        <v>-1.0120088325966559E-2</v>
      </c>
      <c r="N21" s="30">
        <v>-2.4292363456817605E-2</v>
      </c>
      <c r="O21">
        <v>3</v>
      </c>
    </row>
    <row r="22" spans="1:15">
      <c r="A22" s="1">
        <v>21</v>
      </c>
      <c r="B22" s="28">
        <f>Data!D25/Data!D24</f>
        <v>0.99344566989882699</v>
      </c>
      <c r="C22" s="28">
        <f>Data!H25/Data!H24</f>
        <v>0.98452446177540931</v>
      </c>
      <c r="D22" s="28">
        <f>Data!L25/Data!L24</f>
        <v>0.98488225018861197</v>
      </c>
      <c r="E22" s="28">
        <f>Data!P25/Data!P24</f>
        <v>0.98483616996493895</v>
      </c>
      <c r="F22" s="105">
        <f t="shared" si="0"/>
        <v>8.1144336267542066E-3</v>
      </c>
      <c r="G22">
        <v>479</v>
      </c>
      <c r="H22" s="14">
        <f>$N$2*B22+$O$2*C22+$P$2*D22+$Q$2*E22</f>
        <v>9881910.6550400257</v>
      </c>
      <c r="J22" s="13">
        <f>H22-SUM($N$2:$Q$2)</f>
        <v>-118089.34495997429</v>
      </c>
      <c r="K22" s="28">
        <f t="shared" si="1"/>
        <v>-1.1808934495997403E-2</v>
      </c>
      <c r="N22" s="30">
        <v>-1.9594016127509238E-2</v>
      </c>
      <c r="O22">
        <v>3</v>
      </c>
    </row>
    <row r="23" spans="1:15">
      <c r="A23" s="1">
        <v>22</v>
      </c>
      <c r="B23" s="28">
        <f>Data!D26/Data!D25</f>
        <v>1.0053541297487345</v>
      </c>
      <c r="C23" s="28">
        <f>Data!H26/Data!H25</f>
        <v>0.99885253426022769</v>
      </c>
      <c r="D23" s="28">
        <f>Data!L26/Data!L25</f>
        <v>0.99770973422029763</v>
      </c>
      <c r="E23" s="28">
        <f>Data!P26/Data!P25</f>
        <v>1.0017551186843572</v>
      </c>
      <c r="F23" s="105">
        <f t="shared" si="0"/>
        <v>8.1963976027820268E-3</v>
      </c>
      <c r="G23">
        <v>478</v>
      </c>
      <c r="H23" s="14">
        <f>$N$2*B23+$O$2*C23+$P$2*D23+$Q$2*E23</f>
        <v>10019194.093364634</v>
      </c>
      <c r="J23" s="13">
        <f>H23-SUM($N$2:$Q$2)</f>
        <v>19194.09336463362</v>
      </c>
      <c r="K23" s="28">
        <f>(H23/$R$2)-1</f>
        <v>1.9194093364633957E-3</v>
      </c>
      <c r="N23" s="30">
        <v>-1.4895668798200874E-2</v>
      </c>
      <c r="O23">
        <v>20</v>
      </c>
    </row>
    <row r="24" spans="1:15">
      <c r="A24" s="1">
        <v>23</v>
      </c>
      <c r="B24" s="28">
        <f>Data!D27/Data!D26</f>
        <v>1.0004151996425596</v>
      </c>
      <c r="C24" s="28">
        <f>Data!H27/Data!H26</f>
        <v>0.99376521457797817</v>
      </c>
      <c r="D24" s="28">
        <f>Data!L27/Data!L26</f>
        <v>0.99876378679805322</v>
      </c>
      <c r="E24" s="28">
        <f>Data!P27/Data!P26</f>
        <v>0.97386727404197537</v>
      </c>
      <c r="F24" s="105">
        <f t="shared" si="0"/>
        <v>8.2791894977596227E-3</v>
      </c>
      <c r="G24">
        <v>477</v>
      </c>
      <c r="H24" s="14">
        <f>$N$2*B24+$O$2*C24+$P$2*D24+$Q$2*E24</f>
        <v>9929454.7771861777</v>
      </c>
      <c r="J24" s="13">
        <f>H24-SUM($N$2:$Q$2)</f>
        <v>-70545.222813822329</v>
      </c>
      <c r="K24" s="28">
        <f t="shared" si="1"/>
        <v>-7.0545222813822583E-3</v>
      </c>
      <c r="N24" s="30">
        <v>-1.019732146889251E-2</v>
      </c>
      <c r="O24">
        <v>40</v>
      </c>
    </row>
    <row r="25" spans="1:15">
      <c r="A25" s="1">
        <v>24</v>
      </c>
      <c r="B25" s="28">
        <f>Data!D28/Data!D27</f>
        <v>1.0088840415413396</v>
      </c>
      <c r="C25" s="28">
        <f>Data!H28/Data!H27</f>
        <v>1.0147272741454962</v>
      </c>
      <c r="D25" s="28">
        <f>Data!L28/Data!L27</f>
        <v>1.013118839586211</v>
      </c>
      <c r="E25" s="28">
        <f>Data!P28/Data!P27</f>
        <v>0.99499541943010028</v>
      </c>
      <c r="F25" s="105">
        <f t="shared" si="0"/>
        <v>8.3628176745046707E-3</v>
      </c>
      <c r="G25">
        <v>476</v>
      </c>
      <c r="H25" s="14">
        <f>$N$2*B25+$O$2*C25+$P$2*D25+$Q$2*E25</f>
        <v>10082827.667048259</v>
      </c>
      <c r="J25" s="13">
        <f>H25-SUM($N$2:$Q$2)</f>
        <v>82827.667048258707</v>
      </c>
      <c r="K25" s="28">
        <f t="shared" si="1"/>
        <v>8.2827667048259723E-3</v>
      </c>
      <c r="N25" s="30">
        <v>-5.4989741395841465E-3</v>
      </c>
      <c r="O25">
        <v>52</v>
      </c>
    </row>
    <row r="26" spans="1:15">
      <c r="A26" s="1">
        <v>25</v>
      </c>
      <c r="B26" s="28">
        <f>Data!D29/Data!D28</f>
        <v>1.0039336968139925</v>
      </c>
      <c r="C26" s="28">
        <f>Data!H29/Data!H28</f>
        <v>0.99890738675494484</v>
      </c>
      <c r="D26" s="28">
        <f>Data!L29/Data!L28</f>
        <v>1.0014437224449571</v>
      </c>
      <c r="E26" s="28">
        <f>Data!P29/Data!P28</f>
        <v>1.0028051389204746</v>
      </c>
      <c r="F26" s="105">
        <f t="shared" si="0"/>
        <v>8.4472905803077477E-3</v>
      </c>
      <c r="G26">
        <v>475</v>
      </c>
      <c r="H26" s="14">
        <f>$N$2*B26+$O$2*C26+$P$2*D26+$Q$2*E26</f>
        <v>10019510.94780671</v>
      </c>
      <c r="J26" s="13">
        <f>H26-SUM($N$2:$Q$2)</f>
        <v>19510.947806710377</v>
      </c>
      <c r="K26" s="28">
        <f t="shared" si="1"/>
        <v>1.9510947806711254E-3</v>
      </c>
      <c r="N26" s="30">
        <v>-8.006268102757827E-4</v>
      </c>
      <c r="O26">
        <v>89</v>
      </c>
    </row>
    <row r="27" spans="1:15">
      <c r="A27" s="1">
        <v>26</v>
      </c>
      <c r="B27" s="28">
        <f>Data!D30/Data!D29</f>
        <v>0.99861998107996652</v>
      </c>
      <c r="C27" s="28">
        <f>Data!H30/Data!H29</f>
        <v>1.0060208963742119</v>
      </c>
      <c r="D27" s="28">
        <f>Data!L30/Data!L29</f>
        <v>1.0029814738329574</v>
      </c>
      <c r="E27" s="28">
        <f>Data!P30/Data!P29</f>
        <v>1.014453529931364</v>
      </c>
      <c r="F27" s="105">
        <f t="shared" si="0"/>
        <v>8.5326167477856041E-3</v>
      </c>
      <c r="G27">
        <v>474</v>
      </c>
      <c r="H27" s="14">
        <f>$N$2*B27+$O$2*C27+$P$2*D27+$Q$2*E27</f>
        <v>10044431.147138188</v>
      </c>
      <c r="J27" s="13">
        <f>H27-SUM($N$2:$Q$2)</f>
        <v>44431.147138187662</v>
      </c>
      <c r="K27" s="28">
        <f t="shared" si="1"/>
        <v>4.4431147138188631E-3</v>
      </c>
      <c r="N27" s="30">
        <v>3.8977205190325812E-3</v>
      </c>
      <c r="O27">
        <v>133</v>
      </c>
    </row>
    <row r="28" spans="1:15">
      <c r="A28" s="1">
        <v>27</v>
      </c>
      <c r="B28" s="28">
        <f>Data!D31/Data!D30</f>
        <v>1.0028957118653921</v>
      </c>
      <c r="C28" s="28">
        <f>Data!H31/Data!H30</f>
        <v>0.99324910986227666</v>
      </c>
      <c r="D28" s="28">
        <f>Data!L31/Data!L30</f>
        <v>0.9962290074846063</v>
      </c>
      <c r="E28" s="28">
        <f>Data!P31/Data!P30</f>
        <v>0.99374321022954548</v>
      </c>
      <c r="F28" s="105">
        <f t="shared" si="0"/>
        <v>8.6188047957430347E-3</v>
      </c>
      <c r="G28">
        <v>473</v>
      </c>
      <c r="H28" s="14">
        <f>$N$2*B28+$O$2*C28+$P$2*D28+$Q$2*E28</f>
        <v>9975045.6049920954</v>
      </c>
      <c r="J28" s="13">
        <f>H28-SUM($N$2:$Q$2)</f>
        <v>-24954.395007904619</v>
      </c>
      <c r="K28" s="28">
        <f t="shared" si="1"/>
        <v>-2.4954395007904528E-3</v>
      </c>
      <c r="N28" s="30">
        <v>8.5960678483409519E-3</v>
      </c>
      <c r="O28">
        <v>92</v>
      </c>
    </row>
    <row r="29" spans="1:15">
      <c r="A29" s="1">
        <v>28</v>
      </c>
      <c r="B29" s="28">
        <f>Data!D32/Data!D31</f>
        <v>0.99828212134658845</v>
      </c>
      <c r="C29" s="28">
        <f>Data!H32/Data!H31</f>
        <v>0.99695879842776203</v>
      </c>
      <c r="D29" s="28">
        <f>Data!L32/Data!L31</f>
        <v>0.99855324213990038</v>
      </c>
      <c r="E29" s="28">
        <f>Data!P32/Data!P31</f>
        <v>1.003963738984476</v>
      </c>
      <c r="F29" s="105">
        <f t="shared" si="0"/>
        <v>8.705863430043469E-3</v>
      </c>
      <c r="G29">
        <v>472</v>
      </c>
      <c r="H29" s="14">
        <f>$N$2*B29+$O$2*C29+$P$2*D29+$Q$2*E29</f>
        <v>9990485.6007784922</v>
      </c>
      <c r="J29" s="13">
        <f>H29-SUM($N$2:$Q$2)</f>
        <v>-9514.3992215078324</v>
      </c>
      <c r="K29" s="28">
        <f t="shared" si="1"/>
        <v>-9.5143992215074302E-4</v>
      </c>
      <c r="N29" s="30">
        <v>1.3294415177649316E-2</v>
      </c>
      <c r="O29">
        <v>43</v>
      </c>
    </row>
    <row r="30" spans="1:15">
      <c r="A30" s="1">
        <v>29</v>
      </c>
      <c r="B30" s="28">
        <f>Data!D33/Data!D32</f>
        <v>1.0062629376712928</v>
      </c>
      <c r="C30" s="28">
        <f>Data!H33/Data!H32</f>
        <v>1.0071781913908044</v>
      </c>
      <c r="D30" s="28">
        <f>Data!L33/Data!L32</f>
        <v>1.0150019839757309</v>
      </c>
      <c r="E30" s="28">
        <f>Data!P33/Data!P32</f>
        <v>0.98960618808556888</v>
      </c>
      <c r="F30" s="105">
        <f t="shared" si="0"/>
        <v>8.7938014444883528E-3</v>
      </c>
      <c r="G30">
        <v>471</v>
      </c>
      <c r="H30" s="14">
        <f>$N$2*B30+$O$2*C30+$P$2*D30+$Q$2*E30</f>
        <v>10040800.685004454</v>
      </c>
      <c r="J30" s="13">
        <f>H30-SUM($N$2:$Q$2)</f>
        <v>40800.685004454106</v>
      </c>
      <c r="K30" s="28">
        <f t="shared" si="1"/>
        <v>4.0800685004453996E-3</v>
      </c>
      <c r="N30" s="30">
        <v>1.799276250695768E-2</v>
      </c>
      <c r="O30">
        <v>12</v>
      </c>
    </row>
    <row r="31" spans="1:15">
      <c r="A31" s="1">
        <v>30</v>
      </c>
      <c r="B31" s="28">
        <f>Data!D34/Data!D33</f>
        <v>0.99311472558358205</v>
      </c>
      <c r="C31" s="28">
        <f>Data!H34/Data!H33</f>
        <v>1.0092962677056827</v>
      </c>
      <c r="D31" s="28">
        <f>Data!L34/Data!L33</f>
        <v>1.004403854269629</v>
      </c>
      <c r="E31" s="28">
        <f>Data!P34/Data!P33</f>
        <v>1.0114060171716133</v>
      </c>
      <c r="F31" s="105">
        <f t="shared" si="0"/>
        <v>8.8826277217054061E-3</v>
      </c>
      <c r="G31">
        <v>470</v>
      </c>
      <c r="H31" s="14">
        <f>$N$2*B31+$O$2*C31+$P$2*D31+$Q$2*E31</f>
        <v>10027563.594064232</v>
      </c>
      <c r="J31" s="13">
        <f>H31-SUM($N$2:$Q$2)</f>
        <v>27563.594064231962</v>
      </c>
      <c r="K31" s="28">
        <f t="shared" si="1"/>
        <v>2.7563594064232699E-3</v>
      </c>
      <c r="N31" s="30">
        <v>2.2691109836266043E-2</v>
      </c>
      <c r="O31">
        <v>6</v>
      </c>
    </row>
    <row r="32" spans="1:15">
      <c r="A32" s="1">
        <v>31</v>
      </c>
      <c r="B32" s="28">
        <f>Data!D35/Data!D34</f>
        <v>0.99782107874376913</v>
      </c>
      <c r="C32" s="28">
        <f>Data!H35/Data!H34</f>
        <v>0.99024565772887985</v>
      </c>
      <c r="D32" s="28">
        <f>Data!L35/Data!L34</f>
        <v>0.9935765850872319</v>
      </c>
      <c r="E32" s="28">
        <f>Data!P35/Data!P34</f>
        <v>0.99079062394651418</v>
      </c>
      <c r="F32" s="105">
        <f t="shared" si="0"/>
        <v>8.972351234045866E-3</v>
      </c>
      <c r="G32">
        <v>469</v>
      </c>
      <c r="H32" s="14">
        <f>$N$2*B32+$O$2*C32+$P$2*D32+$Q$2*E32</f>
        <v>9937179.1211419757</v>
      </c>
      <c r="J32" s="13">
        <f>H32-SUM($N$2:$Q$2)</f>
        <v>-62820.878858024254</v>
      </c>
      <c r="K32" s="28">
        <f t="shared" si="1"/>
        <v>-6.2820878858024232E-3</v>
      </c>
      <c r="N32" s="30">
        <v>2.7389457165574407E-2</v>
      </c>
      <c r="O32">
        <v>0</v>
      </c>
    </row>
    <row r="33" spans="1:15">
      <c r="A33" s="1">
        <v>32</v>
      </c>
      <c r="B33" s="28">
        <f>Data!D36/Data!D35</f>
        <v>1.0058836819283807</v>
      </c>
      <c r="C33" s="28">
        <f>Data!H36/Data!H35</f>
        <v>0.99425511407396294</v>
      </c>
      <c r="D33" s="28">
        <f>Data!L36/Data!L35</f>
        <v>0.99603727783217255</v>
      </c>
      <c r="E33" s="28">
        <f>Data!P36/Data!P35</f>
        <v>0.99900075892023454</v>
      </c>
      <c r="F33" s="105">
        <f t="shared" si="0"/>
        <v>9.0629810444907734E-3</v>
      </c>
      <c r="G33">
        <v>468</v>
      </c>
      <c r="H33" s="14">
        <f>$N$2*B33+$O$2*C33+$P$2*D33+$Q$2*E33</f>
        <v>10000338.865608053</v>
      </c>
      <c r="J33" s="13">
        <f>H33-SUM($N$2:$Q$2)</f>
        <v>338.8656080532819</v>
      </c>
      <c r="K33" s="28">
        <f t="shared" si="1"/>
        <v>3.3886560805385102E-5</v>
      </c>
      <c r="N33" s="30">
        <v>3.2087804494882771E-2</v>
      </c>
      <c r="O33">
        <v>3</v>
      </c>
    </row>
    <row r="34" spans="1:15">
      <c r="A34" s="1">
        <v>33</v>
      </c>
      <c r="B34" s="28">
        <f>Data!D37/Data!D36</f>
        <v>1.0080840995144185</v>
      </c>
      <c r="C34" s="28">
        <f>Data!H37/Data!H36</f>
        <v>1.0107465062833452</v>
      </c>
      <c r="D34" s="28">
        <f>Data!L37/Data!L36</f>
        <v>1.0089335945974485</v>
      </c>
      <c r="E34" s="28">
        <f>Data!P37/Data!P36</f>
        <v>0.99043941830755422</v>
      </c>
      <c r="F34" s="105">
        <f t="shared" si="0"/>
        <v>9.1545263075664372E-3</v>
      </c>
      <c r="G34">
        <v>467</v>
      </c>
      <c r="H34" s="14">
        <f>$N$2*B34+$O$2*C34+$P$2*D34+$Q$2*E34</f>
        <v>10054388.348120267</v>
      </c>
      <c r="J34" s="13">
        <f>H34-SUM($N$2:$Q$2)</f>
        <v>54388.348120266572</v>
      </c>
      <c r="K34" s="28">
        <f t="shared" si="1"/>
        <v>5.4388348120266716E-3</v>
      </c>
      <c r="N34" s="30">
        <v>3.6786151824191135E-2</v>
      </c>
      <c r="O34">
        <v>1</v>
      </c>
    </row>
    <row r="35" spans="1:15">
      <c r="A35" s="1">
        <v>34</v>
      </c>
      <c r="B35" s="28">
        <f>Data!D38/Data!D37</f>
        <v>1.0017010315020751</v>
      </c>
      <c r="C35" s="28">
        <f>Data!H38/Data!H37</f>
        <v>1.0059965963563058</v>
      </c>
      <c r="D35" s="28">
        <f>Data!L38/Data!L37</f>
        <v>1.007312915758207</v>
      </c>
      <c r="E35" s="28">
        <f>Data!P38/Data!P37</f>
        <v>1.0222131922602209</v>
      </c>
      <c r="F35" s="105">
        <f t="shared" si="0"/>
        <v>9.2469962702691304E-3</v>
      </c>
      <c r="G35">
        <v>466</v>
      </c>
      <c r="H35" s="14">
        <f>$N$2*B35+$O$2*C35+$P$2*D35+$Q$2*E35</f>
        <v>10076533.215355866</v>
      </c>
      <c r="J35" s="13">
        <f>H35-SUM($N$2:$Q$2)</f>
        <v>76533.215355865657</v>
      </c>
      <c r="K35" s="28">
        <f t="shared" si="1"/>
        <v>7.6533215355865103E-3</v>
      </c>
      <c r="N35" s="30">
        <v>4.1484499153499499E-2</v>
      </c>
      <c r="O35">
        <v>0</v>
      </c>
    </row>
    <row r="36" spans="1:15">
      <c r="A36" s="1">
        <v>35</v>
      </c>
      <c r="B36" s="28">
        <f>Data!D39/Data!D38</f>
        <v>1.0024988793112299</v>
      </c>
      <c r="C36" s="28">
        <f>Data!H39/Data!H38</f>
        <v>0.99916206634883808</v>
      </c>
      <c r="D36" s="28">
        <f>Data!L39/Data!L38</f>
        <v>0.99966621178032233</v>
      </c>
      <c r="E36" s="28">
        <f>Data!P39/Data!P38</f>
        <v>1.0007343426224837</v>
      </c>
      <c r="F36" s="105">
        <f t="shared" si="0"/>
        <v>9.3404002729991203E-3</v>
      </c>
      <c r="G36">
        <v>465</v>
      </c>
      <c r="H36" s="14">
        <f>$N$2*B36+$O$2*C36+$P$2*D36+$Q$2*E36</f>
        <v>10008616.613316724</v>
      </c>
      <c r="J36" s="13">
        <f>H36-SUM($N$2:$Q$2)</f>
        <v>8616.6133167240769</v>
      </c>
      <c r="K36" s="28">
        <f t="shared" si="1"/>
        <v>8.6166133167231429E-4</v>
      </c>
      <c r="N36" s="30">
        <v>4.6182846482807863E-2</v>
      </c>
      <c r="O36">
        <v>0</v>
      </c>
    </row>
    <row r="37" spans="1:15">
      <c r="A37" s="1">
        <v>36</v>
      </c>
      <c r="B37" s="28">
        <f>Data!D40/Data!D39</f>
        <v>0.99663948730420826</v>
      </c>
      <c r="C37" s="28">
        <f>Data!H40/Data!H39</f>
        <v>0.99531138199605063</v>
      </c>
      <c r="D37" s="28">
        <f>Data!L40/Data!L39</f>
        <v>0.99822672577580751</v>
      </c>
      <c r="E37" s="28">
        <f>Data!P40/Data!P39</f>
        <v>1.0043652915110972</v>
      </c>
      <c r="F37" s="105">
        <f t="shared" si="0"/>
        <v>9.4347477505041626E-3</v>
      </c>
      <c r="G37">
        <v>464</v>
      </c>
      <c r="H37" s="14">
        <f>$N$2*B37+$O$2*C37+$P$2*D37+$Q$2*E37</f>
        <v>9979449.4040029868</v>
      </c>
      <c r="J37" s="13">
        <f>H37-SUM($N$2:$Q$2)</f>
        <v>-20550.595997013152</v>
      </c>
      <c r="K37" s="28">
        <f t="shared" si="1"/>
        <v>-2.0550595997013144E-3</v>
      </c>
      <c r="N37" s="30">
        <v>5.0881193812116227E-2</v>
      </c>
      <c r="O37">
        <v>0</v>
      </c>
    </row>
    <row r="38" spans="1:15" ht="15" thickBot="1">
      <c r="A38" s="1">
        <v>37</v>
      </c>
      <c r="B38" s="28">
        <f>Data!D41/Data!D40</f>
        <v>0.99925336520801744</v>
      </c>
      <c r="C38" s="28">
        <f>Data!H41/Data!H40</f>
        <v>1.0084847991856756</v>
      </c>
      <c r="D38" s="28">
        <f>Data!L41/Data!L40</f>
        <v>1.0047984975383228</v>
      </c>
      <c r="E38" s="28">
        <f>Data!P41/Data!P40</f>
        <v>1.0109385962880892</v>
      </c>
      <c r="F38" s="105">
        <f t="shared" si="0"/>
        <v>9.530048232832487E-3</v>
      </c>
      <c r="G38">
        <v>463</v>
      </c>
      <c r="H38" s="14">
        <f>$N$2*B38+$O$2*C38+$P$2*D38+$Q$2*E38</f>
        <v>10049143.548503598</v>
      </c>
      <c r="J38" s="13">
        <f>H38-SUM($N$2:$Q$2)</f>
        <v>49143.548503598198</v>
      </c>
      <c r="K38" s="28">
        <f t="shared" si="1"/>
        <v>4.9143548503598478E-3</v>
      </c>
      <c r="N38" s="23" t="s">
        <v>25</v>
      </c>
      <c r="O38" s="23">
        <v>1</v>
      </c>
    </row>
    <row r="39" spans="1:15">
      <c r="A39" s="1">
        <v>38</v>
      </c>
      <c r="B39" s="28">
        <f>Data!D42/Data!D41</f>
        <v>1.0048833154104204</v>
      </c>
      <c r="C39" s="28">
        <f>Data!H42/Data!H41</f>
        <v>0.99869307230972792</v>
      </c>
      <c r="D39" s="28">
        <f>Data!L42/Data!L41</f>
        <v>0.99529478532175353</v>
      </c>
      <c r="E39" s="28">
        <f>Data!P42/Data!P41</f>
        <v>0.99789325020570974</v>
      </c>
      <c r="F39" s="105">
        <f t="shared" si="0"/>
        <v>9.6263113462954422E-3</v>
      </c>
      <c r="G39">
        <v>462</v>
      </c>
      <c r="H39" s="14">
        <f>$N$2*B39+$O$2*C39+$P$2*D39+$Q$2*E39</f>
        <v>10006693.764304038</v>
      </c>
      <c r="J39" s="13">
        <f>H39-SUM($N$2:$Q$2)</f>
        <v>6693.7643040381372</v>
      </c>
      <c r="K39" s="28">
        <f t="shared" si="1"/>
        <v>6.6937643040376749E-4</v>
      </c>
    </row>
    <row r="40" spans="1:15">
      <c r="A40" s="1">
        <v>39</v>
      </c>
      <c r="B40" s="28">
        <f>Data!D43/Data!D42</f>
        <v>1.0105113350512562</v>
      </c>
      <c r="C40" s="28">
        <f>Data!H43/Data!H42</f>
        <v>1.0022920430020978</v>
      </c>
      <c r="D40" s="28">
        <f>Data!L43/Data!L42</f>
        <v>1.0029534354161143</v>
      </c>
      <c r="E40" s="28">
        <f>Data!P43/Data!P42</f>
        <v>0.98942202443835625</v>
      </c>
      <c r="F40" s="105">
        <f t="shared" si="0"/>
        <v>9.7235468144398398E-3</v>
      </c>
      <c r="G40">
        <v>461</v>
      </c>
      <c r="H40" s="14">
        <f>$N$2*B40+$O$2*C40+$P$2*D40+$Q$2*E40</f>
        <v>10030718.953504145</v>
      </c>
      <c r="J40" s="13">
        <f>H40-SUM($N$2:$Q$2)</f>
        <v>30718.953504145145</v>
      </c>
      <c r="K40" s="28">
        <f t="shared" si="1"/>
        <v>3.0718953504145219E-3</v>
      </c>
    </row>
    <row r="41" spans="1:15">
      <c r="A41" s="1">
        <v>40</v>
      </c>
      <c r="B41" s="28">
        <f>Data!D44/Data!D43</f>
        <v>1.0013568921768583</v>
      </c>
      <c r="C41" s="28">
        <f>Data!H44/Data!H43</f>
        <v>1.0025231013455329</v>
      </c>
      <c r="D41" s="28">
        <f>Data!L44/Data!L43</f>
        <v>1.0060838382589339</v>
      </c>
      <c r="E41" s="28">
        <f>Data!P44/Data!P43</f>
        <v>1.0253263819466782</v>
      </c>
      <c r="F41" s="105">
        <f t="shared" si="0"/>
        <v>9.8217644590301439E-3</v>
      </c>
      <c r="G41">
        <v>460</v>
      </c>
      <c r="H41" s="14">
        <f>$N$2*B41+$O$2*C41+$P$2*D41+$Q$2*E41</f>
        <v>10069733.474896323</v>
      </c>
      <c r="J41" s="13">
        <f>H41-SUM($N$2:$Q$2)</f>
        <v>69733.474896322936</v>
      </c>
      <c r="K41" s="28">
        <f t="shared" si="1"/>
        <v>6.9733474896322978E-3</v>
      </c>
    </row>
    <row r="42" spans="1:15">
      <c r="A42" s="1">
        <v>41</v>
      </c>
      <c r="B42" s="28">
        <f>Data!D45/Data!D44</f>
        <v>0.99861123868576651</v>
      </c>
      <c r="C42" s="28">
        <f>Data!H45/Data!H44</f>
        <v>0.99561640773256166</v>
      </c>
      <c r="D42" s="28">
        <f>Data!L45/Data!L44</f>
        <v>0.99073107188476095</v>
      </c>
      <c r="E42" s="28">
        <f>Data!P45/Data!P44</f>
        <v>0.98827680601919721</v>
      </c>
      <c r="F42" s="105">
        <f t="shared" si="0"/>
        <v>9.9209742010405479E-3</v>
      </c>
      <c r="G42">
        <v>459</v>
      </c>
      <c r="H42" s="14">
        <f>$N$2*B42+$O$2*C42+$P$2*D42+$Q$2*E42</f>
        <v>9948578.8618639056</v>
      </c>
      <c r="J42" s="13">
        <f>H42-SUM($N$2:$Q$2)</f>
        <v>-51421.138136094436</v>
      </c>
      <c r="K42" s="28">
        <f t="shared" si="1"/>
        <v>-5.1421138136094058E-3</v>
      </c>
    </row>
    <row r="43" spans="1:15">
      <c r="A43" s="1">
        <v>42</v>
      </c>
      <c r="B43" s="28">
        <f>Data!D46/Data!D45</f>
        <v>1.0014311982656847</v>
      </c>
      <c r="C43" s="28">
        <f>Data!H46/Data!H45</f>
        <v>1.0043372393785315</v>
      </c>
      <c r="D43" s="28">
        <f>Data!L46/Data!L45</f>
        <v>1.0014683415823669</v>
      </c>
      <c r="E43" s="28">
        <f>Data!P46/Data!P45</f>
        <v>0.99697616273316014</v>
      </c>
      <c r="F43" s="105">
        <f t="shared" si="0"/>
        <v>1.0021186061657118E-2</v>
      </c>
      <c r="G43">
        <v>458</v>
      </c>
      <c r="H43" s="14">
        <f>$N$2*B43+$O$2*C43+$P$2*D43+$Q$2*E43</f>
        <v>10014157.178247022</v>
      </c>
      <c r="J43" s="13">
        <f>H43-SUM($N$2:$Q$2)</f>
        <v>14157.178247021511</v>
      </c>
      <c r="K43" s="28">
        <f t="shared" si="1"/>
        <v>1.4157178247020674E-3</v>
      </c>
    </row>
    <row r="44" spans="1:15">
      <c r="A44" s="1">
        <v>43</v>
      </c>
      <c r="B44" s="28">
        <f>Data!D47/Data!D46</f>
        <v>0.99873263802574663</v>
      </c>
      <c r="C44" s="28">
        <f>Data!H47/Data!H46</f>
        <v>1.0005628980765444</v>
      </c>
      <c r="D44" s="28">
        <f>Data!L47/Data!L46</f>
        <v>1.0013937263106174</v>
      </c>
      <c r="E44" s="28">
        <f>Data!P47/Data!P46</f>
        <v>0.99584569019075042</v>
      </c>
      <c r="F44" s="105">
        <f t="shared" si="0"/>
        <v>1.012241016329002E-2</v>
      </c>
      <c r="G44">
        <v>457</v>
      </c>
      <c r="H44" s="14">
        <f>$N$2*B44+$O$2*C44+$P$2*D44+$Q$2*E44</f>
        <v>9989704.3530247379</v>
      </c>
      <c r="J44" s="13">
        <f>H44-SUM($N$2:$Q$2)</f>
        <v>-10295.646975262091</v>
      </c>
      <c r="K44" s="28">
        <f t="shared" si="1"/>
        <v>-1.0295646975262418E-3</v>
      </c>
    </row>
    <row r="45" spans="1:15">
      <c r="A45" s="1">
        <v>44</v>
      </c>
      <c r="B45" s="28">
        <f>Data!D48/Data!D47</f>
        <v>1.0080635295090419</v>
      </c>
      <c r="C45" s="28">
        <f>Data!H48/Data!H47</f>
        <v>1.0079245447594112</v>
      </c>
      <c r="D45" s="28">
        <f>Data!L48/Data!L47</f>
        <v>1.008208733818537</v>
      </c>
      <c r="E45" s="28">
        <f>Data!P48/Data!P47</f>
        <v>0.9987315856848753</v>
      </c>
      <c r="F45" s="105">
        <f t="shared" si="0"/>
        <v>1.0224656730595978E-2</v>
      </c>
      <c r="G45">
        <v>456</v>
      </c>
      <c r="H45" s="14">
        <f>$N$2*B45+$O$2*C45+$P$2*D45+$Q$2*E45</f>
        <v>10061699.657502688</v>
      </c>
      <c r="J45" s="13">
        <f>H45-SUM($N$2:$Q$2)</f>
        <v>61699.657502688468</v>
      </c>
      <c r="K45" s="28">
        <f t="shared" si="1"/>
        <v>6.1699657502689575E-3</v>
      </c>
    </row>
    <row r="46" spans="1:15">
      <c r="A46" s="1">
        <v>45</v>
      </c>
      <c r="B46" s="28">
        <f>Data!D49/Data!D48</f>
        <v>1.0010721728868317</v>
      </c>
      <c r="C46" s="28">
        <f>Data!H49/Data!H48</f>
        <v>1.005285138366617</v>
      </c>
      <c r="D46" s="28">
        <f>Data!L49/Data!L48</f>
        <v>0.99496281056470348</v>
      </c>
      <c r="E46" s="28">
        <f>Data!P49/Data!P48</f>
        <v>1.0072128992858649</v>
      </c>
      <c r="F46" s="105">
        <f t="shared" si="0"/>
        <v>1.0327936091511091E-2</v>
      </c>
      <c r="G46">
        <v>455</v>
      </c>
      <c r="H46" s="14">
        <f>$N$2*B46+$O$2*C46+$P$2*D46+$Q$2*E46</f>
        <v>10029532.715783611</v>
      </c>
      <c r="J46" s="13">
        <f>H46-SUM($N$2:$Q$2)</f>
        <v>29532.71578361094</v>
      </c>
      <c r="K46" s="28">
        <f t="shared" si="1"/>
        <v>2.9532715783611163E-3</v>
      </c>
    </row>
    <row r="47" spans="1:15" ht="15" thickBot="1">
      <c r="A47" s="1">
        <v>46</v>
      </c>
      <c r="B47" s="28">
        <f>Data!D50/Data!D49</f>
        <v>1.0016788581757801</v>
      </c>
      <c r="C47" s="28">
        <f>Data!H50/Data!H49</f>
        <v>1.0049915954624657</v>
      </c>
      <c r="D47" s="28">
        <f>Data!L50/Data!L49</f>
        <v>1.0033877101281585</v>
      </c>
      <c r="E47" s="28">
        <f>Data!P50/Data!P49</f>
        <v>1.014695235755388</v>
      </c>
      <c r="F47" s="105">
        <f t="shared" si="0"/>
        <v>1.043225867829403E-2</v>
      </c>
      <c r="G47">
        <v>454</v>
      </c>
      <c r="H47" s="14">
        <f>$N$2*B47+$O$2*C47+$P$2*D47+$Q$2*E47</f>
        <v>10054468.400729451</v>
      </c>
      <c r="J47" s="13">
        <f>H47-SUM($N$2:$Q$2)</f>
        <v>54468.400729451329</v>
      </c>
      <c r="K47" s="28">
        <f t="shared" si="1"/>
        <v>5.4468400729450472E-3</v>
      </c>
    </row>
    <row r="48" spans="1:15">
      <c r="A48" s="1">
        <v>47</v>
      </c>
      <c r="B48" s="28">
        <f>Data!D51/Data!D50</f>
        <v>0.99744837274291165</v>
      </c>
      <c r="C48" s="28">
        <f>Data!H51/Data!H50</f>
        <v>0.99450504634665615</v>
      </c>
      <c r="D48" s="28">
        <f>Data!L51/Data!L50</f>
        <v>0.99086050012627225</v>
      </c>
      <c r="E48" s="28">
        <f>Data!P51/Data!P50</f>
        <v>0.99974841183083529</v>
      </c>
      <c r="F48" s="105">
        <f t="shared" si="0"/>
        <v>1.053763502857983E-2</v>
      </c>
      <c r="G48">
        <v>453</v>
      </c>
      <c r="H48" s="14">
        <f>$N$2*B48+$O$2*C48+$P$2*D48+$Q$2*E48</f>
        <v>9963665.9537995588</v>
      </c>
      <c r="J48" s="13">
        <f>H48-SUM($N$2:$Q$2)</f>
        <v>-36334.046200441197</v>
      </c>
      <c r="K48" s="28">
        <f t="shared" si="1"/>
        <v>-3.6334046200441339E-3</v>
      </c>
      <c r="N48" s="24" t="s">
        <v>91</v>
      </c>
      <c r="O48" s="24" t="s">
        <v>93</v>
      </c>
    </row>
    <row r="49" spans="1:15">
      <c r="A49" s="1">
        <v>48</v>
      </c>
      <c r="B49" s="28">
        <f>Data!D52/Data!D51</f>
        <v>1.0035698685023122</v>
      </c>
      <c r="C49" s="28">
        <f>Data!H52/Data!H51</f>
        <v>1.005603985225082</v>
      </c>
      <c r="D49" s="28">
        <f>Data!L52/Data!L51</f>
        <v>1.0089695329448953</v>
      </c>
      <c r="E49" s="28">
        <f>Data!P52/Data!P51</f>
        <v>0.99929375084520033</v>
      </c>
      <c r="F49" s="105">
        <f t="shared" si="0"/>
        <v>1.0644075786444274E-2</v>
      </c>
      <c r="G49">
        <v>452</v>
      </c>
      <c r="H49" s="14">
        <f>$N$2*B49+$O$2*C49+$P$2*D49+$Q$2*E49</f>
        <v>10038648.464319792</v>
      </c>
      <c r="J49" s="13">
        <f>H49-SUM($N$2:$Q$2)</f>
        <v>38648.464319791645</v>
      </c>
      <c r="K49" s="28">
        <f t="shared" si="1"/>
        <v>3.864846431979263E-3</v>
      </c>
      <c r="N49" s="96">
        <v>-477841.00103359483</v>
      </c>
      <c r="O49">
        <v>1</v>
      </c>
    </row>
    <row r="50" spans="1:15">
      <c r="A50" s="1">
        <v>49</v>
      </c>
      <c r="B50" s="28">
        <f>Data!D53/Data!D52</f>
        <v>1.0015884689660692</v>
      </c>
      <c r="C50" s="28">
        <f>Data!H53/Data!H52</f>
        <v>1.0056282455507703</v>
      </c>
      <c r="D50" s="28">
        <f>Data!L53/Data!L52</f>
        <v>1.006385704937466</v>
      </c>
      <c r="E50" s="28">
        <f>Data!P53/Data!P52</f>
        <v>1.0003651978478323</v>
      </c>
      <c r="F50" s="105">
        <f t="shared" si="0"/>
        <v>1.0751591703479063E-2</v>
      </c>
      <c r="G50">
        <v>451</v>
      </c>
      <c r="H50" s="14">
        <f>$N$2*B50+$O$2*C50+$P$2*D50+$Q$2*E50</f>
        <v>10030354.713149719</v>
      </c>
      <c r="J50" s="13">
        <f>H50-SUM($N$2:$Q$2)</f>
        <v>30354.71314971894</v>
      </c>
      <c r="K50" s="28">
        <f t="shared" si="1"/>
        <v>3.0354713149718382E-3</v>
      </c>
      <c r="N50" s="96">
        <v>-430857.52774051111</v>
      </c>
      <c r="O50">
        <v>0</v>
      </c>
    </row>
    <row r="51" spans="1:15">
      <c r="A51" s="1">
        <v>50</v>
      </c>
      <c r="B51" s="28">
        <f>Data!D54/Data!D53</f>
        <v>0.99922076170543306</v>
      </c>
      <c r="C51" s="28">
        <f>Data!H54/Data!H53</f>
        <v>1.0023753174820416</v>
      </c>
      <c r="D51" s="28">
        <f>Data!L54/Data!L53</f>
        <v>1.0032916276593644</v>
      </c>
      <c r="E51" s="28">
        <f>Data!P54/Data!P53</f>
        <v>1.0021616172719086</v>
      </c>
      <c r="F51" s="105">
        <f t="shared" si="0"/>
        <v>1.0860193639877842E-2</v>
      </c>
      <c r="G51">
        <v>450</v>
      </c>
      <c r="H51" s="14">
        <f>$N$2*B51+$O$2*C51+$P$2*D51+$Q$2*E51</f>
        <v>10011623.861471038</v>
      </c>
      <c r="J51" s="13">
        <f>H51-SUM($N$2:$Q$2)</f>
        <v>11623.861471038312</v>
      </c>
      <c r="K51" s="28">
        <f t="shared" si="1"/>
        <v>1.1623861471037333E-3</v>
      </c>
      <c r="N51" s="96">
        <v>-383874.05444742739</v>
      </c>
      <c r="O51">
        <v>0</v>
      </c>
    </row>
    <row r="52" spans="1:15">
      <c r="A52" s="1">
        <v>51</v>
      </c>
      <c r="B52" s="28">
        <f>Data!D55/Data!D54</f>
        <v>1.0095431152347412</v>
      </c>
      <c r="C52" s="28">
        <f>Data!H55/Data!H54</f>
        <v>0.99724278154153068</v>
      </c>
      <c r="D52" s="28">
        <f>Data!L55/Data!L54</f>
        <v>1.002739002161344</v>
      </c>
      <c r="E52" s="28">
        <f>Data!P55/Data!P54</f>
        <v>1.0036755192719935</v>
      </c>
      <c r="F52" s="105">
        <f t="shared" si="0"/>
        <v>1.0969892565533176E-2</v>
      </c>
      <c r="G52">
        <v>449</v>
      </c>
      <c r="H52" s="14">
        <f>$N$2*B52+$O$2*C52+$P$2*D52+$Q$2*E52</f>
        <v>10039990.846268889</v>
      </c>
      <c r="J52" s="13">
        <f>H52-SUM($N$2:$Q$2)</f>
        <v>39990.846268888563</v>
      </c>
      <c r="K52" s="28">
        <f t="shared" si="1"/>
        <v>3.9990846268889157E-3</v>
      </c>
      <c r="N52" s="96">
        <v>-336890.58115434367</v>
      </c>
      <c r="O52">
        <v>1</v>
      </c>
    </row>
    <row r="53" spans="1:15">
      <c r="A53" s="1">
        <v>52</v>
      </c>
      <c r="B53" s="28">
        <f>Data!D56/Data!D55</f>
        <v>1.0009053463300461</v>
      </c>
      <c r="C53" s="28">
        <f>Data!H56/Data!H55</f>
        <v>1.0024454603382125</v>
      </c>
      <c r="D53" s="28">
        <f>Data!L56/Data!L55</f>
        <v>0.99815549670674741</v>
      </c>
      <c r="E53" s="28">
        <f>Data!P56/Data!P55</f>
        <v>0.99816406294741855</v>
      </c>
      <c r="F53" s="105">
        <f t="shared" si="0"/>
        <v>1.108069956114462E-2</v>
      </c>
      <c r="G53">
        <v>448</v>
      </c>
      <c r="H53" s="14">
        <f>$N$2*B53+$O$2*C53+$P$2*D53+$Q$2*E53</f>
        <v>10005441.388936408</v>
      </c>
      <c r="J53" s="13">
        <f>H53-SUM($N$2:$Q$2)</f>
        <v>5441.3889364078641</v>
      </c>
      <c r="K53" s="28">
        <f t="shared" si="1"/>
        <v>5.4413889364068879E-4</v>
      </c>
      <c r="N53" s="96">
        <v>-289907.10786125995</v>
      </c>
      <c r="O53">
        <v>0</v>
      </c>
    </row>
    <row r="54" spans="1:15">
      <c r="A54" s="1">
        <v>53</v>
      </c>
      <c r="B54" s="28">
        <f>Data!D57/Data!D56</f>
        <v>1.000560691563571</v>
      </c>
      <c r="C54" s="28">
        <f>Data!H57/Data!H56</f>
        <v>1.0080385789955326</v>
      </c>
      <c r="D54" s="28">
        <f>Data!L57/Data!L56</f>
        <v>1.0066923733371889</v>
      </c>
      <c r="E54" s="28">
        <f>Data!P57/Data!P56</f>
        <v>0.9980030487780025</v>
      </c>
      <c r="F54" s="105">
        <f t="shared" si="0"/>
        <v>1.1192625819338001E-2</v>
      </c>
      <c r="G54">
        <v>447</v>
      </c>
      <c r="H54" s="14">
        <f>$N$2*B54+$O$2*C54+$P$2*D54+$Q$2*E54</f>
        <v>10029056.974134075</v>
      </c>
      <c r="J54" s="13">
        <f>H54-SUM($N$2:$Q$2)</f>
        <v>29056.974134074524</v>
      </c>
      <c r="K54" s="28">
        <f t="shared" si="1"/>
        <v>2.9056974134074043E-3</v>
      </c>
      <c r="N54" s="96">
        <v>-242923.63456817623</v>
      </c>
      <c r="O54">
        <v>3</v>
      </c>
    </row>
    <row r="55" spans="1:15">
      <c r="A55" s="1">
        <v>54</v>
      </c>
      <c r="B55" s="28">
        <f>Data!D58/Data!D57</f>
        <v>1.0023881964748966</v>
      </c>
      <c r="C55" s="28">
        <f>Data!H58/Data!H57</f>
        <v>1.0007193217207775</v>
      </c>
      <c r="D55" s="28">
        <f>Data!L58/Data!L57</f>
        <v>1.0085978606050725</v>
      </c>
      <c r="E55" s="28">
        <f>Data!P58/Data!P57</f>
        <v>1.0112236874264271</v>
      </c>
      <c r="F55" s="105">
        <f t="shared" si="0"/>
        <v>1.1305682645795961E-2</v>
      </c>
      <c r="G55">
        <v>446</v>
      </c>
      <c r="H55" s="14">
        <f>$N$2*B55+$O$2*C55+$P$2*D55+$Q$2*E55</f>
        <v>10042755.986519845</v>
      </c>
      <c r="J55" s="13">
        <f>H55-SUM($N$2:$Q$2)</f>
        <v>42755.986519845203</v>
      </c>
      <c r="K55" s="28">
        <f t="shared" si="1"/>
        <v>4.275598651984458E-3</v>
      </c>
      <c r="N55" s="96">
        <v>-195940.16127509251</v>
      </c>
      <c r="O55">
        <v>3</v>
      </c>
    </row>
    <row r="56" spans="1:15">
      <c r="A56" s="1">
        <v>55</v>
      </c>
      <c r="B56" s="28">
        <f>Data!D59/Data!D58</f>
        <v>0.99396563205482569</v>
      </c>
      <c r="C56" s="28">
        <f>Data!H59/Data!H58</f>
        <v>1.0010971008668026</v>
      </c>
      <c r="D56" s="28">
        <f>Data!L59/Data!L58</f>
        <v>0.99722018844788973</v>
      </c>
      <c r="E56" s="28">
        <f>Data!P59/Data!P58</f>
        <v>0.99986821141909621</v>
      </c>
      <c r="F56" s="105">
        <f t="shared" si="0"/>
        <v>1.1419881460399959E-2</v>
      </c>
      <c r="G56">
        <v>445</v>
      </c>
      <c r="H56" s="14">
        <f>$N$2*B56+$O$2*C56+$P$2*D56+$Q$2*E56</f>
        <v>9976110.4421057925</v>
      </c>
      <c r="J56" s="13">
        <f>H56-SUM($N$2:$Q$2)</f>
        <v>-23889.557894207537</v>
      </c>
      <c r="K56" s="28">
        <f t="shared" si="1"/>
        <v>-2.3889557894207769E-3</v>
      </c>
      <c r="N56" s="96">
        <v>-148956.68798200879</v>
      </c>
      <c r="O56">
        <v>20</v>
      </c>
    </row>
    <row r="57" spans="1:15">
      <c r="A57" s="1">
        <v>56</v>
      </c>
      <c r="B57" s="28">
        <f>Data!D60/Data!D59</f>
        <v>0.99968817874884408</v>
      </c>
      <c r="C57" s="28">
        <f>Data!H60/Data!H59</f>
        <v>0.99750611170376391</v>
      </c>
      <c r="D57" s="28">
        <f>Data!L60/Data!L59</f>
        <v>0.99335699175048053</v>
      </c>
      <c r="E57" s="28">
        <f>Data!P60/Data!P59</f>
        <v>0.9820550569661991</v>
      </c>
      <c r="F57" s="105">
        <f t="shared" si="0"/>
        <v>1.1535233798383797E-2</v>
      </c>
      <c r="G57">
        <v>444</v>
      </c>
      <c r="H57" s="14">
        <f>$N$2*B57+$O$2*C57+$P$2*D57+$Q$2*E57</f>
        <v>9948738.1557895467</v>
      </c>
      <c r="J57" s="13">
        <f>H57-SUM($N$2:$Q$2)</f>
        <v>-51261.844210453331</v>
      </c>
      <c r="K57" s="28">
        <f t="shared" si="1"/>
        <v>-5.1261844210452878E-3</v>
      </c>
      <c r="N57" s="96">
        <v>-101973.21468892507</v>
      </c>
      <c r="O57">
        <v>40</v>
      </c>
    </row>
    <row r="58" spans="1:15">
      <c r="A58" s="1">
        <v>57</v>
      </c>
      <c r="B58" s="28">
        <f>Data!D61/Data!D60</f>
        <v>0.99952343484336637</v>
      </c>
      <c r="C58" s="28">
        <f>Data!H61/Data!H60</f>
        <v>1.0029157059864173</v>
      </c>
      <c r="D58" s="28">
        <f>Data!L61/Data!L60</f>
        <v>1.001047101243814</v>
      </c>
      <c r="E58" s="28">
        <f>Data!P61/Data!P60</f>
        <v>1.0057324073293683</v>
      </c>
      <c r="F58" s="105">
        <f t="shared" si="0"/>
        <v>1.1651751311498787E-2</v>
      </c>
      <c r="G58">
        <v>443</v>
      </c>
      <c r="H58" s="14">
        <f>$N$2*B58+$O$2*C58+$P$2*D58+$Q$2*E58</f>
        <v>10019352.773235269</v>
      </c>
      <c r="J58" s="13">
        <f>H58-SUM($N$2:$Q$2)</f>
        <v>19352.773235268891</v>
      </c>
      <c r="K58" s="28">
        <f t="shared" si="1"/>
        <v>1.9352773235268295E-3</v>
      </c>
      <c r="N58" s="96">
        <v>-54989.741395841353</v>
      </c>
      <c r="O58">
        <v>52</v>
      </c>
    </row>
    <row r="59" spans="1:15">
      <c r="A59" s="1">
        <v>58</v>
      </c>
      <c r="B59" s="28">
        <f>Data!D62/Data!D61</f>
        <v>0.99588518243516744</v>
      </c>
      <c r="C59" s="28">
        <f>Data!H62/Data!H61</f>
        <v>1.0031705160365818</v>
      </c>
      <c r="D59" s="28">
        <f>Data!L62/Data!L61</f>
        <v>1.0050353564080499</v>
      </c>
      <c r="E59" s="28">
        <f>Data!P62/Data!P61</f>
        <v>1.0000651956577471</v>
      </c>
      <c r="F59" s="105">
        <f t="shared" si="0"/>
        <v>1.1769445769190694E-2</v>
      </c>
      <c r="G59">
        <v>442</v>
      </c>
      <c r="H59" s="14">
        <f>$N$2*B59+$O$2*C59+$P$2*D59+$Q$2*E59</f>
        <v>9998218.0255739596</v>
      </c>
      <c r="J59" s="13">
        <f>H59-SUM($N$2:$Q$2)</f>
        <v>-1781.9744260404259</v>
      </c>
      <c r="K59" s="28">
        <f t="shared" si="1"/>
        <v>-1.7819744260405557E-4</v>
      </c>
      <c r="N59" s="96">
        <v>-8006.2681027576327</v>
      </c>
      <c r="O59">
        <v>89</v>
      </c>
    </row>
    <row r="60" spans="1:15">
      <c r="A60" s="1">
        <v>59</v>
      </c>
      <c r="B60" s="28">
        <f>Data!D63/Data!D62</f>
        <v>0.99896268146840417</v>
      </c>
      <c r="C60" s="28">
        <f>Data!H63/Data!H62</f>
        <v>1.0000560879927969</v>
      </c>
      <c r="D60" s="28">
        <f>Data!L63/Data!L62</f>
        <v>0.98817657009843041</v>
      </c>
      <c r="E60" s="28">
        <f>Data!P63/Data!P62</f>
        <v>0.99726503578267267</v>
      </c>
      <c r="F60" s="105">
        <f t="shared" si="0"/>
        <v>1.1888329059788578E-2</v>
      </c>
      <c r="G60">
        <v>441</v>
      </c>
      <c r="H60" s="14">
        <f>$N$2*B60+$O$2*C60+$P$2*D60+$Q$2*E60</f>
        <v>9978725.6315157823</v>
      </c>
      <c r="J60" s="13">
        <f>H60-SUM($N$2:$Q$2)</f>
        <v>-21274.368484217674</v>
      </c>
      <c r="K60" s="28">
        <f t="shared" si="1"/>
        <v>-2.1274368484217598E-3</v>
      </c>
      <c r="N60" s="96">
        <v>38977.205190326087</v>
      </c>
      <c r="O60">
        <v>133</v>
      </c>
    </row>
    <row r="61" spans="1:15">
      <c r="A61" s="1">
        <v>60</v>
      </c>
      <c r="B61" s="28">
        <f>Data!D64/Data!D63</f>
        <v>1.0072396480770542</v>
      </c>
      <c r="C61" s="28">
        <f>Data!H64/Data!H63</f>
        <v>1.006550106626694</v>
      </c>
      <c r="D61" s="28">
        <f>Data!L64/Data!L63</f>
        <v>1.0129826608758683</v>
      </c>
      <c r="E61" s="28">
        <f>Data!P64/Data!P63</f>
        <v>0.99033100657427309</v>
      </c>
      <c r="F61" s="105">
        <f t="shared" si="0"/>
        <v>1.2008413191705637E-2</v>
      </c>
      <c r="G61">
        <v>440</v>
      </c>
      <c r="H61" s="14">
        <f>$N$2*B61+$O$2*C61+$P$2*D61+$Q$2*E61</f>
        <v>10042253.586212713</v>
      </c>
      <c r="J61" s="13">
        <f>H61-SUM($N$2:$Q$2)</f>
        <v>42253.586212713271</v>
      </c>
      <c r="K61" s="28">
        <f t="shared" si="1"/>
        <v>4.225358621271269E-3</v>
      </c>
      <c r="N61" s="96">
        <v>85960.678483409807</v>
      </c>
      <c r="O61">
        <v>92</v>
      </c>
    </row>
    <row r="62" spans="1:15">
      <c r="A62" s="1">
        <v>61</v>
      </c>
      <c r="B62" s="28">
        <f>Data!D65/Data!D64</f>
        <v>1.0042311171322247</v>
      </c>
      <c r="C62" s="28">
        <f>Data!H65/Data!H64</f>
        <v>1.0097445190402681</v>
      </c>
      <c r="D62" s="28">
        <f>Data!L65/Data!L64</f>
        <v>1.0135141569635908</v>
      </c>
      <c r="E62" s="28">
        <f>Data!P65/Data!P64</f>
        <v>1.0095122554670999</v>
      </c>
      <c r="F62" s="105">
        <f t="shared" si="0"/>
        <v>1.2129710294652159E-2</v>
      </c>
      <c r="G62">
        <v>439</v>
      </c>
      <c r="H62" s="14">
        <f>$N$2*B62+$O$2*C62+$P$2*D62+$Q$2*E62</f>
        <v>10078696.693547493</v>
      </c>
      <c r="J62" s="13">
        <f>H62-SUM($N$2:$Q$2)</f>
        <v>78696.693547492847</v>
      </c>
      <c r="K62" s="28">
        <f t="shared" si="1"/>
        <v>7.8696693547493091E-3</v>
      </c>
      <c r="N62" s="96">
        <v>132944.15177649353</v>
      </c>
      <c r="O62">
        <v>43</v>
      </c>
    </row>
    <row r="63" spans="1:15">
      <c r="A63" s="1">
        <v>62</v>
      </c>
      <c r="B63" s="28">
        <f>Data!D66/Data!D65</f>
        <v>1.0016262543422307</v>
      </c>
      <c r="C63" s="28">
        <f>Data!H66/Data!H65</f>
        <v>0.99621576577317261</v>
      </c>
      <c r="D63" s="28">
        <f>Data!L66/Data!L65</f>
        <v>0.99644205871664915</v>
      </c>
      <c r="E63" s="28">
        <f>Data!P66/Data!P65</f>
        <v>0.98521955253908056</v>
      </c>
      <c r="F63" s="105">
        <f t="shared" si="0"/>
        <v>1.2252232620860766E-2</v>
      </c>
      <c r="G63">
        <v>438</v>
      </c>
      <c r="H63" s="14">
        <f>$N$2*B63+$O$2*C63+$P$2*D63+$Q$2*E63</f>
        <v>9962033.4784832504</v>
      </c>
      <c r="J63" s="13">
        <f>H63-SUM($N$2:$Q$2)</f>
        <v>-37966.521516749635</v>
      </c>
      <c r="K63" s="28">
        <f t="shared" si="1"/>
        <v>-3.7966521516750174E-3</v>
      </c>
      <c r="N63" s="96">
        <v>179927.62506957725</v>
      </c>
      <c r="O63">
        <v>12</v>
      </c>
    </row>
    <row r="64" spans="1:15">
      <c r="A64" s="1">
        <v>63</v>
      </c>
      <c r="B64" s="28">
        <f>Data!D67/Data!D66</f>
        <v>0.99398515506046858</v>
      </c>
      <c r="C64" s="28">
        <f>Data!H67/Data!H66</f>
        <v>0.99643641184463216</v>
      </c>
      <c r="D64" s="28">
        <f>Data!L67/Data!L66</f>
        <v>1.0050529128063299</v>
      </c>
      <c r="E64" s="28">
        <f>Data!P67/Data!P66</f>
        <v>0.99581655822101944</v>
      </c>
      <c r="F64" s="105">
        <f t="shared" si="0"/>
        <v>1.2375992546324007E-2</v>
      </c>
      <c r="G64">
        <v>437</v>
      </c>
      <c r="H64" s="14">
        <f>$N$2*B64+$O$2*C64+$P$2*D64+$Q$2*E64</f>
        <v>9961935.8850241397</v>
      </c>
      <c r="J64" s="13">
        <f>H64-SUM($N$2:$Q$2)</f>
        <v>-38064.114975860342</v>
      </c>
      <c r="K64" s="28">
        <f t="shared" si="1"/>
        <v>-3.806411497585982E-3</v>
      </c>
      <c r="N64" s="96">
        <v>226911.09836266097</v>
      </c>
      <c r="O64">
        <v>6</v>
      </c>
    </row>
    <row r="65" spans="1:15">
      <c r="A65" s="1">
        <v>64</v>
      </c>
      <c r="B65" s="28">
        <f>Data!D68/Data!D67</f>
        <v>1.0004238513463271</v>
      </c>
      <c r="C65" s="28">
        <f>Data!H68/Data!H67</f>
        <v>1.0032190163862491</v>
      </c>
      <c r="D65" s="28">
        <f>Data!L68/Data!L67</f>
        <v>1.0048118880508561</v>
      </c>
      <c r="E65" s="28">
        <f>Data!P68/Data!P67</f>
        <v>1.001625631696365</v>
      </c>
      <c r="F65" s="105">
        <f t="shared" si="0"/>
        <v>1.2501002572044452E-2</v>
      </c>
      <c r="G65">
        <v>436</v>
      </c>
      <c r="H65" s="14">
        <f>$N$2*B65+$O$2*C65+$P$2*D65+$Q$2*E65</f>
        <v>10019415.605987642</v>
      </c>
      <c r="J65" s="13">
        <f>H65-SUM($N$2:$Q$2)</f>
        <v>19415.60598764196</v>
      </c>
      <c r="K65" s="28">
        <f t="shared" si="1"/>
        <v>1.9415605987642692E-3</v>
      </c>
      <c r="N65" s="96">
        <v>273894.57165574469</v>
      </c>
      <c r="O65">
        <v>0</v>
      </c>
    </row>
    <row r="66" spans="1:15">
      <c r="A66" s="1">
        <v>65</v>
      </c>
      <c r="B66" s="28">
        <f>Data!D69/Data!D68</f>
        <v>1.0019366672640466</v>
      </c>
      <c r="C66" s="28">
        <f>Data!H69/Data!H68</f>
        <v>0.99312079274968001</v>
      </c>
      <c r="D66" s="28">
        <f>Data!L69/Data!L68</f>
        <v>1.0044174312886933</v>
      </c>
      <c r="E66" s="28">
        <f>Data!P69/Data!P68</f>
        <v>0.98902954389118136</v>
      </c>
      <c r="F66" s="105">
        <f t="shared" ref="F66:F129" si="2">F$503^G66</f>
        <v>1.2627275325297426E-2</v>
      </c>
      <c r="G66">
        <v>435</v>
      </c>
      <c r="H66" s="14">
        <f>$N$2*B66+$O$2*C66+$P$2*D66+$Q$2*E66</f>
        <v>9969585.5663762819</v>
      </c>
      <c r="J66" s="13">
        <f>H66-SUM($N$2:$Q$2)</f>
        <v>-30414.433623718098</v>
      </c>
      <c r="K66" s="28">
        <f t="shared" si="1"/>
        <v>-3.0414433623717763E-3</v>
      </c>
      <c r="N66" s="96">
        <v>320878.04494882841</v>
      </c>
      <c r="O66">
        <v>3</v>
      </c>
    </row>
    <row r="67" spans="1:15">
      <c r="A67" s="1">
        <v>66</v>
      </c>
      <c r="B67" s="28">
        <f>Data!D70/Data!D69</f>
        <v>1.0070994767505119</v>
      </c>
      <c r="C67" s="28">
        <f>Data!H70/Data!H69</f>
        <v>0.99373509848512653</v>
      </c>
      <c r="D67" s="28">
        <f>Data!L70/Data!L69</f>
        <v>0.9970159012926566</v>
      </c>
      <c r="E67" s="28">
        <f>Data!P70/Data!P69</f>
        <v>1.0199493448823427</v>
      </c>
      <c r="F67" s="105">
        <f t="shared" si="2"/>
        <v>1.275482356090649E-2</v>
      </c>
      <c r="G67">
        <v>434</v>
      </c>
      <c r="H67" s="14">
        <f>$N$2*B67+$O$2*C67+$P$2*D67+$Q$2*E67</f>
        <v>10046517.79351477</v>
      </c>
      <c r="J67" s="13">
        <f t="shared" ref="J67:J130" si="3">H67-SUM($N$2:$Q$2)</f>
        <v>46517.793514769524</v>
      </c>
      <c r="K67" s="28">
        <f t="shared" ref="K67:K130" si="4">(H67/$R$2)-1</f>
        <v>4.6517793514768702E-3</v>
      </c>
      <c r="N67" s="96">
        <v>367861.51824191213</v>
      </c>
      <c r="O67">
        <v>1</v>
      </c>
    </row>
    <row r="68" spans="1:15">
      <c r="A68" s="1">
        <v>67</v>
      </c>
      <c r="B68" s="28">
        <f>Data!D71/Data!D70</f>
        <v>1.0027582233113248</v>
      </c>
      <c r="C68" s="28">
        <f>Data!H71/Data!H70</f>
        <v>1.003738962253633</v>
      </c>
      <c r="D68" s="28">
        <f>Data!L71/Data!L70</f>
        <v>1.0063079531309065</v>
      </c>
      <c r="E68" s="28">
        <f>Data!P71/Data!P70</f>
        <v>0.99404711686521452</v>
      </c>
      <c r="F68" s="105">
        <f t="shared" si="2"/>
        <v>1.2883660162531809E-2</v>
      </c>
      <c r="G68">
        <v>433</v>
      </c>
      <c r="H68" s="14">
        <f>$N$2*B68+$O$2*C68+$P$2*D68+$Q$2*E68</f>
        <v>10016651.966867534</v>
      </c>
      <c r="J68" s="13">
        <f t="shared" si="3"/>
        <v>16651.966867534444</v>
      </c>
      <c r="K68" s="28">
        <f t="shared" si="4"/>
        <v>1.6651966867533563E-3</v>
      </c>
      <c r="N68" s="96">
        <v>414844.99153499585</v>
      </c>
      <c r="O68">
        <v>0</v>
      </c>
    </row>
    <row r="69" spans="1:15">
      <c r="A69" s="1">
        <v>68</v>
      </c>
      <c r="B69" s="28">
        <f>Data!D72/Data!D71</f>
        <v>1.0044165263461182</v>
      </c>
      <c r="C69" s="28">
        <f>Data!H72/Data!H71</f>
        <v>1.0048801192473944</v>
      </c>
      <c r="D69" s="28">
        <f>Data!L72/Data!L71</f>
        <v>0.99894584625321825</v>
      </c>
      <c r="E69" s="28">
        <f>Data!P72/Data!P71</f>
        <v>0.99493107964370142</v>
      </c>
      <c r="F69" s="105">
        <f t="shared" si="2"/>
        <v>1.3013798143971524E-2</v>
      </c>
      <c r="G69">
        <v>432</v>
      </c>
      <c r="H69" s="14">
        <f>$N$2*B69+$O$2*C69+$P$2*D69+$Q$2*E69</f>
        <v>10021114.468667276</v>
      </c>
      <c r="J69" s="13">
        <f t="shared" si="3"/>
        <v>21114.468667276204</v>
      </c>
      <c r="K69" s="28">
        <f t="shared" si="4"/>
        <v>2.1114468667275954E-3</v>
      </c>
      <c r="N69" s="96">
        <v>461828.46482807957</v>
      </c>
      <c r="O69">
        <v>0</v>
      </c>
    </row>
    <row r="70" spans="1:15">
      <c r="A70" s="1">
        <v>69</v>
      </c>
      <c r="B70" s="28">
        <f>Data!D73/Data!D72</f>
        <v>1.0029847665576126</v>
      </c>
      <c r="C70" s="28">
        <f>Data!H73/Data!H72</f>
        <v>0.99277364259617229</v>
      </c>
      <c r="D70" s="28">
        <f>Data!L73/Data!L72</f>
        <v>0.98965839140332723</v>
      </c>
      <c r="E70" s="28">
        <f>Data!P73/Data!P72</f>
        <v>0.99925922589437888</v>
      </c>
      <c r="F70" s="105">
        <f t="shared" si="2"/>
        <v>1.3145250650476286E-2</v>
      </c>
      <c r="G70">
        <v>431</v>
      </c>
      <c r="H70" s="14">
        <f>$N$2*B70+$O$2*C70+$P$2*D70+$Q$2*E70</f>
        <v>9978436.837211052</v>
      </c>
      <c r="J70" s="13">
        <f t="shared" si="3"/>
        <v>-21563.162788948044</v>
      </c>
      <c r="K70" s="28">
        <f t="shared" si="4"/>
        <v>-2.1563162788947876E-3</v>
      </c>
      <c r="N70" s="96">
        <v>508811.93812116329</v>
      </c>
      <c r="O70">
        <v>0</v>
      </c>
    </row>
    <row r="71" spans="1:15" ht="15" thickBot="1">
      <c r="A71" s="1">
        <v>70</v>
      </c>
      <c r="B71" s="28">
        <f>Data!D74/Data!D73</f>
        <v>0.9978926558936364</v>
      </c>
      <c r="C71" s="28">
        <f>Data!H74/Data!H73</f>
        <v>1.0034996799861968</v>
      </c>
      <c r="D71" s="28">
        <f>Data!L74/Data!L73</f>
        <v>1.0018633301023263</v>
      </c>
      <c r="E71" s="28">
        <f>Data!P74/Data!P73</f>
        <v>0.97313378694058594</v>
      </c>
      <c r="F71" s="105">
        <f t="shared" si="2"/>
        <v>1.3278030960077059E-2</v>
      </c>
      <c r="G71">
        <v>430</v>
      </c>
      <c r="H71" s="14">
        <f>$N$2*B71+$O$2*C71+$P$2*D71+$Q$2*E71</f>
        <v>9950200.5675166342</v>
      </c>
      <c r="J71" s="13">
        <f t="shared" si="3"/>
        <v>-49799.432483365759</v>
      </c>
      <c r="K71" s="28">
        <f t="shared" si="4"/>
        <v>-4.9799432483366157E-3</v>
      </c>
      <c r="N71" s="23" t="s">
        <v>92</v>
      </c>
      <c r="O71" s="23">
        <v>1</v>
      </c>
    </row>
    <row r="72" spans="1:15">
      <c r="A72" s="1">
        <v>71</v>
      </c>
      <c r="B72" s="28">
        <f>Data!D75/Data!D74</f>
        <v>1.0004100177484909</v>
      </c>
      <c r="C72" s="28">
        <f>Data!H75/Data!H74</f>
        <v>1.0006948870600936</v>
      </c>
      <c r="D72" s="28">
        <f>Data!L75/Data!L74</f>
        <v>1.0016154124109886</v>
      </c>
      <c r="E72" s="28">
        <f>Data!P75/Data!P74</f>
        <v>1.002897563791683</v>
      </c>
      <c r="F72" s="105">
        <f t="shared" si="2"/>
        <v>1.3412152484926321E-2</v>
      </c>
      <c r="G72">
        <v>429</v>
      </c>
      <c r="H72" s="14">
        <f>$N$2*B72+$O$2*C72+$P$2*D72+$Q$2*E72</f>
        <v>10011135.272168599</v>
      </c>
      <c r="J72" s="13">
        <f t="shared" si="3"/>
        <v>11135.272168599069</v>
      </c>
      <c r="K72" s="28">
        <f t="shared" si="4"/>
        <v>1.1135272168598664E-3</v>
      </c>
    </row>
    <row r="73" spans="1:15">
      <c r="A73" s="1">
        <v>72</v>
      </c>
      <c r="B73" s="28">
        <f>Data!D76/Data!D75</f>
        <v>1.0004350087935081</v>
      </c>
      <c r="C73" s="28">
        <f>Data!H76/Data!H75</f>
        <v>1.0009198896698781</v>
      </c>
      <c r="D73" s="28">
        <f>Data!L76/Data!L75</f>
        <v>1.0071405845859287</v>
      </c>
      <c r="E73" s="28">
        <f>Data!P76/Data!P75</f>
        <v>1.0225472575175287</v>
      </c>
      <c r="F73" s="105">
        <f t="shared" si="2"/>
        <v>1.3547628772652852E-2</v>
      </c>
      <c r="G73">
        <v>428</v>
      </c>
      <c r="H73" s="14">
        <f>$N$2*B73+$O$2*C73+$P$2*D73+$Q$2*E73</f>
        <v>10056734.803804651</v>
      </c>
      <c r="J73" s="13">
        <f t="shared" si="3"/>
        <v>56734.803804650903</v>
      </c>
      <c r="K73" s="28">
        <f t="shared" si="4"/>
        <v>5.6734803804650014E-3</v>
      </c>
    </row>
    <row r="74" spans="1:15">
      <c r="A74" s="1">
        <v>73</v>
      </c>
      <c r="B74" s="28">
        <f>Data!D77/Data!D76</f>
        <v>0.99620506289065824</v>
      </c>
      <c r="C74" s="28">
        <f>Data!H77/Data!H76</f>
        <v>1.0031450754265976</v>
      </c>
      <c r="D74" s="28">
        <f>Data!L77/Data!L76</f>
        <v>1.0004753537822009</v>
      </c>
      <c r="E74" s="28">
        <f>Data!P77/Data!P76</f>
        <v>0.9951982173456364</v>
      </c>
      <c r="F74" s="105">
        <f t="shared" si="2"/>
        <v>1.3684473507730152E-2</v>
      </c>
      <c r="G74">
        <v>427</v>
      </c>
      <c r="H74" s="14">
        <f>$N$2*B74+$O$2*C74+$P$2*D74+$Q$2*E74</f>
        <v>9985127.2663158998</v>
      </c>
      <c r="J74" s="13">
        <f t="shared" si="3"/>
        <v>-14872.733684100211</v>
      </c>
      <c r="K74" s="28">
        <f t="shared" si="4"/>
        <v>-1.4872733684100359E-3</v>
      </c>
    </row>
    <row r="75" spans="1:15">
      <c r="A75" s="1">
        <v>74</v>
      </c>
      <c r="B75" s="28">
        <f>Data!D78/Data!D77</f>
        <v>0.98709626983991261</v>
      </c>
      <c r="C75" s="28">
        <f>Data!H78/Data!H77</f>
        <v>0.99079688484272599</v>
      </c>
      <c r="D75" s="28">
        <f>Data!L78/Data!L77</f>
        <v>0.98733270459568045</v>
      </c>
      <c r="E75" s="28">
        <f>Data!P78/Data!P77</f>
        <v>1.0075824961642992</v>
      </c>
      <c r="F75" s="105">
        <f t="shared" si="2"/>
        <v>1.382270051285874E-2</v>
      </c>
      <c r="G75">
        <v>426</v>
      </c>
      <c r="H75" s="14">
        <f>$N$2*B75+$O$2*C75+$P$2*D75+$Q$2*E75</f>
        <v>9923273.4308121074</v>
      </c>
      <c r="J75" s="13">
        <f t="shared" si="3"/>
        <v>-76726.569187892601</v>
      </c>
      <c r="K75" s="28">
        <f t="shared" si="4"/>
        <v>-7.6726569187892668E-3</v>
      </c>
    </row>
    <row r="76" spans="1:15">
      <c r="A76" s="1">
        <v>75</v>
      </c>
      <c r="B76" s="28">
        <f>Data!D79/Data!D78</f>
        <v>1.0012151750866833</v>
      </c>
      <c r="C76" s="28">
        <f>Data!H79/Data!H78</f>
        <v>1.0013477174762988</v>
      </c>
      <c r="D76" s="28">
        <f>Data!L79/Data!L78</f>
        <v>1.0016492244132658</v>
      </c>
      <c r="E76" s="28">
        <f>Data!P79/Data!P78</f>
        <v>0.99681593011852632</v>
      </c>
      <c r="F76" s="105">
        <f t="shared" si="2"/>
        <v>1.3962323750362363E-2</v>
      </c>
      <c r="G76">
        <v>425</v>
      </c>
      <c r="H76" s="14">
        <f>$N$2*B76+$O$2*C76+$P$2*D76+$Q$2*E76</f>
        <v>10004184.937425949</v>
      </c>
      <c r="J76" s="13">
        <f t="shared" si="3"/>
        <v>4184.9374259486794</v>
      </c>
      <c r="K76" s="28">
        <f t="shared" si="4"/>
        <v>4.1849374259483874E-4</v>
      </c>
    </row>
    <row r="77" spans="1:15">
      <c r="A77" s="1">
        <v>76</v>
      </c>
      <c r="B77" s="28">
        <f>Data!D80/Data!D79</f>
        <v>1.0074395786573327</v>
      </c>
      <c r="C77" s="28">
        <f>Data!H80/Data!H79</f>
        <v>1.0107450740822606</v>
      </c>
      <c r="D77" s="28">
        <f>Data!L80/Data!L79</f>
        <v>1.0142695731485485</v>
      </c>
      <c r="E77" s="28">
        <f>Data!P80/Data!P79</f>
        <v>1.0146331099638481</v>
      </c>
      <c r="F77" s="105">
        <f t="shared" si="2"/>
        <v>1.4103357323598346E-2</v>
      </c>
      <c r="G77">
        <v>424</v>
      </c>
      <c r="H77" s="14">
        <f>$N$2*B77+$O$2*C77+$P$2*D77+$Q$2*E77</f>
        <v>10105529.329952357</v>
      </c>
      <c r="J77" s="13">
        <f t="shared" si="3"/>
        <v>105529.32995235734</v>
      </c>
      <c r="K77" s="28">
        <f t="shared" si="4"/>
        <v>1.0552932995235631E-2</v>
      </c>
    </row>
    <row r="78" spans="1:15">
      <c r="A78" s="1">
        <v>77</v>
      </c>
      <c r="B78" s="28">
        <f>Data!D81/Data!D80</f>
        <v>0.99960741751882976</v>
      </c>
      <c r="C78" s="28">
        <f>Data!H81/Data!H80</f>
        <v>1.0031245645998856</v>
      </c>
      <c r="D78" s="28">
        <f>Data!L81/Data!L80</f>
        <v>0.99778050184561839</v>
      </c>
      <c r="E78" s="28">
        <f>Data!P81/Data!P80</f>
        <v>1.0167886362082552</v>
      </c>
      <c r="F78" s="105">
        <f t="shared" si="2"/>
        <v>1.4245815478382169E-2</v>
      </c>
      <c r="G78">
        <v>423</v>
      </c>
      <c r="H78" s="14">
        <f>$N$2*B78+$O$2*C78+$P$2*D78+$Q$2*E78</f>
        <v>10039161.138137104</v>
      </c>
      <c r="J78" s="13">
        <f t="shared" si="3"/>
        <v>39161.13813710399</v>
      </c>
      <c r="K78" s="28">
        <f t="shared" si="4"/>
        <v>3.9161138137104867E-3</v>
      </c>
    </row>
    <row r="79" spans="1:15">
      <c r="A79" s="1">
        <v>78</v>
      </c>
      <c r="B79" s="28">
        <f>Data!D82/Data!D81</f>
        <v>0.99772540016184019</v>
      </c>
      <c r="C79" s="28">
        <f>Data!H82/Data!H81</f>
        <v>1.0024201945848059</v>
      </c>
      <c r="D79" s="28">
        <f>Data!L82/Data!L81</f>
        <v>0.99210504159449719</v>
      </c>
      <c r="E79" s="28">
        <f>Data!P82/Data!P81</f>
        <v>1.0070955382829692</v>
      </c>
      <c r="F79" s="105">
        <f t="shared" si="2"/>
        <v>1.4389712604426435E-2</v>
      </c>
      <c r="G79">
        <v>422</v>
      </c>
      <c r="H79" s="14">
        <f>$N$2*B79+$O$2*C79+$P$2*D79+$Q$2*E79</f>
        <v>10004458.302562214</v>
      </c>
      <c r="J79" s="13">
        <f t="shared" si="3"/>
        <v>4458.3025622144341</v>
      </c>
      <c r="K79" s="28">
        <f t="shared" si="4"/>
        <v>4.4583025622135786E-4</v>
      </c>
    </row>
    <row r="80" spans="1:15">
      <c r="A80" s="1">
        <v>79</v>
      </c>
      <c r="B80" s="28">
        <f>Data!D83/Data!D82</f>
        <v>1.0073576384703133</v>
      </c>
      <c r="C80" s="28">
        <f>Data!H83/Data!H82</f>
        <v>1.003886337332792</v>
      </c>
      <c r="D80" s="28">
        <f>Data!L83/Data!L82</f>
        <v>1.0071936808165518</v>
      </c>
      <c r="E80" s="28">
        <f>Data!P83/Data!P82</f>
        <v>0.9966356011152897</v>
      </c>
      <c r="F80" s="105">
        <f t="shared" si="2"/>
        <v>1.4535063236794378E-2</v>
      </c>
      <c r="G80">
        <v>421</v>
      </c>
      <c r="H80" s="14">
        <f>$N$2*B80+$O$2*C80+$P$2*D80+$Q$2*E80</f>
        <v>10041554.448926762</v>
      </c>
      <c r="J80" s="13">
        <f t="shared" si="3"/>
        <v>41554.448926761746</v>
      </c>
      <c r="K80" s="28">
        <f t="shared" si="4"/>
        <v>4.1554448926761633E-3</v>
      </c>
    </row>
    <row r="81" spans="1:11">
      <c r="A81" s="1">
        <v>80</v>
      </c>
      <c r="B81" s="28">
        <f>Data!D84/Data!D83</f>
        <v>1.0038872177696732</v>
      </c>
      <c r="C81" s="28">
        <f>Data!H84/Data!H83</f>
        <v>1.0019341498264847</v>
      </c>
      <c r="D81" s="28">
        <f>Data!L84/Data!L83</f>
        <v>1.010798619986236</v>
      </c>
      <c r="E81" s="28">
        <f>Data!P84/Data!P83</f>
        <v>1.0006270071048855</v>
      </c>
      <c r="F81" s="105">
        <f t="shared" si="2"/>
        <v>1.4681882057368058E-2</v>
      </c>
      <c r="G81">
        <v>420</v>
      </c>
      <c r="H81" s="14">
        <f>$N$2*B81+$O$2*C81+$P$2*D81+$Q$2*E81</f>
        <v>10033403.954754153</v>
      </c>
      <c r="J81" s="13">
        <f t="shared" si="3"/>
        <v>33403.954754153267</v>
      </c>
      <c r="K81" s="28">
        <f t="shared" si="4"/>
        <v>3.3403954754154253E-3</v>
      </c>
    </row>
    <row r="82" spans="1:11">
      <c r="A82" s="1">
        <v>81</v>
      </c>
      <c r="B82" s="28">
        <f>Data!D85/Data!D84</f>
        <v>0.99818758311978983</v>
      </c>
      <c r="C82" s="28">
        <f>Data!H85/Data!H84</f>
        <v>1.0002853956301705</v>
      </c>
      <c r="D82" s="28">
        <f>Data!L85/Data!L84</f>
        <v>0.99897247875053197</v>
      </c>
      <c r="E82" s="28">
        <f>Data!P85/Data!P84</f>
        <v>1.0081515860546746</v>
      </c>
      <c r="F82" s="105">
        <f t="shared" si="2"/>
        <v>1.4830183896331374E-2</v>
      </c>
      <c r="G82">
        <v>419</v>
      </c>
      <c r="H82" s="14">
        <f>$N$2*B82+$O$2*C82+$P$2*D82+$Q$2*E82</f>
        <v>10008882.170229552</v>
      </c>
      <c r="J82" s="13">
        <f t="shared" si="3"/>
        <v>8882.1702295523137</v>
      </c>
      <c r="K82" s="28">
        <f t="shared" si="4"/>
        <v>8.8821702295516225E-4</v>
      </c>
    </row>
    <row r="83" spans="1:11">
      <c r="A83" s="1">
        <v>82</v>
      </c>
      <c r="B83" s="28">
        <f>Data!D86/Data!D85</f>
        <v>0.9974945670938522</v>
      </c>
      <c r="C83" s="28">
        <f>Data!H86/Data!H85</f>
        <v>1.003750130599943</v>
      </c>
      <c r="D83" s="28">
        <f>Data!L86/Data!L85</f>
        <v>1.0038727240458196</v>
      </c>
      <c r="E83" s="28">
        <f>Data!P86/Data!P85</f>
        <v>1.0039635036263805</v>
      </c>
      <c r="F83" s="105">
        <f t="shared" si="2"/>
        <v>1.4979983733668054E-2</v>
      </c>
      <c r="G83">
        <v>418</v>
      </c>
      <c r="H83" s="14">
        <f>$N$2*B83+$O$2*C83+$P$2*D83+$Q$2*E83</f>
        <v>10013028.391473819</v>
      </c>
      <c r="J83" s="13">
        <f t="shared" si="3"/>
        <v>13028.39147381857</v>
      </c>
      <c r="K83" s="28">
        <f t="shared" si="4"/>
        <v>1.3028391473819401E-3</v>
      </c>
    </row>
    <row r="84" spans="1:11">
      <c r="A84" s="1">
        <v>83</v>
      </c>
      <c r="B84" s="28">
        <f>Data!D87/Data!D86</f>
        <v>1.0023675703938866</v>
      </c>
      <c r="C84" s="28">
        <f>Data!H87/Data!H86</f>
        <v>1.0045834595089669</v>
      </c>
      <c r="D84" s="28">
        <f>Data!L87/Data!L86</f>
        <v>1.0022529927081223</v>
      </c>
      <c r="E84" s="28">
        <f>Data!P87/Data!P86</f>
        <v>0.99378073939996669</v>
      </c>
      <c r="F84" s="105">
        <f t="shared" si="2"/>
        <v>1.51312967006748E-2</v>
      </c>
      <c r="G84">
        <v>417</v>
      </c>
      <c r="H84" s="14">
        <f>$N$2*B84+$O$2*C84+$P$2*D84+$Q$2*E84</f>
        <v>10013035.131610502</v>
      </c>
      <c r="J84" s="13">
        <f t="shared" si="3"/>
        <v>13035.131610501558</v>
      </c>
      <c r="K84" s="28">
        <f t="shared" si="4"/>
        <v>1.3035131610501516E-3</v>
      </c>
    </row>
    <row r="85" spans="1:11">
      <c r="A85" s="1">
        <v>84</v>
      </c>
      <c r="B85" s="28">
        <f>Data!D88/Data!D87</f>
        <v>1.0017062794333202</v>
      </c>
      <c r="C85" s="28">
        <f>Data!H88/Data!H87</f>
        <v>0.99468659024126793</v>
      </c>
      <c r="D85" s="28">
        <f>Data!L88/Data!L87</f>
        <v>1.0004672551331157</v>
      </c>
      <c r="E85" s="28">
        <f>Data!P88/Data!P87</f>
        <v>0.99320846673421315</v>
      </c>
      <c r="F85" s="105">
        <f t="shared" si="2"/>
        <v>1.5284138081489698E-2</v>
      </c>
      <c r="G85">
        <v>416</v>
      </c>
      <c r="H85" s="14">
        <f>$N$2*B85+$O$2*C85+$P$2*D85+$Q$2*E85</f>
        <v>9977769.0770586263</v>
      </c>
      <c r="J85" s="13">
        <f t="shared" si="3"/>
        <v>-22230.922941373661</v>
      </c>
      <c r="K85" s="28">
        <f t="shared" si="4"/>
        <v>-2.2230922941374187E-3</v>
      </c>
    </row>
    <row r="86" spans="1:11">
      <c r="A86" s="1">
        <v>85</v>
      </c>
      <c r="B86" s="28">
        <f>Data!D89/Data!D88</f>
        <v>0.99895364229815842</v>
      </c>
      <c r="C86" s="28">
        <f>Data!H89/Data!H88</f>
        <v>1.0058419643333065</v>
      </c>
      <c r="D86" s="28">
        <f>Data!L89/Data!L88</f>
        <v>1.0017169742089511</v>
      </c>
      <c r="E86" s="28">
        <f>Data!P89/Data!P88</f>
        <v>1.0064707129163171</v>
      </c>
      <c r="F86" s="105">
        <f t="shared" si="2"/>
        <v>1.5438523314636059E-2</v>
      </c>
      <c r="G86">
        <v>415</v>
      </c>
      <c r="H86" s="14">
        <f>$N$2*B86+$O$2*C86+$P$2*D86+$Q$2*E86</f>
        <v>10027998.862234138</v>
      </c>
      <c r="J86" s="13">
        <f t="shared" si="3"/>
        <v>27998.862234137952</v>
      </c>
      <c r="K86" s="28">
        <f t="shared" si="4"/>
        <v>2.7998862234137611E-3</v>
      </c>
    </row>
    <row r="87" spans="1:11">
      <c r="A87" s="1">
        <v>86</v>
      </c>
      <c r="B87" s="28">
        <f>Data!D90/Data!D89</f>
        <v>1.0001559000875313</v>
      </c>
      <c r="C87" s="28">
        <f>Data!H90/Data!H89</f>
        <v>1.0062730369459736</v>
      </c>
      <c r="D87" s="28">
        <f>Data!L90/Data!L89</f>
        <v>1.0077005843772344</v>
      </c>
      <c r="E87" s="28">
        <f>Data!P90/Data!P89</f>
        <v>1.0017746065001607</v>
      </c>
      <c r="F87" s="105">
        <f t="shared" si="2"/>
        <v>1.5594467994581879E-2</v>
      </c>
      <c r="G87">
        <v>414</v>
      </c>
      <c r="H87" s="14">
        <f>$N$2*B87+$O$2*C87+$P$2*D87+$Q$2*E87</f>
        <v>10030692.508565603</v>
      </c>
      <c r="J87" s="13">
        <f t="shared" si="3"/>
        <v>30692.508565602824</v>
      </c>
      <c r="K87" s="28">
        <f t="shared" si="4"/>
        <v>3.0692508565601795E-3</v>
      </c>
    </row>
    <row r="88" spans="1:11">
      <c r="A88" s="1">
        <v>87</v>
      </c>
      <c r="B88" s="28">
        <f>Data!D91/Data!D90</f>
        <v>1.0080584534199311</v>
      </c>
      <c r="C88" s="28">
        <f>Data!H91/Data!H90</f>
        <v>1.0034321122361511</v>
      </c>
      <c r="D88" s="28">
        <f>Data!L91/Data!L90</f>
        <v>1.0023164347855478</v>
      </c>
      <c r="E88" s="28">
        <f>Data!P91/Data!P90</f>
        <v>1.0049922027080389</v>
      </c>
      <c r="F88" s="105">
        <f t="shared" si="2"/>
        <v>1.5751987873315026E-2</v>
      </c>
      <c r="G88">
        <v>413</v>
      </c>
      <c r="H88" s="14">
        <f>$N$2*B88+$O$2*C88+$P$2*D88+$Q$2*E88</f>
        <v>10054830.990589803</v>
      </c>
      <c r="J88" s="13">
        <f t="shared" si="3"/>
        <v>54830.990589803085</v>
      </c>
      <c r="K88" s="28">
        <f t="shared" si="4"/>
        <v>5.4830990589802564E-3</v>
      </c>
    </row>
    <row r="89" spans="1:11">
      <c r="A89" s="1">
        <v>88</v>
      </c>
      <c r="B89" s="28">
        <f>Data!D92/Data!D91</f>
        <v>1.002316224200194</v>
      </c>
      <c r="C89" s="28">
        <f>Data!H92/Data!H91</f>
        <v>0.99965840117942739</v>
      </c>
      <c r="D89" s="28">
        <f>Data!L92/Data!L91</f>
        <v>0.99962690793610876</v>
      </c>
      <c r="E89" s="28">
        <f>Data!P92/Data!P91</f>
        <v>1.0044595412924833</v>
      </c>
      <c r="F89" s="105">
        <f t="shared" si="2"/>
        <v>1.5911098861934373E-2</v>
      </c>
      <c r="G89">
        <v>412</v>
      </c>
      <c r="H89" s="14">
        <f>$N$2*B89+$O$2*C89+$P$2*D89+$Q$2*E89</f>
        <v>10016786.090860134</v>
      </c>
      <c r="J89" s="13">
        <f t="shared" si="3"/>
        <v>16786.090860133991</v>
      </c>
      <c r="K89" s="28">
        <f t="shared" si="4"/>
        <v>1.6786090860134717E-3</v>
      </c>
    </row>
    <row r="90" spans="1:11">
      <c r="A90" s="1">
        <v>89</v>
      </c>
      <c r="B90" s="28">
        <f>Data!D93/Data!D92</f>
        <v>0.99965851165720676</v>
      </c>
      <c r="C90" s="28">
        <f>Data!H93/Data!H92</f>
        <v>0.9948173839888963</v>
      </c>
      <c r="D90" s="28">
        <f>Data!L93/Data!L92</f>
        <v>0.99613526736675617</v>
      </c>
      <c r="E90" s="28">
        <f>Data!P93/Data!P92</f>
        <v>0.99926025493531367</v>
      </c>
      <c r="F90" s="105">
        <f t="shared" si="2"/>
        <v>1.6071817032256942E-2</v>
      </c>
      <c r="G90">
        <v>411</v>
      </c>
      <c r="H90" s="14">
        <f>$N$2*B90+$O$2*C90+$P$2*D90+$Q$2*E90</f>
        <v>9977741.9758329</v>
      </c>
      <c r="J90" s="13">
        <f t="shared" si="3"/>
        <v>-22258.024167099968</v>
      </c>
      <c r="K90" s="28">
        <f t="shared" si="4"/>
        <v>-2.2258024167099988E-3</v>
      </c>
    </row>
    <row r="91" spans="1:11">
      <c r="A91" s="1">
        <v>90</v>
      </c>
      <c r="B91" s="28">
        <f>Data!D94/Data!D93</f>
        <v>1.0024153482723226</v>
      </c>
      <c r="C91" s="28">
        <f>Data!H94/Data!H93</f>
        <v>1.0016620017020923</v>
      </c>
      <c r="D91" s="28">
        <f>Data!L94/Data!L93</f>
        <v>0.99946706510646854</v>
      </c>
      <c r="E91" s="28">
        <f>Data!P94/Data!P93</f>
        <v>0.98907977840021077</v>
      </c>
      <c r="F91" s="105">
        <f t="shared" si="2"/>
        <v>1.6234158618441359E-2</v>
      </c>
      <c r="G91">
        <v>410</v>
      </c>
      <c r="H91" s="14">
        <f>$N$2*B91+$O$2*C91+$P$2*D91+$Q$2*E91</f>
        <v>9992274.0201024562</v>
      </c>
      <c r="J91" s="13">
        <f t="shared" si="3"/>
        <v>-7725.979897543788</v>
      </c>
      <c r="K91" s="28">
        <f t="shared" si="4"/>
        <v>-7.7259798975437555E-4</v>
      </c>
    </row>
    <row r="92" spans="1:11">
      <c r="A92" s="1">
        <v>91</v>
      </c>
      <c r="B92" s="28">
        <f>Data!D95/Data!D94</f>
        <v>0.99940262939287916</v>
      </c>
      <c r="C92" s="28">
        <f>Data!H95/Data!H94</f>
        <v>1.0006219928223699</v>
      </c>
      <c r="D92" s="28">
        <f>Data!L95/Data!L94</f>
        <v>1.0067334073720129</v>
      </c>
      <c r="E92" s="28">
        <f>Data!P95/Data!P94</f>
        <v>1.0120723056242769</v>
      </c>
      <c r="F92" s="105">
        <f t="shared" si="2"/>
        <v>1.6398140018627633E-2</v>
      </c>
      <c r="G92">
        <v>409</v>
      </c>
      <c r="H92" s="14">
        <f>$N$2*B92+$O$2*C92+$P$2*D92+$Q$2*E92</f>
        <v>10030354.514659192</v>
      </c>
      <c r="J92" s="13">
        <f t="shared" si="3"/>
        <v>30354.514659192413</v>
      </c>
      <c r="K92" s="28">
        <f t="shared" si="4"/>
        <v>3.0354514659192144E-3</v>
      </c>
    </row>
    <row r="93" spans="1:11">
      <c r="A93" s="1">
        <v>92</v>
      </c>
      <c r="B93" s="28">
        <f>Data!D96/Data!D95</f>
        <v>0.99658051632438394</v>
      </c>
      <c r="C93" s="28">
        <f>Data!H96/Data!H95</f>
        <v>0.99571837932314478</v>
      </c>
      <c r="D93" s="28">
        <f>Data!L96/Data!L95</f>
        <v>0.99769056447054194</v>
      </c>
      <c r="E93" s="28">
        <f>Data!P96/Data!P95</f>
        <v>1.0012320428437702</v>
      </c>
      <c r="F93" s="105">
        <f t="shared" si="2"/>
        <v>1.6563777796593571E-2</v>
      </c>
      <c r="G93">
        <v>408</v>
      </c>
      <c r="H93" s="14">
        <f>$N$2*B93+$O$2*C93+$P$2*D93+$Q$2*E93</f>
        <v>9973631.853425052</v>
      </c>
      <c r="J93" s="13">
        <f t="shared" si="3"/>
        <v>-26368.146574947983</v>
      </c>
      <c r="K93" s="28">
        <f t="shared" si="4"/>
        <v>-2.6368146574947682E-3</v>
      </c>
    </row>
    <row r="94" spans="1:11">
      <c r="A94" s="1">
        <v>93</v>
      </c>
      <c r="B94" s="28">
        <f>Data!D97/Data!D96</f>
        <v>0.99371721847640127</v>
      </c>
      <c r="C94" s="28">
        <f>Data!H97/Data!H96</f>
        <v>1.0001514177487298</v>
      </c>
      <c r="D94" s="28">
        <f>Data!L97/Data!L96</f>
        <v>0.98910464661079855</v>
      </c>
      <c r="E94" s="28">
        <f>Data!P97/Data!P96</f>
        <v>1.0003109574987872</v>
      </c>
      <c r="F94" s="105">
        <f t="shared" si="2"/>
        <v>1.6731088683427851E-2</v>
      </c>
      <c r="G94">
        <v>407</v>
      </c>
      <c r="H94" s="14">
        <f>$N$2*B94+$O$2*C94+$P$2*D94+$Q$2*E94</f>
        <v>9965049.688760167</v>
      </c>
      <c r="J94" s="13">
        <f t="shared" si="3"/>
        <v>-34950.311239833012</v>
      </c>
      <c r="K94" s="28">
        <f t="shared" si="4"/>
        <v>-3.4950311239833054E-3</v>
      </c>
    </row>
    <row r="95" spans="1:11">
      <c r="A95" s="1">
        <v>94</v>
      </c>
      <c r="B95" s="28">
        <f>Data!D98/Data!D97</f>
        <v>1.0135588716387391</v>
      </c>
      <c r="C95" s="28">
        <f>Data!H98/Data!H97</f>
        <v>1.0063441022387516</v>
      </c>
      <c r="D95" s="28">
        <f>Data!L98/Data!L97</f>
        <v>1.0135144781196732</v>
      </c>
      <c r="E95" s="28">
        <f>Data!P98/Data!P97</f>
        <v>1.0094188472708188</v>
      </c>
      <c r="F95" s="105">
        <f t="shared" si="2"/>
        <v>1.6900089579220047E-2</v>
      </c>
      <c r="G95">
        <v>406</v>
      </c>
      <c r="H95" s="14">
        <f>$N$2*B95+$O$2*C95+$P$2*D95+$Q$2*E95</f>
        <v>10105619.965932522</v>
      </c>
      <c r="J95" s="13">
        <f t="shared" si="3"/>
        <v>105619.96593252197</v>
      </c>
      <c r="K95" s="28">
        <f t="shared" si="4"/>
        <v>1.0561996593252188E-2</v>
      </c>
    </row>
    <row r="96" spans="1:11">
      <c r="A96" s="1">
        <v>95</v>
      </c>
      <c r="B96" s="28">
        <f>Data!D99/Data!D98</f>
        <v>0.99927661169714899</v>
      </c>
      <c r="C96" s="28">
        <f>Data!H99/Data!H98</f>
        <v>1.0017136622464513</v>
      </c>
      <c r="D96" s="28">
        <f>Data!L99/Data!L98</f>
        <v>1.0002439419384135</v>
      </c>
      <c r="E96" s="28">
        <f>Data!P99/Data!P98</f>
        <v>0.99618500229996321</v>
      </c>
      <c r="F96" s="105">
        <f t="shared" si="2"/>
        <v>1.7070797554767727E-2</v>
      </c>
      <c r="G96">
        <v>405</v>
      </c>
      <c r="H96" s="14">
        <f>$N$2*B96+$O$2*C96+$P$2*D96+$Q$2*E96</f>
        <v>9994861.3800662905</v>
      </c>
      <c r="J96" s="13">
        <f t="shared" si="3"/>
        <v>-5138.6199337095022</v>
      </c>
      <c r="K96" s="28">
        <f t="shared" si="4"/>
        <v>-5.1386199337100091E-4</v>
      </c>
    </row>
    <row r="97" spans="1:11">
      <c r="A97" s="1">
        <v>96</v>
      </c>
      <c r="B97" s="28">
        <f>Data!D100/Data!D99</f>
        <v>0.99693077321797663</v>
      </c>
      <c r="C97" s="28">
        <f>Data!H100/Data!H99</f>
        <v>0.99530440889515126</v>
      </c>
      <c r="D97" s="28">
        <f>Data!L100/Data!L99</f>
        <v>1.0045553692314066</v>
      </c>
      <c r="E97" s="28">
        <f>Data!P100/Data!P99</f>
        <v>0.99854855343898308</v>
      </c>
      <c r="F97" s="105">
        <f t="shared" si="2"/>
        <v>1.7243229853300738E-2</v>
      </c>
      <c r="G97">
        <v>404</v>
      </c>
      <c r="H97" s="14">
        <f>$N$2*B97+$O$2*C97+$P$2*D97+$Q$2*E97</f>
        <v>9975288.7956667338</v>
      </c>
      <c r="J97" s="13">
        <f t="shared" si="3"/>
        <v>-24711.204333266243</v>
      </c>
      <c r="K97" s="28">
        <f t="shared" si="4"/>
        <v>-2.4711204333266457E-3</v>
      </c>
    </row>
    <row r="98" spans="1:11">
      <c r="A98" s="1">
        <v>97</v>
      </c>
      <c r="B98" s="28">
        <f>Data!D101/Data!D100</f>
        <v>1.0014073488644524</v>
      </c>
      <c r="C98" s="28">
        <f>Data!H101/Data!H100</f>
        <v>1.00428970322058</v>
      </c>
      <c r="D98" s="28">
        <f>Data!L101/Data!L100</f>
        <v>0.99867618803412161</v>
      </c>
      <c r="E98" s="28">
        <f>Data!P101/Data!P100</f>
        <v>1.006745518132238</v>
      </c>
      <c r="F98" s="105">
        <f t="shared" si="2"/>
        <v>1.7417403892222964E-2</v>
      </c>
      <c r="G98">
        <v>403</v>
      </c>
      <c r="H98" s="14">
        <f>$N$2*B98+$O$2*C98+$P$2*D98+$Q$2*E98</f>
        <v>10030665.729418147</v>
      </c>
      <c r="J98" s="13">
        <f t="shared" si="3"/>
        <v>30665.729418147355</v>
      </c>
      <c r="K98" s="28">
        <f t="shared" si="4"/>
        <v>3.0665729418146714E-3</v>
      </c>
    </row>
    <row r="99" spans="1:11">
      <c r="A99" s="1">
        <v>98</v>
      </c>
      <c r="B99" s="28">
        <f>Data!D102/Data!D101</f>
        <v>0.99337536626580736</v>
      </c>
      <c r="C99" s="28">
        <f>Data!H102/Data!H101</f>
        <v>0.98060855781493006</v>
      </c>
      <c r="D99" s="28">
        <f>Data!L102/Data!L101</f>
        <v>0.98215163487681323</v>
      </c>
      <c r="E99" s="28">
        <f>Data!P102/Data!P101</f>
        <v>0.98904500605117041</v>
      </c>
      <c r="F99" s="105">
        <f t="shared" si="2"/>
        <v>1.7593337264871681E-2</v>
      </c>
      <c r="G99">
        <v>402</v>
      </c>
      <c r="H99" s="14">
        <f>$N$2*B99+$O$2*C99+$P$2*D99+$Q$2*E99</f>
        <v>9875568.785487175</v>
      </c>
      <c r="J99" s="13">
        <f t="shared" si="3"/>
        <v>-124431.21451282501</v>
      </c>
      <c r="K99" s="28">
        <f t="shared" si="4"/>
        <v>-1.2443121451282457E-2</v>
      </c>
    </row>
    <row r="100" spans="1:11">
      <c r="A100" s="1">
        <v>99</v>
      </c>
      <c r="B100" s="28">
        <f>Data!D103/Data!D102</f>
        <v>1.0014994341833892</v>
      </c>
      <c r="C100" s="28">
        <f>Data!H103/Data!H102</f>
        <v>1.0029116859778322</v>
      </c>
      <c r="D100" s="28">
        <f>Data!L103/Data!L102</f>
        <v>1.0037546853843382</v>
      </c>
      <c r="E100" s="28">
        <f>Data!P103/Data!P102</f>
        <v>1.0029778296940837</v>
      </c>
      <c r="F100" s="105">
        <f t="shared" si="2"/>
        <v>1.7771047742294627E-2</v>
      </c>
      <c r="G100">
        <v>401</v>
      </c>
      <c r="H100" s="14">
        <f>$N$2*B100+$O$2*C100+$P$2*D100+$Q$2*E100</f>
        <v>10024443.13943956</v>
      </c>
      <c r="J100" s="13">
        <f t="shared" si="3"/>
        <v>24443.139439560473</v>
      </c>
      <c r="K100" s="28">
        <f t="shared" si="4"/>
        <v>2.4443139439560557E-3</v>
      </c>
    </row>
    <row r="101" spans="1:11">
      <c r="A101" s="1">
        <v>100</v>
      </c>
      <c r="B101" s="28">
        <f>Data!D104/Data!D103</f>
        <v>1.0020585345424673</v>
      </c>
      <c r="C101" s="28">
        <f>Data!H104/Data!H103</f>
        <v>0.99146874616183933</v>
      </c>
      <c r="D101" s="28">
        <f>Data!L104/Data!L103</f>
        <v>0.99013442568661481</v>
      </c>
      <c r="E101" s="28">
        <f>Data!P104/Data!P103</f>
        <v>0.98097530203243777</v>
      </c>
      <c r="F101" s="105">
        <f t="shared" si="2"/>
        <v>1.7950553275045078E-2</v>
      </c>
      <c r="G101">
        <v>400</v>
      </c>
      <c r="H101" s="14">
        <f>$N$2*B101+$O$2*C101+$P$2*D101+$Q$2*E101</f>
        <v>9934725.4064068776</v>
      </c>
      <c r="J101" s="13">
        <f t="shared" si="3"/>
        <v>-65274.593593122438</v>
      </c>
      <c r="K101" s="28">
        <f t="shared" si="4"/>
        <v>-6.5274593593122043E-3</v>
      </c>
    </row>
    <row r="102" spans="1:11">
      <c r="A102" s="1">
        <v>101</v>
      </c>
      <c r="B102" s="28">
        <f>Data!D105/Data!D104</f>
        <v>1.0058526815279663</v>
      </c>
      <c r="C102" s="28">
        <f>Data!H105/Data!H104</f>
        <v>1.0146095331128842</v>
      </c>
      <c r="D102" s="28">
        <f>Data!L105/Data!L104</f>
        <v>1.0151336604202534</v>
      </c>
      <c r="E102" s="28">
        <f>Data!P105/Data!P104</f>
        <v>0.98708205672012272</v>
      </c>
      <c r="F102" s="105">
        <f t="shared" si="2"/>
        <v>1.8131871994995032E-2</v>
      </c>
      <c r="G102">
        <v>399</v>
      </c>
      <c r="H102" s="14">
        <f>$N$2*B102+$O$2*C102+$P$2*D102+$Q$2*E102</f>
        <v>10056537.099311016</v>
      </c>
      <c r="J102" s="13">
        <f t="shared" si="3"/>
        <v>56537.0993110165</v>
      </c>
      <c r="K102" s="28">
        <f t="shared" si="4"/>
        <v>5.6537099311015915E-3</v>
      </c>
    </row>
    <row r="103" spans="1:11">
      <c r="A103" s="1">
        <v>102</v>
      </c>
      <c r="B103" s="28">
        <f>Data!D106/Data!D105</f>
        <v>1.0032840643772503</v>
      </c>
      <c r="C103" s="28">
        <f>Data!H106/Data!H105</f>
        <v>1.0111771962278135</v>
      </c>
      <c r="D103" s="28">
        <f>Data!L106/Data!L105</f>
        <v>1.0047613253187087</v>
      </c>
      <c r="E103" s="28">
        <f>Data!P106/Data!P105</f>
        <v>1.0138383706517471</v>
      </c>
      <c r="F103" s="105">
        <f t="shared" si="2"/>
        <v>1.8315022217166698E-2</v>
      </c>
      <c r="G103">
        <v>398</v>
      </c>
      <c r="H103" s="14">
        <f>$N$2*B103+$O$2*C103+$P$2*D103+$Q$2*E103</f>
        <v>10079105.912814645</v>
      </c>
      <c r="J103" s="13">
        <f t="shared" si="3"/>
        <v>79105.912814645097</v>
      </c>
      <c r="K103" s="28">
        <f t="shared" si="4"/>
        <v>7.9105912814645407E-3</v>
      </c>
    </row>
    <row r="104" spans="1:11">
      <c r="A104" s="1">
        <v>103</v>
      </c>
      <c r="B104" s="28">
        <f>Data!D107/Data!D106</f>
        <v>1.0021113277392308</v>
      </c>
      <c r="C104" s="28">
        <f>Data!H107/Data!H106</f>
        <v>0.99657034413622458</v>
      </c>
      <c r="D104" s="28">
        <f>Data!L107/Data!L106</f>
        <v>0.99522874898399172</v>
      </c>
      <c r="E104" s="28">
        <f>Data!P107/Data!P106</f>
        <v>1.0052696608574825</v>
      </c>
      <c r="F104" s="105">
        <f t="shared" si="2"/>
        <v>1.8500022441582522E-2</v>
      </c>
      <c r="G104">
        <v>397</v>
      </c>
      <c r="H104" s="14">
        <f>$N$2*B104+$O$2*C104+$P$2*D104+$Q$2*E104</f>
        <v>10003924.414064553</v>
      </c>
      <c r="J104" s="13">
        <f t="shared" si="3"/>
        <v>3924.414064552635</v>
      </c>
      <c r="K104" s="28">
        <f t="shared" si="4"/>
        <v>3.9244140645533498E-4</v>
      </c>
    </row>
    <row r="105" spans="1:11">
      <c r="A105" s="1">
        <v>104</v>
      </c>
      <c r="B105" s="28">
        <f>Data!D108/Data!D107</f>
        <v>0.99956765657944824</v>
      </c>
      <c r="C105" s="28">
        <f>Data!H108/Data!H107</f>
        <v>1.0034919716917921</v>
      </c>
      <c r="D105" s="28">
        <f>Data!L108/Data!L107</f>
        <v>0.99609459353465468</v>
      </c>
      <c r="E105" s="28">
        <f>Data!P108/Data!P107</f>
        <v>1.0051716169263702</v>
      </c>
      <c r="F105" s="105">
        <f t="shared" si="2"/>
        <v>1.868689135513386E-2</v>
      </c>
      <c r="G105">
        <v>396</v>
      </c>
      <c r="H105" s="14">
        <f>$N$2*B105+$O$2*C105+$P$2*D105+$Q$2*E105</f>
        <v>10015184.368780565</v>
      </c>
      <c r="J105" s="13">
        <f t="shared" si="3"/>
        <v>15184.368780564517</v>
      </c>
      <c r="K105" s="28">
        <f t="shared" si="4"/>
        <v>1.5184368780565283E-3</v>
      </c>
    </row>
    <row r="106" spans="1:11">
      <c r="A106" s="1">
        <v>105</v>
      </c>
      <c r="B106" s="28">
        <f>Data!D109/Data!D108</f>
        <v>0.9992669245417285</v>
      </c>
      <c r="C106" s="28">
        <f>Data!H109/Data!H108</f>
        <v>1.001340987712654</v>
      </c>
      <c r="D106" s="28">
        <f>Data!L109/Data!L108</f>
        <v>0.99891751769596071</v>
      </c>
      <c r="E106" s="28">
        <f>Data!P109/Data!P108</f>
        <v>0.99987766058465022</v>
      </c>
      <c r="F106" s="105">
        <f t="shared" si="2"/>
        <v>1.8875647833468547E-2</v>
      </c>
      <c r="G106">
        <v>395</v>
      </c>
      <c r="H106" s="14">
        <f>$N$2*B106+$O$2*C106+$P$2*D106+$Q$2*E106</f>
        <v>9999763.5001701377</v>
      </c>
      <c r="J106" s="13">
        <f t="shared" si="3"/>
        <v>-236.49982986226678</v>
      </c>
      <c r="K106" s="28">
        <f t="shared" si="4"/>
        <v>-2.3649982986206908E-5</v>
      </c>
    </row>
    <row r="107" spans="1:11">
      <c r="A107" s="1">
        <v>106</v>
      </c>
      <c r="B107" s="28">
        <f>Data!D110/Data!D109</f>
        <v>0.99980903776516894</v>
      </c>
      <c r="C107" s="28">
        <f>Data!H110/Data!H109</f>
        <v>1.0052481534290847</v>
      </c>
      <c r="D107" s="28">
        <f>Data!L110/Data!L109</f>
        <v>1.010216436240623</v>
      </c>
      <c r="E107" s="28">
        <f>Data!P110/Data!P109</f>
        <v>0.99594305240361358</v>
      </c>
      <c r="F107" s="105">
        <f t="shared" si="2"/>
        <v>1.9066310942897523E-2</v>
      </c>
      <c r="G107">
        <v>394</v>
      </c>
      <c r="H107" s="14">
        <f>$N$2*B107+$O$2*C107+$P$2*D107+$Q$2*E107</f>
        <v>10017083.152395779</v>
      </c>
      <c r="J107" s="13">
        <f t="shared" si="3"/>
        <v>17083.152395779267</v>
      </c>
      <c r="K107" s="28">
        <f t="shared" si="4"/>
        <v>1.7083152395778178E-3</v>
      </c>
    </row>
    <row r="108" spans="1:11">
      <c r="A108" s="1">
        <v>107</v>
      </c>
      <c r="B108" s="28">
        <f>Data!D111/Data!D110</f>
        <v>0.99296726839218075</v>
      </c>
      <c r="C108" s="28">
        <f>Data!H111/Data!H110</f>
        <v>0.99814746192908244</v>
      </c>
      <c r="D108" s="28">
        <f>Data!L111/Data!L110</f>
        <v>0.99481083642323131</v>
      </c>
      <c r="E108" s="28">
        <f>Data!P111/Data!P110</f>
        <v>1.004914785234629</v>
      </c>
      <c r="F108" s="105">
        <f t="shared" si="2"/>
        <v>1.9258899942320728E-2</v>
      </c>
      <c r="G108">
        <v>393</v>
      </c>
      <c r="H108" s="14">
        <f>$N$2*B108+$O$2*C108+$P$2*D108+$Q$2*E108</f>
        <v>9970951.8662484605</v>
      </c>
      <c r="J108" s="13">
        <f t="shared" si="3"/>
        <v>-29048.133751539513</v>
      </c>
      <c r="K108" s="28">
        <f t="shared" si="4"/>
        <v>-2.904813375153914E-3</v>
      </c>
    </row>
    <row r="109" spans="1:11">
      <c r="A109" s="1">
        <v>108</v>
      </c>
      <c r="B109" s="28">
        <f>Data!D112/Data!D111</f>
        <v>1.0045394945644681</v>
      </c>
      <c r="C109" s="28">
        <f>Data!H112/Data!H111</f>
        <v>1.0066482758290267</v>
      </c>
      <c r="D109" s="28">
        <f>Data!L112/Data!L111</f>
        <v>1.0048854335129629</v>
      </c>
      <c r="E109" s="28">
        <f>Data!P112/Data!P111</f>
        <v>1.0007503602802865</v>
      </c>
      <c r="F109" s="105">
        <f t="shared" si="2"/>
        <v>1.9453434285172457E-2</v>
      </c>
      <c r="G109">
        <v>392</v>
      </c>
      <c r="H109" s="14">
        <f>$N$2*B109+$O$2*C109+$P$2*D109+$Q$2*E109</f>
        <v>10044488.95981849</v>
      </c>
      <c r="J109" s="13">
        <f t="shared" si="3"/>
        <v>44488.95981848985</v>
      </c>
      <c r="K109" s="28">
        <f t="shared" si="4"/>
        <v>4.4488959818489437E-3</v>
      </c>
    </row>
    <row r="110" spans="1:11">
      <c r="A110" s="1">
        <v>109</v>
      </c>
      <c r="B110" s="28">
        <f>Data!D113/Data!D112</f>
        <v>1.0070186216470665</v>
      </c>
      <c r="C110" s="28">
        <f>Data!H113/Data!H112</f>
        <v>1.0032828050901812</v>
      </c>
      <c r="D110" s="28">
        <f>Data!L113/Data!L112</f>
        <v>1.0059270177809363</v>
      </c>
      <c r="E110" s="28">
        <f>Data!P113/Data!P112</f>
        <v>1.0090021908917624</v>
      </c>
      <c r="F110" s="105">
        <f t="shared" si="2"/>
        <v>1.9649933621386319E-2</v>
      </c>
      <c r="G110">
        <v>391</v>
      </c>
      <c r="H110" s="14">
        <f>$N$2*B110+$O$2*C110+$P$2*D110+$Q$2*E110</f>
        <v>10061854.30142327</v>
      </c>
      <c r="J110" s="13">
        <f t="shared" si="3"/>
        <v>61854.301423270255</v>
      </c>
      <c r="K110" s="28">
        <f t="shared" si="4"/>
        <v>6.1854301423269753E-3</v>
      </c>
    </row>
    <row r="111" spans="1:11">
      <c r="A111" s="1">
        <v>110</v>
      </c>
      <c r="B111" s="28">
        <f>Data!D114/Data!D113</f>
        <v>0.99055520739167324</v>
      </c>
      <c r="C111" s="28">
        <f>Data!H114/Data!H113</f>
        <v>0.99547179019888232</v>
      </c>
      <c r="D111" s="28">
        <f>Data!L114/Data!L113</f>
        <v>0.99591052320988616</v>
      </c>
      <c r="E111" s="28">
        <f>Data!P114/Data!P113</f>
        <v>0.99744281238274746</v>
      </c>
      <c r="F111" s="105">
        <f t="shared" si="2"/>
        <v>1.9848417799380118E-2</v>
      </c>
      <c r="G111">
        <v>390</v>
      </c>
      <c r="H111" s="14">
        <f>$N$2*B111+$O$2*C111+$P$2*D111+$Q$2*E111</f>
        <v>9939432.3481387217</v>
      </c>
      <c r="J111" s="13">
        <f t="shared" si="3"/>
        <v>-60567.65186127834</v>
      </c>
      <c r="K111" s="28">
        <f t="shared" si="4"/>
        <v>-6.0567651861278549E-3</v>
      </c>
    </row>
    <row r="112" spans="1:11">
      <c r="A112" s="1">
        <v>111</v>
      </c>
      <c r="B112" s="28">
        <f>Data!D115/Data!D114</f>
        <v>0.99875705455522712</v>
      </c>
      <c r="C112" s="28">
        <f>Data!H115/Data!H114</f>
        <v>0.98776680877159861</v>
      </c>
      <c r="D112" s="28">
        <f>Data!L115/Data!L114</f>
        <v>0.98980954973632629</v>
      </c>
      <c r="E112" s="28">
        <f>Data!P115/Data!P114</f>
        <v>0.99348119957671088</v>
      </c>
      <c r="F112" s="105">
        <f t="shared" si="2"/>
        <v>2.0048906868060726E-2</v>
      </c>
      <c r="G112">
        <v>389</v>
      </c>
      <c r="H112" s="14">
        <f>$N$2*B112+$O$2*C112+$P$2*D112+$Q$2*E112</f>
        <v>9935100.5934254527</v>
      </c>
      <c r="J112" s="13">
        <f t="shared" si="3"/>
        <v>-64899.406574547291</v>
      </c>
      <c r="K112" s="28">
        <f t="shared" si="4"/>
        <v>-6.4899406574546736E-3</v>
      </c>
    </row>
    <row r="113" spans="1:11">
      <c r="A113" s="1">
        <v>112</v>
      </c>
      <c r="B113" s="28">
        <f>Data!D116/Data!D115</f>
        <v>1.0003011126754022</v>
      </c>
      <c r="C113" s="28">
        <f>Data!H116/Data!H115</f>
        <v>1.0010415441697496</v>
      </c>
      <c r="D113" s="28">
        <f>Data!L116/Data!L115</f>
        <v>1.0090439382896119</v>
      </c>
      <c r="E113" s="28">
        <f>Data!P116/Data!P115</f>
        <v>0.99933080847015798</v>
      </c>
      <c r="F113" s="105">
        <f t="shared" si="2"/>
        <v>2.0251421078849221E-2</v>
      </c>
      <c r="G113">
        <v>388</v>
      </c>
      <c r="H113" s="14">
        <f>$N$2*B113+$O$2*C113+$P$2*D113+$Q$2*E113</f>
        <v>10012034.638440786</v>
      </c>
      <c r="J113" s="13">
        <f t="shared" si="3"/>
        <v>12034.63844078593</v>
      </c>
      <c r="K113" s="28">
        <f t="shared" si="4"/>
        <v>1.203463844078545E-3</v>
      </c>
    </row>
    <row r="114" spans="1:11">
      <c r="A114" s="1">
        <v>113</v>
      </c>
      <c r="B114" s="28">
        <f>Data!D117/Data!D116</f>
        <v>1.0026043209471305</v>
      </c>
      <c r="C114" s="28">
        <f>Data!H117/Data!H116</f>
        <v>1.0021247750737736</v>
      </c>
      <c r="D114" s="28">
        <f>Data!L117/Data!L116</f>
        <v>1.00616897744355</v>
      </c>
      <c r="E114" s="28">
        <f>Data!P117/Data!P116</f>
        <v>1.0042596660600998</v>
      </c>
      <c r="F114" s="105">
        <f t="shared" si="2"/>
        <v>2.0455980887726485E-2</v>
      </c>
      <c r="G114">
        <v>387</v>
      </c>
      <c r="H114" s="14">
        <f>$N$2*B114+$O$2*C114+$P$2*D114+$Q$2*E114</f>
        <v>10031479.918573592</v>
      </c>
      <c r="J114" s="13">
        <f t="shared" si="3"/>
        <v>31479.918573591858</v>
      </c>
      <c r="K114" s="28">
        <f t="shared" si="4"/>
        <v>3.1479918573591448E-3</v>
      </c>
    </row>
    <row r="115" spans="1:11">
      <c r="A115" s="1">
        <v>114</v>
      </c>
      <c r="B115" s="28">
        <f>Data!D118/Data!D117</f>
        <v>1.0078557505962882</v>
      </c>
      <c r="C115" s="28">
        <f>Data!H118/Data!H117</f>
        <v>0.99174137267069229</v>
      </c>
      <c r="D115" s="28">
        <f>Data!L118/Data!L117</f>
        <v>0.99636583242088983</v>
      </c>
      <c r="E115" s="28">
        <f>Data!P118/Data!P117</f>
        <v>0.99866153143847014</v>
      </c>
      <c r="F115" s="105">
        <f t="shared" si="2"/>
        <v>2.0662606957299483E-2</v>
      </c>
      <c r="G115">
        <v>386</v>
      </c>
      <c r="H115" s="14">
        <f>$N$2*B115+$O$2*C115+$P$2*D115+$Q$2*E115</f>
        <v>10000336.01569506</v>
      </c>
      <c r="J115" s="13">
        <f t="shared" si="3"/>
        <v>336.015695059672</v>
      </c>
      <c r="K115" s="28">
        <f t="shared" si="4"/>
        <v>3.3601569505936624E-5</v>
      </c>
    </row>
    <row r="116" spans="1:11">
      <c r="A116" s="1">
        <v>115</v>
      </c>
      <c r="B116" s="28">
        <f>Data!D119/Data!D118</f>
        <v>1.0041190997402092</v>
      </c>
      <c r="C116" s="28">
        <f>Data!H119/Data!H118</f>
        <v>1.0195295813465661</v>
      </c>
      <c r="D116" s="28">
        <f>Data!L119/Data!L118</f>
        <v>1.0117215150999688</v>
      </c>
      <c r="E116" s="28">
        <f>Data!P119/Data!P118</f>
        <v>1.0115918224763711</v>
      </c>
      <c r="F116" s="105">
        <f t="shared" si="2"/>
        <v>2.0871320158888367E-2</v>
      </c>
      <c r="G116">
        <v>385</v>
      </c>
      <c r="H116" s="14">
        <f>$N$2*B116+$O$2*C116+$P$2*D116+$Q$2*E116</f>
        <v>10109970.303053247</v>
      </c>
      <c r="J116" s="13">
        <f t="shared" si="3"/>
        <v>109970.30305324681</v>
      </c>
      <c r="K116" s="28">
        <f t="shared" si="4"/>
        <v>1.0997030305324618E-2</v>
      </c>
    </row>
    <row r="117" spans="1:11">
      <c r="A117" s="1">
        <v>116</v>
      </c>
      <c r="B117" s="28">
        <f>Data!D120/Data!D119</f>
        <v>0.99840693468668917</v>
      </c>
      <c r="C117" s="28">
        <f>Data!H120/Data!H119</f>
        <v>1.0034978752168648</v>
      </c>
      <c r="D117" s="28">
        <f>Data!L120/Data!L119</f>
        <v>0.9990152366311793</v>
      </c>
      <c r="E117" s="28">
        <f>Data!P120/Data!P119</f>
        <v>0.99628448873425191</v>
      </c>
      <c r="F117" s="105">
        <f t="shared" si="2"/>
        <v>2.1082141574634713E-2</v>
      </c>
      <c r="G117">
        <v>384</v>
      </c>
      <c r="H117" s="14">
        <f>$N$2*B117+$O$2*C117+$P$2*D117+$Q$2*E117</f>
        <v>9995705.5784970336</v>
      </c>
      <c r="J117" s="13">
        <f t="shared" si="3"/>
        <v>-4294.4215029664338</v>
      </c>
      <c r="K117" s="28">
        <f t="shared" si="4"/>
        <v>-4.2944215029661059E-4</v>
      </c>
    </row>
    <row r="118" spans="1:11">
      <c r="A118" s="1">
        <v>117</v>
      </c>
      <c r="B118" s="28">
        <f>Data!D121/Data!D120</f>
        <v>1.0006519940348473</v>
      </c>
      <c r="C118" s="28">
        <f>Data!H121/Data!H120</f>
        <v>0.99688789235092168</v>
      </c>
      <c r="D118" s="28">
        <f>Data!L121/Data!L120</f>
        <v>0.99691987057767084</v>
      </c>
      <c r="E118" s="28">
        <f>Data!P121/Data!P120</f>
        <v>0.99545525197886331</v>
      </c>
      <c r="F118" s="105">
        <f t="shared" si="2"/>
        <v>2.1295092499631026E-2</v>
      </c>
      <c r="G118">
        <v>383</v>
      </c>
      <c r="H118" s="14">
        <f>$N$2*B118+$O$2*C118+$P$2*D118+$Q$2*E118</f>
        <v>9981102.0277275518</v>
      </c>
      <c r="J118" s="13">
        <f t="shared" si="3"/>
        <v>-18897.972272448242</v>
      </c>
      <c r="K118" s="28">
        <f t="shared" si="4"/>
        <v>-1.8897972272448049E-3</v>
      </c>
    </row>
    <row r="119" spans="1:11">
      <c r="A119" s="1">
        <v>118</v>
      </c>
      <c r="B119" s="28">
        <f>Data!D122/Data!D121</f>
        <v>1.000360929856402</v>
      </c>
      <c r="C119" s="28">
        <f>Data!H122/Data!H121</f>
        <v>1.0089024184557778</v>
      </c>
      <c r="D119" s="28">
        <f>Data!L122/Data!L121</f>
        <v>1.0013087842253112</v>
      </c>
      <c r="E119" s="28">
        <f>Data!P122/Data!P121</f>
        <v>1.0021617112684973</v>
      </c>
      <c r="F119" s="105">
        <f t="shared" si="2"/>
        <v>2.1510194444071744E-2</v>
      </c>
      <c r="G119">
        <v>382</v>
      </c>
      <c r="H119" s="14">
        <f>$N$2*B119+$O$2*C119+$P$2*D119+$Q$2*E119</f>
        <v>10033783.181555247</v>
      </c>
      <c r="J119" s="13">
        <f t="shared" si="3"/>
        <v>33783.181555246934</v>
      </c>
      <c r="K119" s="28">
        <f t="shared" si="4"/>
        <v>3.3783181555246955E-3</v>
      </c>
    </row>
    <row r="120" spans="1:11">
      <c r="A120" s="1">
        <v>119</v>
      </c>
      <c r="B120" s="28">
        <f>Data!D123/Data!D122</f>
        <v>1.0000442117712263</v>
      </c>
      <c r="C120" s="28">
        <f>Data!H123/Data!H122</f>
        <v>1.0043694022120115</v>
      </c>
      <c r="D120" s="28">
        <f>Data!L123/Data!L122</f>
        <v>1.0095882916431136</v>
      </c>
      <c r="E120" s="28">
        <f>Data!P123/Data!P122</f>
        <v>0.99177319243951256</v>
      </c>
      <c r="F120" s="105">
        <f t="shared" si="2"/>
        <v>2.1727469135425996E-2</v>
      </c>
      <c r="G120">
        <v>381</v>
      </c>
      <c r="H120" s="14">
        <f>$N$2*B120+$O$2*C120+$P$2*D120+$Q$2*E120</f>
        <v>10006419.730243079</v>
      </c>
      <c r="J120" s="13">
        <f t="shared" si="3"/>
        <v>6419.7302430793643</v>
      </c>
      <c r="K120" s="28">
        <f t="shared" si="4"/>
        <v>6.4197302430790693E-4</v>
      </c>
    </row>
    <row r="121" spans="1:11">
      <c r="A121" s="1">
        <v>120</v>
      </c>
      <c r="B121" s="28">
        <f>Data!D124/Data!D123</f>
        <v>0.99769161600300615</v>
      </c>
      <c r="C121" s="28">
        <f>Data!H124/Data!H123</f>
        <v>0.99040552005683813</v>
      </c>
      <c r="D121" s="28">
        <f>Data!L124/Data!L123</f>
        <v>0.9949085147207456</v>
      </c>
      <c r="E121" s="28">
        <f>Data!P124/Data!P123</f>
        <v>0.99571807580666483</v>
      </c>
      <c r="F121" s="105">
        <f t="shared" si="2"/>
        <v>2.1946938520632325E-2</v>
      </c>
      <c r="G121">
        <v>380</v>
      </c>
      <c r="H121" s="14">
        <f>$N$2*B121+$O$2*C121+$P$2*D121+$Q$2*E121</f>
        <v>9948327.6905166134</v>
      </c>
      <c r="J121" s="13">
        <f t="shared" si="3"/>
        <v>-51672.309483386576</v>
      </c>
      <c r="K121" s="28">
        <f t="shared" si="4"/>
        <v>-5.167230948338708E-3</v>
      </c>
    </row>
    <row r="122" spans="1:11">
      <c r="A122" s="1">
        <v>121</v>
      </c>
      <c r="B122" s="28">
        <f>Data!D125/Data!D124</f>
        <v>0.99550548639262271</v>
      </c>
      <c r="C122" s="28">
        <f>Data!H125/Data!H124</f>
        <v>1.0006511344541378</v>
      </c>
      <c r="D122" s="28">
        <f>Data!L125/Data!L124</f>
        <v>1.0016934321438744</v>
      </c>
      <c r="E122" s="28">
        <f>Data!P125/Data!P124</f>
        <v>1.0079258419993182</v>
      </c>
      <c r="F122" s="105">
        <f t="shared" si="2"/>
        <v>2.2168624768315486E-2</v>
      </c>
      <c r="G122">
        <v>379</v>
      </c>
      <c r="H122" s="14">
        <f>$N$2*B122+$O$2*C122+$P$2*D122+$Q$2*E122</f>
        <v>10001520.465075415</v>
      </c>
      <c r="J122" s="13">
        <f t="shared" si="3"/>
        <v>1520.4650754146278</v>
      </c>
      <c r="K122" s="28">
        <f t="shared" si="4"/>
        <v>1.520465075415256E-4</v>
      </c>
    </row>
    <row r="123" spans="1:11">
      <c r="A123" s="1">
        <v>122</v>
      </c>
      <c r="B123" s="28">
        <f>Data!D126/Data!D125</f>
        <v>1.0058835545826468</v>
      </c>
      <c r="C123" s="28">
        <f>Data!H126/Data!H125</f>
        <v>0.99702094221424775</v>
      </c>
      <c r="D123" s="28">
        <f>Data!L126/Data!L125</f>
        <v>0.99958462246007473</v>
      </c>
      <c r="E123" s="28">
        <f>Data!P126/Data!P125</f>
        <v>1.0100105891641804</v>
      </c>
      <c r="F123" s="105">
        <f t="shared" si="2"/>
        <v>2.2392550271025737E-2</v>
      </c>
      <c r="G123">
        <v>378</v>
      </c>
      <c r="H123" s="14">
        <f>$N$2*B123+$O$2*C123+$P$2*D123+$Q$2*E123</f>
        <v>10034202.845761767</v>
      </c>
      <c r="J123" s="13">
        <f t="shared" si="3"/>
        <v>34202.845761766657</v>
      </c>
      <c r="K123" s="28">
        <f t="shared" si="4"/>
        <v>3.4202845761766021E-3</v>
      </c>
    </row>
    <row r="124" spans="1:11">
      <c r="A124" s="1">
        <v>123</v>
      </c>
      <c r="B124" s="28">
        <f>Data!D127/Data!D126</f>
        <v>1.0068756247604673</v>
      </c>
      <c r="C124" s="28">
        <f>Data!H127/Data!H126</f>
        <v>1.0153919310927888</v>
      </c>
      <c r="D124" s="28">
        <f>Data!L127/Data!L126</f>
        <v>1.0161893184047497</v>
      </c>
      <c r="E124" s="28">
        <f>Data!P127/Data!P126</f>
        <v>1.0117823052697645</v>
      </c>
      <c r="F124" s="105">
        <f t="shared" si="2"/>
        <v>2.2618737647500744E-2</v>
      </c>
      <c r="G124">
        <v>377</v>
      </c>
      <c r="H124" s="14">
        <f>$N$2*B124+$O$2*C124+$P$2*D124+$Q$2*E124</f>
        <v>10113432.221264515</v>
      </c>
      <c r="J124" s="13">
        <f t="shared" si="3"/>
        <v>113432.22126451507</v>
      </c>
      <c r="K124" s="28">
        <f t="shared" si="4"/>
        <v>1.1343222126451558E-2</v>
      </c>
    </row>
    <row r="125" spans="1:11">
      <c r="A125" s="1">
        <v>124</v>
      </c>
      <c r="B125" s="28">
        <f>Data!D128/Data!D127</f>
        <v>1.0018168462061268</v>
      </c>
      <c r="C125" s="28">
        <f>Data!H128/Data!H127</f>
        <v>0.99856299343204025</v>
      </c>
      <c r="D125" s="28">
        <f>Data!L128/Data!L127</f>
        <v>1.0004468462468981</v>
      </c>
      <c r="E125" s="28">
        <f>Data!P128/Data!P127</f>
        <v>1.0191138045078736</v>
      </c>
      <c r="F125" s="105">
        <f t="shared" si="2"/>
        <v>2.2847209744950251E-2</v>
      </c>
      <c r="G125">
        <v>376</v>
      </c>
      <c r="H125" s="14">
        <f>$N$2*B125+$O$2*C125+$P$2*D125+$Q$2*E125</f>
        <v>10041630.820383273</v>
      </c>
      <c r="J125" s="13">
        <f t="shared" si="3"/>
        <v>41630.820383273065</v>
      </c>
      <c r="K125" s="28">
        <f t="shared" si="4"/>
        <v>4.1630820383273814E-3</v>
      </c>
    </row>
    <row r="126" spans="1:11">
      <c r="A126" s="1">
        <v>125</v>
      </c>
      <c r="B126" s="28">
        <f>Data!D129/Data!D128</f>
        <v>1.0002005482173535</v>
      </c>
      <c r="C126" s="28">
        <f>Data!H129/Data!H128</f>
        <v>0.99571030435596075</v>
      </c>
      <c r="D126" s="28">
        <f>Data!L129/Data!L128</f>
        <v>0.99728399047577831</v>
      </c>
      <c r="E126" s="28">
        <f>Data!P129/Data!P128</f>
        <v>1.000217368368018</v>
      </c>
      <c r="F126" s="105">
        <f t="shared" si="2"/>
        <v>2.3077989641363889E-2</v>
      </c>
      <c r="G126">
        <v>375</v>
      </c>
      <c r="H126" s="14">
        <f>$N$2*B126+$O$2*C126+$P$2*D126+$Q$2*E126</f>
        <v>9985651.8331491109</v>
      </c>
      <c r="J126" s="13">
        <f t="shared" si="3"/>
        <v>-14348.166850889102</v>
      </c>
      <c r="K126" s="28">
        <f t="shared" si="4"/>
        <v>-1.4348166850889355E-3</v>
      </c>
    </row>
    <row r="127" spans="1:11">
      <c r="A127" s="1">
        <v>126</v>
      </c>
      <c r="B127" s="28">
        <f>Data!D130/Data!D129</f>
        <v>1.0014936279965569</v>
      </c>
      <c r="C127" s="28">
        <f>Data!H130/Data!H129</f>
        <v>1.0025153592519589</v>
      </c>
      <c r="D127" s="28">
        <f>Data!L130/Data!L129</f>
        <v>1.0023432369465568</v>
      </c>
      <c r="E127" s="28">
        <f>Data!P130/Data!P129</f>
        <v>0.99686642970867978</v>
      </c>
      <c r="F127" s="105">
        <f t="shared" si="2"/>
        <v>2.3311100647842312E-2</v>
      </c>
      <c r="G127">
        <v>374</v>
      </c>
      <c r="H127" s="14">
        <f>$N$2*B127+$O$2*C127+$P$2*D127+$Q$2*E127</f>
        <v>10009596.686106021</v>
      </c>
      <c r="J127" s="13">
        <f t="shared" si="3"/>
        <v>9596.6861060205847</v>
      </c>
      <c r="K127" s="28">
        <f t="shared" si="4"/>
        <v>9.5966861060214903E-4</v>
      </c>
    </row>
    <row r="128" spans="1:11">
      <c r="A128" s="1">
        <v>127</v>
      </c>
      <c r="B128" s="28">
        <f>Data!D131/Data!D130</f>
        <v>0.99622809432345016</v>
      </c>
      <c r="C128" s="28">
        <f>Data!H131/Data!H130</f>
        <v>0.98896004909538981</v>
      </c>
      <c r="D128" s="28">
        <f>Data!L131/Data!L130</f>
        <v>0.99486160880440533</v>
      </c>
      <c r="E128" s="28">
        <f>Data!P131/Data!P130</f>
        <v>0.99129284722066491</v>
      </c>
      <c r="F128" s="105">
        <f t="shared" si="2"/>
        <v>2.3546566310951832E-2</v>
      </c>
      <c r="G128">
        <v>373</v>
      </c>
      <c r="H128" s="14">
        <f>$N$2*B128+$O$2*C128+$P$2*D128+$Q$2*E128</f>
        <v>9929239.8278257065</v>
      </c>
      <c r="J128" s="13">
        <f t="shared" si="3"/>
        <v>-70760.172174293548</v>
      </c>
      <c r="K128" s="28">
        <f t="shared" si="4"/>
        <v>-7.0760172174293423E-3</v>
      </c>
    </row>
    <row r="129" spans="1:11">
      <c r="A129" s="1">
        <v>128</v>
      </c>
      <c r="B129" s="28">
        <f>Data!D132/Data!D131</f>
        <v>0.99588724181432386</v>
      </c>
      <c r="C129" s="28">
        <f>Data!H132/Data!H131</f>
        <v>1.003846672267944</v>
      </c>
      <c r="D129" s="28">
        <f>Data!L132/Data!L131</f>
        <v>1.0006275583881818</v>
      </c>
      <c r="E129" s="28">
        <f>Data!P132/Data!P131</f>
        <v>1.0071722081222136</v>
      </c>
      <c r="F129" s="105">
        <f t="shared" si="2"/>
        <v>2.3784410415102861E-2</v>
      </c>
      <c r="G129">
        <v>372</v>
      </c>
      <c r="H129" s="14">
        <f>$N$2*B129+$O$2*C129+$P$2*D129+$Q$2*E129</f>
        <v>10010060.958693737</v>
      </c>
      <c r="J129" s="13">
        <f t="shared" si="3"/>
        <v>10060.958693737164</v>
      </c>
      <c r="K129" s="28">
        <f t="shared" si="4"/>
        <v>1.0060958693736133E-3</v>
      </c>
    </row>
    <row r="130" spans="1:11">
      <c r="A130" s="1">
        <v>129</v>
      </c>
      <c r="B130" s="28">
        <f>Data!D133/Data!D132</f>
        <v>0.99696201014975538</v>
      </c>
      <c r="C130" s="28">
        <f>Data!H133/Data!H132</f>
        <v>1.0085207034622312</v>
      </c>
      <c r="D130" s="28">
        <f>Data!L133/Data!L132</f>
        <v>1.0059759900468908</v>
      </c>
      <c r="E130" s="28">
        <f>Data!P133/Data!P132</f>
        <v>1.0073836271237777</v>
      </c>
      <c r="F130" s="105">
        <f t="shared" ref="F130:F193" si="5">F$503^G130</f>
        <v>2.4024656984952382E-2</v>
      </c>
      <c r="G130">
        <v>371</v>
      </c>
      <c r="H130" s="14">
        <f>$N$2*B130+$O$2*C130+$P$2*D130+$Q$2*E130</f>
        <v>10034153.395280162</v>
      </c>
      <c r="J130" s="13">
        <f t="shared" si="3"/>
        <v>34153.395280161873</v>
      </c>
      <c r="K130" s="28">
        <f t="shared" si="4"/>
        <v>3.4153395280160925E-3</v>
      </c>
    </row>
    <row r="131" spans="1:11">
      <c r="A131" s="1">
        <v>130</v>
      </c>
      <c r="B131" s="28">
        <f>Data!D134/Data!D133</f>
        <v>0.99879659821561295</v>
      </c>
      <c r="C131" s="28">
        <f>Data!H134/Data!H133</f>
        <v>1.0053399200287418</v>
      </c>
      <c r="D131" s="28">
        <f>Data!L134/Data!L133</f>
        <v>1.0084733841648721</v>
      </c>
      <c r="E131" s="28">
        <f>Data!P134/Data!P133</f>
        <v>1.0059670860140846</v>
      </c>
      <c r="F131" s="105">
        <f t="shared" si="5"/>
        <v>2.426733028783069E-2</v>
      </c>
      <c r="G131">
        <v>370</v>
      </c>
      <c r="H131" s="14">
        <f>$N$2*B131+$O$2*C131+$P$2*D131+$Q$2*E131</f>
        <v>10031613.709141718</v>
      </c>
      <c r="J131" s="13">
        <f t="shared" ref="J131:J194" si="6">H131-SUM($N$2:$Q$2)</f>
        <v>31613.709141718224</v>
      </c>
      <c r="K131" s="28">
        <f t="shared" ref="K131:K194" si="7">(H131/$R$2)-1</f>
        <v>3.1613709141717905E-3</v>
      </c>
    </row>
    <row r="132" spans="1:11">
      <c r="A132" s="1">
        <v>131</v>
      </c>
      <c r="B132" s="28">
        <f>Data!D135/Data!D134</f>
        <v>0.96706685897852007</v>
      </c>
      <c r="C132" s="28">
        <f>Data!H135/Data!H134</f>
        <v>0.97815054675638102</v>
      </c>
      <c r="D132" s="28">
        <f>Data!L135/Data!L134</f>
        <v>0.97517374845993798</v>
      </c>
      <c r="E132" s="28">
        <f>Data!P135/Data!P134</f>
        <v>1.0099258181328681</v>
      </c>
      <c r="F132" s="105">
        <f t="shared" si="5"/>
        <v>2.4512454836192618E-2</v>
      </c>
      <c r="G132">
        <v>369</v>
      </c>
      <c r="H132" s="14">
        <f>$N$2*B132+$O$2*C132+$P$2*D132+$Q$2*E132</f>
        <v>9797744.4609088972</v>
      </c>
      <c r="J132" s="13">
        <f t="shared" si="6"/>
        <v>-202255.53909110278</v>
      </c>
      <c r="K132" s="28">
        <f t="shared" si="7"/>
        <v>-2.0225553909110294E-2</v>
      </c>
    </row>
    <row r="133" spans="1:11">
      <c r="A133" s="1">
        <v>132</v>
      </c>
      <c r="B133" s="28">
        <f>Data!D136/Data!D135</f>
        <v>1.0042885535975061</v>
      </c>
      <c r="C133" s="28">
        <f>Data!H136/Data!H135</f>
        <v>0.97897223698594971</v>
      </c>
      <c r="D133" s="28">
        <f>Data!L136/Data!L135</f>
        <v>0.9846257540479737</v>
      </c>
      <c r="E133" s="28">
        <f>Data!P136/Data!P135</f>
        <v>0.9736662664290745</v>
      </c>
      <c r="F133" s="105">
        <f t="shared" si="5"/>
        <v>2.4760055390093554E-2</v>
      </c>
      <c r="G133">
        <v>368</v>
      </c>
      <c r="H133" s="14">
        <f>$N$2*B133+$O$2*C133+$P$2*D133+$Q$2*E133</f>
        <v>9886029.2122539971</v>
      </c>
      <c r="J133" s="13">
        <f t="shared" si="6"/>
        <v>-113970.7877460029</v>
      </c>
      <c r="K133" s="28">
        <f t="shared" si="7"/>
        <v>-1.1397078774600278E-2</v>
      </c>
    </row>
    <row r="134" spans="1:11">
      <c r="A134" s="1">
        <v>133</v>
      </c>
      <c r="B134" s="28">
        <f>Data!D137/Data!D136</f>
        <v>0.99720506690641098</v>
      </c>
      <c r="C134" s="28">
        <f>Data!H137/Data!H136</f>
        <v>0.98979357051092332</v>
      </c>
      <c r="D134" s="28">
        <f>Data!L137/Data!L136</f>
        <v>0.98585327972490888</v>
      </c>
      <c r="E134" s="28">
        <f>Data!P137/Data!P136</f>
        <v>0.99843967784610044</v>
      </c>
      <c r="F134" s="105">
        <f t="shared" si="5"/>
        <v>2.5010156959690458E-2</v>
      </c>
      <c r="G134">
        <v>367</v>
      </c>
      <c r="H134" s="14">
        <f>$N$2*B134+$O$2*C134+$P$2*D134+$Q$2*E134</f>
        <v>9940933.6145755239</v>
      </c>
      <c r="J134" s="13">
        <f t="shared" si="6"/>
        <v>-59066.385424476117</v>
      </c>
      <c r="K134" s="28">
        <f t="shared" si="7"/>
        <v>-5.906638542447662E-3</v>
      </c>
    </row>
    <row r="135" spans="1:11">
      <c r="A135" s="1">
        <v>134</v>
      </c>
      <c r="B135" s="28">
        <f>Data!D138/Data!D137</f>
        <v>0.9901719259069145</v>
      </c>
      <c r="C135" s="28">
        <f>Data!H138/Data!H137</f>
        <v>0.99318736079977266</v>
      </c>
      <c r="D135" s="28">
        <f>Data!L138/Data!L137</f>
        <v>0.99434957815288405</v>
      </c>
      <c r="E135" s="28">
        <f>Data!P138/Data!P137</f>
        <v>0.99172915470019962</v>
      </c>
      <c r="F135" s="105">
        <f t="shared" si="5"/>
        <v>2.5262784807768141E-2</v>
      </c>
      <c r="G135">
        <v>366</v>
      </c>
      <c r="H135" s="14">
        <f>$N$2*B135+$O$2*C135+$P$2*D135+$Q$2*E135</f>
        <v>9918057.6735802591</v>
      </c>
      <c r="J135" s="13">
        <f t="shared" si="6"/>
        <v>-81942.326419740915</v>
      </c>
      <c r="K135" s="28">
        <f t="shared" si="7"/>
        <v>-8.194232641974053E-3</v>
      </c>
    </row>
    <row r="136" spans="1:11">
      <c r="A136" s="1">
        <v>135</v>
      </c>
      <c r="B136" s="28">
        <f>Data!D139/Data!D138</f>
        <v>0.99474249015609906</v>
      </c>
      <c r="C136" s="28">
        <f>Data!H139/Data!H138</f>
        <v>0.98132556782281644</v>
      </c>
      <c r="D136" s="28">
        <f>Data!L139/Data!L138</f>
        <v>0.98735571840423542</v>
      </c>
      <c r="E136" s="28">
        <f>Data!P139/Data!P138</f>
        <v>0.97498014329439564</v>
      </c>
      <c r="F136" s="105">
        <f t="shared" si="5"/>
        <v>2.5517964452291046E-2</v>
      </c>
      <c r="G136">
        <v>365</v>
      </c>
      <c r="H136" s="14">
        <f>$N$2*B136+$O$2*C136+$P$2*D136+$Q$2*E136</f>
        <v>9860262.6690858733</v>
      </c>
      <c r="J136" s="13">
        <f t="shared" si="6"/>
        <v>-139737.33091412671</v>
      </c>
      <c r="K136" s="28">
        <f t="shared" si="7"/>
        <v>-1.3973733091412699E-2</v>
      </c>
    </row>
    <row r="137" spans="1:11">
      <c r="A137" s="1">
        <v>136</v>
      </c>
      <c r="B137" s="28">
        <f>Data!D140/Data!D139</f>
        <v>1.013043539597408</v>
      </c>
      <c r="C137" s="28">
        <f>Data!H140/Data!H139</f>
        <v>1.0129081176247998</v>
      </c>
      <c r="D137" s="28">
        <f>Data!L140/Data!L139</f>
        <v>1.010204287776675</v>
      </c>
      <c r="E137" s="28">
        <f>Data!P140/Data!P139</f>
        <v>1.0100631980690422</v>
      </c>
      <c r="F137" s="105">
        <f t="shared" si="5"/>
        <v>2.5775721668980862E-2</v>
      </c>
      <c r="G137">
        <v>364</v>
      </c>
      <c r="H137" s="14">
        <f>$N$2*B137+$O$2*C137+$P$2*D137+$Q$2*E137</f>
        <v>10121229.195178792</v>
      </c>
      <c r="J137" s="13">
        <f t="shared" si="6"/>
        <v>121229.19517879188</v>
      </c>
      <c r="K137" s="28">
        <f t="shared" si="7"/>
        <v>1.2122919517879138E-2</v>
      </c>
    </row>
    <row r="138" spans="1:11">
      <c r="A138" s="1">
        <v>137</v>
      </c>
      <c r="B138" s="28">
        <f>Data!D141/Data!D140</f>
        <v>0.99875978796797737</v>
      </c>
      <c r="C138" s="28">
        <f>Data!H141/Data!H140</f>
        <v>1.0055366549949623</v>
      </c>
      <c r="D138" s="28">
        <f>Data!L141/Data!L140</f>
        <v>1.0063330420690408</v>
      </c>
      <c r="E138" s="28">
        <f>Data!P141/Data!P140</f>
        <v>0.99261083704953235</v>
      </c>
      <c r="F138" s="105">
        <f t="shared" si="5"/>
        <v>2.603608249392006E-2</v>
      </c>
      <c r="G138">
        <v>363</v>
      </c>
      <c r="H138" s="14">
        <f>$N$2*B138+$O$2*C138+$P$2*D138+$Q$2*E138</f>
        <v>10003203.833024902</v>
      </c>
      <c r="J138" s="13">
        <f t="shared" si="6"/>
        <v>3203.8330249022692</v>
      </c>
      <c r="K138" s="28">
        <f t="shared" si="7"/>
        <v>3.2038330249029023E-4</v>
      </c>
    </row>
    <row r="139" spans="1:11">
      <c r="A139" s="1">
        <v>138</v>
      </c>
      <c r="B139" s="28">
        <f>Data!D142/Data!D141</f>
        <v>1.0055977264618678</v>
      </c>
      <c r="C139" s="28">
        <f>Data!H142/Data!H141</f>
        <v>1.0113554161081164</v>
      </c>
      <c r="D139" s="28">
        <f>Data!L142/Data!L141</f>
        <v>1.0112213505642025</v>
      </c>
      <c r="E139" s="28">
        <f>Data!P142/Data!P141</f>
        <v>1.012650733208283</v>
      </c>
      <c r="F139" s="105">
        <f t="shared" si="5"/>
        <v>2.6299073226181878E-2</v>
      </c>
      <c r="G139">
        <v>362</v>
      </c>
      <c r="H139" s="14">
        <f>$N$2*B139+$O$2*C139+$P$2*D139+$Q$2*E139</f>
        <v>10092979.971152589</v>
      </c>
      <c r="J139" s="13">
        <f t="shared" si="6"/>
        <v>92979.971152588725</v>
      </c>
      <c r="K139" s="28">
        <f t="shared" si="7"/>
        <v>9.2979971152589158E-3</v>
      </c>
    </row>
    <row r="140" spans="1:11">
      <c r="A140" s="1">
        <v>139</v>
      </c>
      <c r="B140" s="28">
        <f>Data!D143/Data!D142</f>
        <v>1.0012739892502058</v>
      </c>
      <c r="C140" s="28">
        <f>Data!H143/Data!H142</f>
        <v>1.0037452409535079</v>
      </c>
      <c r="D140" s="28">
        <f>Data!L143/Data!L142</f>
        <v>1.0015379582625503</v>
      </c>
      <c r="E140" s="28">
        <f>Data!P143/Data!P142</f>
        <v>0.99785115373727995</v>
      </c>
      <c r="F140" s="105">
        <f t="shared" si="5"/>
        <v>2.6564720430486747E-2</v>
      </c>
      <c r="G140">
        <v>361</v>
      </c>
      <c r="H140" s="14">
        <f>$N$2*B140+$O$2*C140+$P$2*D140+$Q$2*E140</f>
        <v>10013571.945598457</v>
      </c>
      <c r="J140" s="13">
        <f t="shared" si="6"/>
        <v>13571.945598457009</v>
      </c>
      <c r="K140" s="28">
        <f t="shared" si="7"/>
        <v>1.3571945598456203E-3</v>
      </c>
    </row>
    <row r="141" spans="1:11">
      <c r="A141" s="1">
        <v>140</v>
      </c>
      <c r="B141" s="28">
        <f>Data!D144/Data!D143</f>
        <v>1.0034456579821966</v>
      </c>
      <c r="C141" s="28">
        <f>Data!H144/Data!H143</f>
        <v>0.99664794790775535</v>
      </c>
      <c r="D141" s="28">
        <f>Data!L144/Data!L143</f>
        <v>0.99782268966686016</v>
      </c>
      <c r="E141" s="28">
        <f>Data!P144/Data!P143</f>
        <v>1.0121055910454768</v>
      </c>
      <c r="F141" s="105">
        <f t="shared" si="5"/>
        <v>2.6833050939885604E-2</v>
      </c>
      <c r="G141">
        <v>360</v>
      </c>
      <c r="H141" s="14">
        <f>$N$2*B141+$O$2*C141+$P$2*D141+$Q$2*E141</f>
        <v>10025760.347409865</v>
      </c>
      <c r="J141" s="13">
        <f t="shared" si="6"/>
        <v>25760.347409864888</v>
      </c>
      <c r="K141" s="28">
        <f t="shared" si="7"/>
        <v>2.5760347409864437E-3</v>
      </c>
    </row>
    <row r="142" spans="1:11">
      <c r="A142" s="1">
        <v>141</v>
      </c>
      <c r="B142" s="28">
        <f>Data!D145/Data!D144</f>
        <v>0.98030136492561648</v>
      </c>
      <c r="C142" s="28">
        <f>Data!H145/Data!H144</f>
        <v>0.98997023452398047</v>
      </c>
      <c r="D142" s="28">
        <f>Data!L145/Data!L144</f>
        <v>0.98955744760455489</v>
      </c>
      <c r="E142" s="28">
        <f>Data!P145/Data!P144</f>
        <v>0.99835908288575403</v>
      </c>
      <c r="F142" s="105">
        <f t="shared" si="5"/>
        <v>2.7104091858470309E-2</v>
      </c>
      <c r="G142">
        <v>359</v>
      </c>
      <c r="H142" s="14">
        <f>$N$2*B142+$O$2*C142+$P$2*D142+$Q$2*E142</f>
        <v>9877391.7766504698</v>
      </c>
      <c r="J142" s="13">
        <f t="shared" si="6"/>
        <v>-122608.22334953025</v>
      </c>
      <c r="K142" s="28">
        <f t="shared" si="7"/>
        <v>-1.226082233495307E-2</v>
      </c>
    </row>
    <row r="143" spans="1:11">
      <c r="A143" s="1">
        <v>142</v>
      </c>
      <c r="B143" s="28">
        <f>Data!D146/Data!D145</f>
        <v>1.0047565576566997</v>
      </c>
      <c r="C143" s="28">
        <f>Data!H146/Data!H145</f>
        <v>0.9747564218985113</v>
      </c>
      <c r="D143" s="28">
        <f>Data!L146/Data!L145</f>
        <v>0.97676892864697218</v>
      </c>
      <c r="E143" s="28">
        <f>Data!P146/Data!P145</f>
        <v>0.97612129398715408</v>
      </c>
      <c r="F143" s="105">
        <f t="shared" si="5"/>
        <v>2.7377870564111423E-2</v>
      </c>
      <c r="G143">
        <v>358</v>
      </c>
      <c r="H143" s="14">
        <f>$N$2*B143+$O$2*C143+$P$2*D143+$Q$2*E143</f>
        <v>9872307.0129436124</v>
      </c>
      <c r="J143" s="13">
        <f t="shared" si="6"/>
        <v>-127692.98705638759</v>
      </c>
      <c r="K143" s="28">
        <f t="shared" si="7"/>
        <v>-1.276929870563881E-2</v>
      </c>
    </row>
    <row r="144" spans="1:11">
      <c r="A144" s="1">
        <v>143</v>
      </c>
      <c r="B144" s="28">
        <f>Data!D147/Data!D146</f>
        <v>1.0021659221652628</v>
      </c>
      <c r="C144" s="28">
        <f>Data!H147/Data!H146</f>
        <v>1.0235607314500281</v>
      </c>
      <c r="D144" s="28">
        <f>Data!L147/Data!L146</f>
        <v>1.0194314049445634</v>
      </c>
      <c r="E144" s="28">
        <f>Data!P147/Data!P146</f>
        <v>1.0029000526561318</v>
      </c>
      <c r="F144" s="105">
        <f t="shared" si="5"/>
        <v>2.7654414711223662E-2</v>
      </c>
      <c r="G144">
        <v>357</v>
      </c>
      <c r="H144" s="14">
        <f>$N$2*B144+$O$2*C144+$P$2*D144+$Q$2*E144</f>
        <v>10104577.393267963</v>
      </c>
      <c r="J144" s="13">
        <f t="shared" si="6"/>
        <v>104577.39326796308</v>
      </c>
      <c r="K144" s="28">
        <f t="shared" si="7"/>
        <v>1.0457739326796389E-2</v>
      </c>
    </row>
    <row r="145" spans="1:11">
      <c r="A145" s="1">
        <v>144</v>
      </c>
      <c r="B145" s="28">
        <f>Data!D148/Data!D147</f>
        <v>0.99594808416010949</v>
      </c>
      <c r="C145" s="28">
        <f>Data!H148/Data!H147</f>
        <v>1.002621519960635</v>
      </c>
      <c r="D145" s="28">
        <f>Data!L148/Data!L147</f>
        <v>1.0032251892545692</v>
      </c>
      <c r="E145" s="28">
        <f>Data!P148/Data!P147</f>
        <v>0.99752861063369702</v>
      </c>
      <c r="F145" s="105">
        <f t="shared" si="5"/>
        <v>2.7933752233559254E-2</v>
      </c>
      <c r="G145">
        <v>356</v>
      </c>
      <c r="H145" s="14">
        <f>$N$2*B145+$O$2*C145+$P$2*D145+$Q$2*E145</f>
        <v>9989939.3070443068</v>
      </c>
      <c r="J145" s="13">
        <f t="shared" si="6"/>
        <v>-10060.69295569323</v>
      </c>
      <c r="K145" s="28">
        <f t="shared" si="7"/>
        <v>-1.0060692955693451E-3</v>
      </c>
    </row>
    <row r="146" spans="1:11">
      <c r="A146" s="1">
        <v>145</v>
      </c>
      <c r="B146" s="28">
        <f>Data!D149/Data!D148</f>
        <v>1.0095587184909511</v>
      </c>
      <c r="C146" s="28">
        <f>Data!H149/Data!H148</f>
        <v>1.0115143607934076</v>
      </c>
      <c r="D146" s="28">
        <f>Data!L149/Data!L148</f>
        <v>1.0134581423657716</v>
      </c>
      <c r="E146" s="28">
        <f>Data!P149/Data!P148</f>
        <v>1.0086800103532723</v>
      </c>
      <c r="F146" s="105">
        <f t="shared" si="5"/>
        <v>2.8215911347029547E-2</v>
      </c>
      <c r="G146">
        <v>355</v>
      </c>
      <c r="H146" s="14">
        <f>$N$2*B146+$O$2*C146+$P$2*D146+$Q$2*E146</f>
        <v>10103596.119416343</v>
      </c>
      <c r="J146" s="13">
        <f t="shared" si="6"/>
        <v>103596.11941634305</v>
      </c>
      <c r="K146" s="28">
        <f t="shared" si="7"/>
        <v>1.0359611941634261E-2</v>
      </c>
    </row>
    <row r="147" spans="1:11">
      <c r="A147" s="1">
        <v>146</v>
      </c>
      <c r="B147" s="28">
        <f>Data!D150/Data!D149</f>
        <v>1.0050653638874645</v>
      </c>
      <c r="C147" s="28">
        <f>Data!H150/Data!H149</f>
        <v>1.0110860862422797</v>
      </c>
      <c r="D147" s="28">
        <f>Data!L150/Data!L149</f>
        <v>1.0074488420288727</v>
      </c>
      <c r="E147" s="28">
        <f>Data!P150/Data!P149</f>
        <v>1.011269150059638</v>
      </c>
      <c r="F147" s="105">
        <f t="shared" si="5"/>
        <v>2.8500920552555101E-2</v>
      </c>
      <c r="G147">
        <v>354</v>
      </c>
      <c r="H147" s="14">
        <f>$N$2*B147+$O$2*C147+$P$2*D147+$Q$2*E147</f>
        <v>10083506.856424846</v>
      </c>
      <c r="J147" s="13">
        <f t="shared" si="6"/>
        <v>83506.856424845755</v>
      </c>
      <c r="K147" s="28">
        <f t="shared" si="7"/>
        <v>8.3506856424846454E-3</v>
      </c>
    </row>
    <row r="148" spans="1:11">
      <c r="A148" s="1">
        <v>147</v>
      </c>
      <c r="B148" s="28">
        <f>Data!D151/Data!D150</f>
        <v>1.0140819166510688</v>
      </c>
      <c r="C148" s="28">
        <f>Data!H151/Data!H150</f>
        <v>1.020583108854519</v>
      </c>
      <c r="D148" s="28">
        <f>Data!L151/Data!L150</f>
        <v>1.0224444960591448</v>
      </c>
      <c r="E148" s="28">
        <f>Data!P151/Data!P150</f>
        <v>1.0112096745286172</v>
      </c>
      <c r="F148" s="105">
        <f t="shared" si="5"/>
        <v>2.8788808638944546E-2</v>
      </c>
      <c r="G148">
        <v>353</v>
      </c>
      <c r="H148" s="14">
        <f>$N$2*B148+$O$2*C148+$P$2*D148+$Q$2*E148</f>
        <v>10162940.838284211</v>
      </c>
      <c r="J148" s="13">
        <f t="shared" si="6"/>
        <v>162940.83828421123</v>
      </c>
      <c r="K148" s="28">
        <f t="shared" si="7"/>
        <v>1.6294083828421124E-2</v>
      </c>
    </row>
    <row r="149" spans="1:11">
      <c r="A149" s="1">
        <v>148</v>
      </c>
      <c r="B149" s="28">
        <f>Data!D152/Data!D151</f>
        <v>1.0015945571592968</v>
      </c>
      <c r="C149" s="28">
        <f>Data!H152/Data!H151</f>
        <v>1.0012960141427245</v>
      </c>
      <c r="D149" s="28">
        <f>Data!L152/Data!L151</f>
        <v>1.0022142090808466</v>
      </c>
      <c r="E149" s="28">
        <f>Data!P152/Data!P151</f>
        <v>1.0029292496461748</v>
      </c>
      <c r="F149" s="105">
        <f t="shared" si="5"/>
        <v>2.9079604685802569E-2</v>
      </c>
      <c r="G149">
        <v>352</v>
      </c>
      <c r="H149" s="14">
        <f>$N$2*B149+$O$2*C149+$P$2*D149+$Q$2*E149</f>
        <v>10018338.979438558</v>
      </c>
      <c r="J149" s="13">
        <f t="shared" si="6"/>
        <v>18338.979438558221</v>
      </c>
      <c r="K149" s="28">
        <f t="shared" si="7"/>
        <v>1.8338979438559111E-3</v>
      </c>
    </row>
    <row r="150" spans="1:11">
      <c r="A150" s="1">
        <v>149</v>
      </c>
      <c r="B150" s="28">
        <f>Data!D153/Data!D152</f>
        <v>0.99904334665223404</v>
      </c>
      <c r="C150" s="28">
        <f>Data!H153/Data!H152</f>
        <v>0.99518662315847795</v>
      </c>
      <c r="D150" s="28">
        <f>Data!L153/Data!L152</f>
        <v>0.99200197346821073</v>
      </c>
      <c r="E150" s="28">
        <f>Data!P153/Data!P152</f>
        <v>1.0020253184325878</v>
      </c>
      <c r="F150" s="105">
        <f t="shared" si="5"/>
        <v>2.9373338066467247E-2</v>
      </c>
      <c r="G150">
        <v>351</v>
      </c>
      <c r="H150" s="14">
        <f>$N$2*B150+$O$2*C150+$P$2*D150+$Q$2*E150</f>
        <v>9977785.8664177563</v>
      </c>
      <c r="J150" s="13">
        <f t="shared" si="6"/>
        <v>-22214.133582243696</v>
      </c>
      <c r="K150" s="28">
        <f t="shared" si="7"/>
        <v>-2.2214133582243445E-3</v>
      </c>
    </row>
    <row r="151" spans="1:11">
      <c r="A151" s="1">
        <v>150</v>
      </c>
      <c r="B151" s="28">
        <f>Data!D154/Data!D153</f>
        <v>0.99424335575949141</v>
      </c>
      <c r="C151" s="28">
        <f>Data!H154/Data!H153</f>
        <v>0.99848547004584609</v>
      </c>
      <c r="D151" s="28">
        <f>Data!L154/Data!L153</f>
        <v>1.0029994609843875</v>
      </c>
      <c r="E151" s="28">
        <f>Data!P154/Data!P153</f>
        <v>0.99054073131662412</v>
      </c>
      <c r="F151" s="105">
        <f t="shared" si="5"/>
        <v>2.9670038450977015E-2</v>
      </c>
      <c r="G151">
        <v>350</v>
      </c>
      <c r="H151" s="14">
        <f>$N$2*B151+$O$2*C151+$P$2*D151+$Q$2*E151</f>
        <v>9956510.7567931395</v>
      </c>
      <c r="J151" s="13">
        <f t="shared" si="6"/>
        <v>-43489.243206860498</v>
      </c>
      <c r="K151" s="28">
        <f t="shared" si="7"/>
        <v>-4.3489243206860095E-3</v>
      </c>
    </row>
    <row r="152" spans="1:11">
      <c r="A152" s="1">
        <v>151</v>
      </c>
      <c r="B152" s="28">
        <f>Data!D155/Data!D154</f>
        <v>0.99218135576404198</v>
      </c>
      <c r="C152" s="28">
        <f>Data!H155/Data!H154</f>
        <v>0.99601419012648251</v>
      </c>
      <c r="D152" s="28">
        <f>Data!L155/Data!L154</f>
        <v>0.9953096313732599</v>
      </c>
      <c r="E152" s="28">
        <f>Data!P155/Data!P154</f>
        <v>1.0061891792425992</v>
      </c>
      <c r="F152" s="105">
        <f t="shared" si="5"/>
        <v>2.9969735809067689E-2</v>
      </c>
      <c r="G152">
        <v>349</v>
      </c>
      <c r="H152" s="14">
        <f>$N$2*B152+$O$2*C152+$P$2*D152+$Q$2*E152</f>
        <v>9964455.9832940735</v>
      </c>
      <c r="J152" s="13">
        <f t="shared" si="6"/>
        <v>-35544.016705926508</v>
      </c>
      <c r="K152" s="28">
        <f t="shared" si="7"/>
        <v>-3.5544016705926218E-3</v>
      </c>
    </row>
    <row r="153" spans="1:11">
      <c r="A153" s="1">
        <v>152</v>
      </c>
      <c r="B153" s="28">
        <f>Data!D156/Data!D155</f>
        <v>1.0039340311990868</v>
      </c>
      <c r="C153" s="28">
        <f>Data!H156/Data!H155</f>
        <v>1.0078627390698502</v>
      </c>
      <c r="D153" s="28">
        <f>Data!L156/Data!L155</f>
        <v>1.0116292206720225</v>
      </c>
      <c r="E153" s="28">
        <f>Data!P156/Data!P155</f>
        <v>0.98831350693735864</v>
      </c>
      <c r="F153" s="105">
        <f t="shared" si="5"/>
        <v>3.0272460413199691E-2</v>
      </c>
      <c r="G153">
        <v>348</v>
      </c>
      <c r="H153" s="14">
        <f>$N$2*B153+$O$2*C153+$P$2*D153+$Q$2*E153</f>
        <v>10027580.576552637</v>
      </c>
      <c r="J153" s="13">
        <f t="shared" si="6"/>
        <v>27580.576552636921</v>
      </c>
      <c r="K153" s="28">
        <f t="shared" si="7"/>
        <v>2.7580576552637126E-3</v>
      </c>
    </row>
    <row r="154" spans="1:11">
      <c r="A154" s="1">
        <v>153</v>
      </c>
      <c r="B154" s="28">
        <f>Data!D157/Data!D156</f>
        <v>1.0004534871950603</v>
      </c>
      <c r="C154" s="28">
        <f>Data!H157/Data!H156</f>
        <v>0.99657460817734267</v>
      </c>
      <c r="D154" s="28">
        <f>Data!L157/Data!L156</f>
        <v>0.99886882328762272</v>
      </c>
      <c r="E154" s="28">
        <f>Data!P157/Data!P156</f>
        <v>1.0000162785365803</v>
      </c>
      <c r="F154" s="105">
        <f t="shared" si="5"/>
        <v>3.0578242841615852E-2</v>
      </c>
      <c r="G154">
        <v>347</v>
      </c>
      <c r="H154" s="14">
        <f>$N$2*B154+$O$2*C154+$P$2*D154+$Q$2*E154</f>
        <v>9990439.1536730528</v>
      </c>
      <c r="J154" s="13">
        <f t="shared" si="6"/>
        <v>-9560.8463269472122</v>
      </c>
      <c r="K154" s="28">
        <f t="shared" si="7"/>
        <v>-9.5608463269469812E-4</v>
      </c>
    </row>
    <row r="155" spans="1:11">
      <c r="A155" s="1">
        <v>154</v>
      </c>
      <c r="B155" s="28">
        <f>Data!D158/Data!D157</f>
        <v>1.00226236103073</v>
      </c>
      <c r="C155" s="28">
        <f>Data!H158/Data!H157</f>
        <v>1.0095607091384429</v>
      </c>
      <c r="D155" s="28">
        <f>Data!L158/Data!L157</f>
        <v>1.0067138649655432</v>
      </c>
      <c r="E155" s="28">
        <f>Data!P158/Data!P157</f>
        <v>0.98701078322149971</v>
      </c>
      <c r="F155" s="105">
        <f t="shared" si="5"/>
        <v>3.0887113981430153E-2</v>
      </c>
      <c r="G155">
        <v>346</v>
      </c>
      <c r="H155" s="14">
        <f>$N$2*B155+$O$2*C155+$P$2*D155+$Q$2*E155</f>
        <v>10018467.002946792</v>
      </c>
      <c r="J155" s="13">
        <f t="shared" si="6"/>
        <v>18467.00294679217</v>
      </c>
      <c r="K155" s="28">
        <f t="shared" si="7"/>
        <v>1.8467002946791489E-3</v>
      </c>
    </row>
    <row r="156" spans="1:11">
      <c r="A156" s="1">
        <v>155</v>
      </c>
      <c r="B156" s="28">
        <f>Data!D159/Data!D158</f>
        <v>1.0103882154365507</v>
      </c>
      <c r="C156" s="28">
        <f>Data!H159/Data!H158</f>
        <v>1.0084197851247649</v>
      </c>
      <c r="D156" s="28">
        <f>Data!L159/Data!L158</f>
        <v>1.0116173012838785</v>
      </c>
      <c r="E156" s="28">
        <f>Data!P159/Data!P158</f>
        <v>1.0044790252622184</v>
      </c>
      <c r="F156" s="105">
        <f t="shared" si="5"/>
        <v>3.119910503174763E-2</v>
      </c>
      <c r="G156">
        <v>345</v>
      </c>
      <c r="H156" s="14">
        <f>$N$2*B156+$O$2*C156+$P$2*D156+$Q$2*E156</f>
        <v>10087387.568928812</v>
      </c>
      <c r="J156" s="13">
        <f t="shared" si="6"/>
        <v>87387.568928811699</v>
      </c>
      <c r="K156" s="28">
        <f t="shared" si="7"/>
        <v>8.7387568928811721E-3</v>
      </c>
    </row>
    <row r="157" spans="1:11">
      <c r="A157" s="1">
        <v>156</v>
      </c>
      <c r="B157" s="28">
        <f>Data!D160/Data!D159</f>
        <v>1.0015282636862326</v>
      </c>
      <c r="C157" s="28">
        <f>Data!H160/Data!H159</f>
        <v>0.99912316620458863</v>
      </c>
      <c r="D157" s="28">
        <f>Data!L160/Data!L159</f>
        <v>1.0048788505367181</v>
      </c>
      <c r="E157" s="28">
        <f>Data!P160/Data!P159</f>
        <v>1.0187719392473491</v>
      </c>
      <c r="F157" s="105">
        <f t="shared" si="5"/>
        <v>3.1514247506815786E-2</v>
      </c>
      <c r="G157">
        <v>344</v>
      </c>
      <c r="H157" s="14">
        <f>$N$2*B157+$O$2*C157+$P$2*D157+$Q$2*E157</f>
        <v>10045905.282390112</v>
      </c>
      <c r="J157" s="13">
        <f t="shared" si="6"/>
        <v>45905.282390112057</v>
      </c>
      <c r="K157" s="28">
        <f t="shared" si="7"/>
        <v>4.5905282390112934E-3</v>
      </c>
    </row>
    <row r="158" spans="1:11">
      <c r="A158" s="1">
        <v>157</v>
      </c>
      <c r="B158" s="28">
        <f>Data!D161/Data!D160</f>
        <v>1.0024564945870129</v>
      </c>
      <c r="C158" s="28">
        <f>Data!H161/Data!H160</f>
        <v>1.0023768772226869</v>
      </c>
      <c r="D158" s="28">
        <f>Data!L161/Data!L160</f>
        <v>1.0049829001655011</v>
      </c>
      <c r="E158" s="28">
        <f>Data!P161/Data!P160</f>
        <v>0.99758654490081222</v>
      </c>
      <c r="F158" s="105">
        <f t="shared" si="5"/>
        <v>3.1832573239207872E-2</v>
      </c>
      <c r="G158">
        <v>343</v>
      </c>
      <c r="H158" s="14">
        <f>$N$2*B158+$O$2*C158+$P$2*D158+$Q$2*E158</f>
        <v>10017112.599983238</v>
      </c>
      <c r="J158" s="13">
        <f t="shared" si="6"/>
        <v>17112.599983237684</v>
      </c>
      <c r="K158" s="28">
        <f t="shared" si="7"/>
        <v>1.7112599983237775E-3</v>
      </c>
    </row>
    <row r="159" spans="1:11">
      <c r="A159" s="1">
        <v>158</v>
      </c>
      <c r="B159" s="28">
        <f>Data!D162/Data!D161</f>
        <v>1.0010365557053156</v>
      </c>
      <c r="C159" s="28">
        <f>Data!H162/Data!H161</f>
        <v>1.0035097424765429</v>
      </c>
      <c r="D159" s="28">
        <f>Data!L162/Data!L161</f>
        <v>1.0047401685432715</v>
      </c>
      <c r="E159" s="28">
        <f>Data!P162/Data!P161</f>
        <v>1.0054111207239669</v>
      </c>
      <c r="F159" s="105">
        <f t="shared" si="5"/>
        <v>3.2154114383038244E-2</v>
      </c>
      <c r="G159">
        <v>342</v>
      </c>
      <c r="H159" s="14">
        <f>$N$2*B159+$O$2*C159+$P$2*D159+$Q$2*E159</f>
        <v>10030237.860242097</v>
      </c>
      <c r="J159" s="13">
        <f t="shared" si="6"/>
        <v>30237.860242096707</v>
      </c>
      <c r="K159" s="28">
        <f t="shared" si="7"/>
        <v>3.0237860242097181E-3</v>
      </c>
    </row>
    <row r="160" spans="1:11">
      <c r="A160" s="1">
        <v>159</v>
      </c>
      <c r="B160" s="28">
        <f>Data!D163/Data!D162</f>
        <v>0.99290352596857767</v>
      </c>
      <c r="C160" s="28">
        <f>Data!H163/Data!H162</f>
        <v>1.0025919920272948</v>
      </c>
      <c r="D160" s="28">
        <f>Data!L163/Data!L162</f>
        <v>0.99737733341856272</v>
      </c>
      <c r="E160" s="28">
        <f>Data!P163/Data!P162</f>
        <v>0.99820889372344934</v>
      </c>
      <c r="F160" s="105">
        <f t="shared" si="5"/>
        <v>3.2478903417210353E-2</v>
      </c>
      <c r="G160">
        <v>341</v>
      </c>
      <c r="H160" s="14">
        <f>$N$2*B160+$O$2*C160+$P$2*D160+$Q$2*E160</f>
        <v>9973185.2008216567</v>
      </c>
      <c r="J160" s="13">
        <f t="shared" si="6"/>
        <v>-26814.799178343266</v>
      </c>
      <c r="K160" s="28">
        <f t="shared" si="7"/>
        <v>-2.6814799178342952E-3</v>
      </c>
    </row>
    <row r="161" spans="1:11">
      <c r="A161" s="1">
        <v>160</v>
      </c>
      <c r="B161" s="28">
        <f>Data!D164/Data!D163</f>
        <v>1.0054739351297834</v>
      </c>
      <c r="C161" s="28">
        <f>Data!H164/Data!H163</f>
        <v>1.0006856006984266</v>
      </c>
      <c r="D161" s="28">
        <f>Data!L164/Data!L163</f>
        <v>1.0036632804500705</v>
      </c>
      <c r="E161" s="28">
        <f>Data!P164/Data!P163</f>
        <v>0.9958339140317406</v>
      </c>
      <c r="F161" s="105">
        <f t="shared" si="5"/>
        <v>3.2806973148697328E-2</v>
      </c>
      <c r="G161">
        <v>340</v>
      </c>
      <c r="H161" s="14">
        <f>$N$2*B161+$O$2*C161+$P$2*D161+$Q$2*E161</f>
        <v>10019283.651127964</v>
      </c>
      <c r="J161" s="13">
        <f t="shared" si="6"/>
        <v>19283.651127964258</v>
      </c>
      <c r="K161" s="28">
        <f t="shared" si="7"/>
        <v>1.9283651127963708E-3</v>
      </c>
    </row>
    <row r="162" spans="1:11">
      <c r="A162" s="1">
        <v>161</v>
      </c>
      <c r="B162" s="28">
        <f>Data!D165/Data!D164</f>
        <v>1.0047136292954013</v>
      </c>
      <c r="C162" s="28">
        <f>Data!H165/Data!H164</f>
        <v>1.0089501082163865</v>
      </c>
      <c r="D162" s="28">
        <f>Data!L165/Data!L164</f>
        <v>1.0083882302533047</v>
      </c>
      <c r="E162" s="28">
        <f>Data!P165/Data!P164</f>
        <v>0.98703497316904421</v>
      </c>
      <c r="F162" s="105">
        <f t="shared" si="5"/>
        <v>3.3138356715855882E-2</v>
      </c>
      <c r="G162">
        <v>339</v>
      </c>
      <c r="H162" s="14">
        <f>$N$2*B162+$O$2*C162+$P$2*D162+$Q$2*E162</f>
        <v>10028163.018422158</v>
      </c>
      <c r="J162" s="13">
        <f t="shared" si="6"/>
        <v>28163.018422158435</v>
      </c>
      <c r="K162" s="28">
        <f t="shared" si="7"/>
        <v>2.8163018422158181E-3</v>
      </c>
    </row>
    <row r="163" spans="1:11">
      <c r="A163" s="1">
        <v>162</v>
      </c>
      <c r="B163" s="28">
        <f>Data!D166/Data!D165</f>
        <v>1.0085893500939176</v>
      </c>
      <c r="C163" s="28">
        <f>Data!H166/Data!H165</f>
        <v>1.012037392896064</v>
      </c>
      <c r="D163" s="28">
        <f>Data!L166/Data!L165</f>
        <v>1.0151519427087763</v>
      </c>
      <c r="E163" s="28">
        <f>Data!P166/Data!P165</f>
        <v>1.0109025258142545</v>
      </c>
      <c r="F163" s="105">
        <f t="shared" si="5"/>
        <v>3.3473087591773622E-2</v>
      </c>
      <c r="G163">
        <v>338</v>
      </c>
      <c r="H163" s="14">
        <f>$N$2*B163+$O$2*C163+$P$2*D163+$Q$2*E163</f>
        <v>10107426.573401147</v>
      </c>
      <c r="J163" s="13">
        <f t="shared" si="6"/>
        <v>107426.5734011475</v>
      </c>
      <c r="K163" s="28">
        <f t="shared" si="7"/>
        <v>1.0742657340114814E-2</v>
      </c>
    </row>
    <row r="164" spans="1:11">
      <c r="A164" s="1">
        <v>163</v>
      </c>
      <c r="B164" s="28">
        <f>Data!D167/Data!D166</f>
        <v>1.0041334983168848</v>
      </c>
      <c r="C164" s="28">
        <f>Data!H167/Data!H166</f>
        <v>1.0046922947205037</v>
      </c>
      <c r="D164" s="28">
        <f>Data!L167/Data!L166</f>
        <v>1.0008381981718284</v>
      </c>
      <c r="E164" s="28">
        <f>Data!P167/Data!P166</f>
        <v>0.99878072620031655</v>
      </c>
      <c r="F164" s="105">
        <f t="shared" si="5"/>
        <v>3.3811199587650123E-2</v>
      </c>
      <c r="G164">
        <v>337</v>
      </c>
      <c r="H164" s="14">
        <f>$N$2*B164+$O$2*C164+$P$2*D164+$Q$2*E164</f>
        <v>10029010.528001513</v>
      </c>
      <c r="J164" s="13">
        <f t="shared" si="6"/>
        <v>29010.528001513332</v>
      </c>
      <c r="K164" s="28">
        <f t="shared" si="7"/>
        <v>2.9010528001514047E-3</v>
      </c>
    </row>
    <row r="165" spans="1:11">
      <c r="A165" s="1">
        <v>164</v>
      </c>
      <c r="B165" s="28">
        <f>Data!D168/Data!D167</f>
        <v>1.0024113288614143</v>
      </c>
      <c r="C165" s="28">
        <f>Data!H168/Data!H167</f>
        <v>0.99269982907739274</v>
      </c>
      <c r="D165" s="28">
        <f>Data!L168/Data!L167</f>
        <v>0.99729465335837497</v>
      </c>
      <c r="E165" s="28">
        <f>Data!P168/Data!P167</f>
        <v>1.0166752567041064</v>
      </c>
      <c r="F165" s="105">
        <f t="shared" si="5"/>
        <v>3.4152726856212248E-2</v>
      </c>
      <c r="G165">
        <v>336</v>
      </c>
      <c r="H165" s="14">
        <f>$N$2*B165+$O$2*C165+$P$2*D165+$Q$2*E165</f>
        <v>10018389.969444422</v>
      </c>
      <c r="J165" s="13">
        <f t="shared" si="6"/>
        <v>18389.969444422051</v>
      </c>
      <c r="K165" s="28">
        <f t="shared" si="7"/>
        <v>1.8389969444421173E-3</v>
      </c>
    </row>
    <row r="166" spans="1:11">
      <c r="A166" s="1">
        <v>165</v>
      </c>
      <c r="B166" s="28">
        <f>Data!D169/Data!D168</f>
        <v>1.0003741065180445</v>
      </c>
      <c r="C166" s="28">
        <f>Data!H169/Data!H168</f>
        <v>0.99724120692037066</v>
      </c>
      <c r="D166" s="28">
        <f>Data!L169/Data!L168</f>
        <v>1.000582813348381</v>
      </c>
      <c r="E166" s="28">
        <f>Data!P169/Data!P168</f>
        <v>0.9831158596185724</v>
      </c>
      <c r="F166" s="105">
        <f t="shared" si="5"/>
        <v>3.4497703895163885E-2</v>
      </c>
      <c r="G166">
        <v>335</v>
      </c>
      <c r="H166" s="14">
        <f>$N$2*B166+$O$2*C166+$P$2*D166+$Q$2*E166</f>
        <v>9960034.5794188157</v>
      </c>
      <c r="J166" s="13">
        <f t="shared" si="6"/>
        <v>-39965.420581184328</v>
      </c>
      <c r="K166" s="28">
        <f t="shared" si="7"/>
        <v>-3.9965420581183908E-3</v>
      </c>
    </row>
    <row r="167" spans="1:11">
      <c r="A167" s="1">
        <v>166</v>
      </c>
      <c r="B167" s="28">
        <f>Data!D170/Data!D169</f>
        <v>1.0119723967356384</v>
      </c>
      <c r="C167" s="28">
        <f>Data!H170/Data!H169</f>
        <v>1.0076258842574923</v>
      </c>
      <c r="D167" s="28">
        <f>Data!L170/Data!L169</f>
        <v>1.0177391202656081</v>
      </c>
      <c r="E167" s="28">
        <f>Data!P170/Data!P169</f>
        <v>0.99940342130678061</v>
      </c>
      <c r="F167" s="105">
        <f t="shared" si="5"/>
        <v>3.4846165550670591E-2</v>
      </c>
      <c r="G167">
        <v>334</v>
      </c>
      <c r="H167" s="14">
        <f>$N$2*B167+$O$2*C167+$P$2*D167+$Q$2*E167</f>
        <v>10087313.2025942</v>
      </c>
      <c r="J167" s="13">
        <f t="shared" si="6"/>
        <v>87313.202594200149</v>
      </c>
      <c r="K167" s="28">
        <f t="shared" si="7"/>
        <v>8.7313202594199169E-3</v>
      </c>
    </row>
    <row r="168" spans="1:11">
      <c r="A168" s="1">
        <v>167</v>
      </c>
      <c r="B168" s="28">
        <f>Data!D171/Data!D170</f>
        <v>0.99671500804661017</v>
      </c>
      <c r="C168" s="28">
        <f>Data!H171/Data!H170</f>
        <v>0.99731001286688925</v>
      </c>
      <c r="D168" s="28">
        <f>Data!L171/Data!L170</f>
        <v>0.99447389678914044</v>
      </c>
      <c r="E168" s="28">
        <f>Data!P171/Data!P170</f>
        <v>1.001505377189585</v>
      </c>
      <c r="F168" s="105">
        <f t="shared" si="5"/>
        <v>3.5198147020879381E-2</v>
      </c>
      <c r="G168">
        <v>333</v>
      </c>
      <c r="H168" s="14">
        <f>$N$2*B168+$O$2*C168+$P$2*D168+$Q$2*E168</f>
        <v>9976274.7219554186</v>
      </c>
      <c r="J168" s="13">
        <f t="shared" si="6"/>
        <v>-23725.278044581413</v>
      </c>
      <c r="K168" s="28">
        <f t="shared" si="7"/>
        <v>-2.3725278044581799E-3</v>
      </c>
    </row>
    <row r="169" spans="1:11">
      <c r="A169" s="1">
        <v>168</v>
      </c>
      <c r="B169" s="28">
        <f>Data!D172/Data!D171</f>
        <v>1.0026734987692927</v>
      </c>
      <c r="C169" s="28">
        <f>Data!H172/Data!H171</f>
        <v>0.99349285763994521</v>
      </c>
      <c r="D169" s="28">
        <f>Data!L172/Data!L171</f>
        <v>0.99877716030289299</v>
      </c>
      <c r="E169" s="28">
        <f>Data!P172/Data!P171</f>
        <v>1.0024956768368487</v>
      </c>
      <c r="F169" s="105">
        <f t="shared" si="5"/>
        <v>3.5553683859474133E-2</v>
      </c>
      <c r="G169">
        <v>332</v>
      </c>
      <c r="H169" s="14">
        <f>$N$2*B169+$O$2*C169+$P$2*D169+$Q$2*E169</f>
        <v>9994941.0819735974</v>
      </c>
      <c r="J169" s="13">
        <f t="shared" si="6"/>
        <v>-5058.9180264025927</v>
      </c>
      <c r="K169" s="28">
        <f t="shared" si="7"/>
        <v>-5.0589180264026812E-4</v>
      </c>
    </row>
    <row r="170" spans="1:11">
      <c r="A170" s="1">
        <v>169</v>
      </c>
      <c r="B170" s="28">
        <f>Data!D173/Data!D172</f>
        <v>1.0104948764622963</v>
      </c>
      <c r="C170" s="28">
        <f>Data!H173/Data!H172</f>
        <v>1.0064945416722986</v>
      </c>
      <c r="D170" s="28">
        <f>Data!L173/Data!L172</f>
        <v>1.0131748081373091</v>
      </c>
      <c r="E170" s="28">
        <f>Data!P173/Data!P172</f>
        <v>0.98706186154124187</v>
      </c>
      <c r="F170" s="105">
        <f t="shared" si="5"/>
        <v>3.5912811979266795E-2</v>
      </c>
      <c r="G170">
        <v>331</v>
      </c>
      <c r="H170" s="14">
        <f>$N$2*B170+$O$2*C170+$P$2*D170+$Q$2*E170</f>
        <v>10048761.662085872</v>
      </c>
      <c r="J170" s="13">
        <f t="shared" si="6"/>
        <v>48761.662085872144</v>
      </c>
      <c r="K170" s="28">
        <f t="shared" si="7"/>
        <v>4.8761662085872182E-3</v>
      </c>
    </row>
    <row r="171" spans="1:11">
      <c r="A171" s="1">
        <v>170</v>
      </c>
      <c r="B171" s="28">
        <f>Data!D174/Data!D173</f>
        <v>1.001192523390189</v>
      </c>
      <c r="C171" s="28">
        <f>Data!H174/Data!H173</f>
        <v>0.99427227273747254</v>
      </c>
      <c r="D171" s="28">
        <f>Data!L174/Data!L173</f>
        <v>0.99557040671003205</v>
      </c>
      <c r="E171" s="28">
        <f>Data!P174/Data!P173</f>
        <v>1.003490539138628</v>
      </c>
      <c r="F171" s="105">
        <f t="shared" si="5"/>
        <v>3.6275567655825049E-2</v>
      </c>
      <c r="G171">
        <v>330</v>
      </c>
      <c r="H171" s="14">
        <f>$N$2*B171+$O$2*C171+$P$2*D171+$Q$2*E171</f>
        <v>9990138.3967604619</v>
      </c>
      <c r="J171" s="13">
        <f t="shared" si="6"/>
        <v>-9861.603239538148</v>
      </c>
      <c r="K171" s="28">
        <f t="shared" si="7"/>
        <v>-9.8616032395382192E-4</v>
      </c>
    </row>
    <row r="172" spans="1:11">
      <c r="A172" s="1">
        <v>171</v>
      </c>
      <c r="B172" s="28">
        <f>Data!D175/Data!D174</f>
        <v>1.0011781313189119</v>
      </c>
      <c r="C172" s="28">
        <f>Data!H175/Data!H174</f>
        <v>0.99719390473638525</v>
      </c>
      <c r="D172" s="28">
        <f>Data!L175/Data!L174</f>
        <v>1.0015156699025329</v>
      </c>
      <c r="E172" s="28">
        <f>Data!P175/Data!P174</f>
        <v>0.99776488945174224</v>
      </c>
      <c r="F172" s="105">
        <f t="shared" si="5"/>
        <v>3.6641987531136413E-2</v>
      </c>
      <c r="G172">
        <v>329</v>
      </c>
      <c r="H172" s="14">
        <f>$N$2*B172+$O$2*C172+$P$2*D172+$Q$2*E172</f>
        <v>9993339.6882908214</v>
      </c>
      <c r="J172" s="13">
        <f t="shared" si="6"/>
        <v>-6660.3117091786116</v>
      </c>
      <c r="K172" s="28">
        <f t="shared" si="7"/>
        <v>-6.6603117091790232E-4</v>
      </c>
    </row>
    <row r="173" spans="1:11">
      <c r="A173" s="1">
        <v>172</v>
      </c>
      <c r="B173" s="28">
        <f>Data!D176/Data!D175</f>
        <v>1.006930905864976</v>
      </c>
      <c r="C173" s="28">
        <f>Data!H176/Data!H175</f>
        <v>1.0042967688674764</v>
      </c>
      <c r="D173" s="28">
        <f>Data!L176/Data!L175</f>
        <v>1.0054771677016425</v>
      </c>
      <c r="E173" s="28">
        <f>Data!P176/Data!P175</f>
        <v>0.9942744917031171</v>
      </c>
      <c r="F173" s="105">
        <f t="shared" si="5"/>
        <v>3.7012108617309504E-2</v>
      </c>
      <c r="G173">
        <v>328</v>
      </c>
      <c r="H173" s="14">
        <f>$N$2*B173+$O$2*C173+$P$2*D173+$Q$2*E173</f>
        <v>10034640.081170211</v>
      </c>
      <c r="J173" s="13">
        <f t="shared" si="6"/>
        <v>34640.081170210615</v>
      </c>
      <c r="K173" s="28">
        <f t="shared" si="7"/>
        <v>3.4640081170209669E-3</v>
      </c>
    </row>
    <row r="174" spans="1:11">
      <c r="A174" s="1">
        <v>173</v>
      </c>
      <c r="B174" s="28">
        <f>Data!D177/Data!D176</f>
        <v>1.0073562581555389</v>
      </c>
      <c r="C174" s="28">
        <f>Data!H177/Data!H176</f>
        <v>1.0101626956588787</v>
      </c>
      <c r="D174" s="28">
        <f>Data!L177/Data!L176</f>
        <v>1.0023231711385288</v>
      </c>
      <c r="E174" s="28">
        <f>Data!P177/Data!P176</f>
        <v>1.0170895858087385</v>
      </c>
      <c r="F174" s="105">
        <f t="shared" si="5"/>
        <v>3.7385968300312641E-2</v>
      </c>
      <c r="G174">
        <v>327</v>
      </c>
      <c r="H174" s="14">
        <f>$N$2*B174+$O$2*C174+$P$2*D174+$Q$2*E174</f>
        <v>10096415.462354796</v>
      </c>
      <c r="J174" s="13">
        <f t="shared" si="6"/>
        <v>96415.462354796007</v>
      </c>
      <c r="K174" s="28">
        <f t="shared" si="7"/>
        <v>9.6415462354795256E-3</v>
      </c>
    </row>
    <row r="175" spans="1:11">
      <c r="A175" s="1">
        <v>174</v>
      </c>
      <c r="B175" s="28">
        <f>Data!D178/Data!D177</f>
        <v>1.0040423560774721</v>
      </c>
      <c r="C175" s="28">
        <f>Data!H178/Data!H177</f>
        <v>1.0032439547333474</v>
      </c>
      <c r="D175" s="28">
        <f>Data!L178/Data!L177</f>
        <v>1.0046470559709797</v>
      </c>
      <c r="E175" s="28">
        <f>Data!P178/Data!P177</f>
        <v>1.0065131409089476</v>
      </c>
      <c r="F175" s="105">
        <f t="shared" si="5"/>
        <v>3.7763604343750139E-2</v>
      </c>
      <c r="G175">
        <v>326</v>
      </c>
      <c r="H175" s="14">
        <f>$N$2*B175+$O$2*C175+$P$2*D175+$Q$2*E175</f>
        <v>10043574.626298806</v>
      </c>
      <c r="J175" s="13">
        <f t="shared" si="6"/>
        <v>43574.626298805699</v>
      </c>
      <c r="K175" s="28">
        <f t="shared" si="7"/>
        <v>4.3574626298805708E-3</v>
      </c>
    </row>
    <row r="176" spans="1:11">
      <c r="A176" s="1">
        <v>175</v>
      </c>
      <c r="B176" s="28">
        <f>Data!D179/Data!D178</f>
        <v>0.9889439918221159</v>
      </c>
      <c r="C176" s="28">
        <f>Data!H179/Data!H178</f>
        <v>0.98907317885412016</v>
      </c>
      <c r="D176" s="28">
        <f>Data!L179/Data!L178</f>
        <v>0.99062345886077463</v>
      </c>
      <c r="E176" s="28">
        <f>Data!P179/Data!P178</f>
        <v>0.99339638356254767</v>
      </c>
      <c r="F176" s="105">
        <f t="shared" si="5"/>
        <v>3.8145054892676909E-2</v>
      </c>
      <c r="G176">
        <v>325</v>
      </c>
      <c r="H176" s="14">
        <f>$N$2*B176+$O$2*C176+$P$2*D176+$Q$2*E176</f>
        <v>9900411.729836693</v>
      </c>
      <c r="J176" s="13">
        <f t="shared" si="6"/>
        <v>-99588.270163306966</v>
      </c>
      <c r="K176" s="28">
        <f t="shared" si="7"/>
        <v>-9.9588270163306625E-3</v>
      </c>
    </row>
    <row r="177" spans="1:11">
      <c r="A177" s="1">
        <v>176</v>
      </c>
      <c r="B177" s="28">
        <f>Data!D180/Data!D179</f>
        <v>1.0084062737180792</v>
      </c>
      <c r="C177" s="28">
        <f>Data!H180/Data!H179</f>
        <v>1.0062240924840617</v>
      </c>
      <c r="D177" s="28">
        <f>Data!L180/Data!L179</f>
        <v>1.0071147415273052</v>
      </c>
      <c r="E177" s="28">
        <f>Data!P180/Data!P179</f>
        <v>0.99238835382274193</v>
      </c>
      <c r="F177" s="105">
        <f t="shared" si="5"/>
        <v>3.8530358477451426E-2</v>
      </c>
      <c r="G177">
        <v>324</v>
      </c>
      <c r="H177" s="14">
        <f>$N$2*B177+$O$2*C177+$P$2*D177+$Q$2*E177</f>
        <v>10044188.821497291</v>
      </c>
      <c r="J177" s="13">
        <f t="shared" si="6"/>
        <v>44188.821497291327</v>
      </c>
      <c r="K177" s="28">
        <f t="shared" si="7"/>
        <v>4.4188821497290753E-3</v>
      </c>
    </row>
    <row r="178" spans="1:11">
      <c r="A178" s="1">
        <v>177</v>
      </c>
      <c r="B178" s="28">
        <f>Data!D181/Data!D180</f>
        <v>1.0015428230961219</v>
      </c>
      <c r="C178" s="28">
        <f>Data!H181/Data!H180</f>
        <v>0.99743921181886042</v>
      </c>
      <c r="D178" s="28">
        <f>Data!L181/Data!L180</f>
        <v>0.99721240969982139</v>
      </c>
      <c r="E178" s="28">
        <f>Data!P181/Data!P180</f>
        <v>1.0049010898879498</v>
      </c>
      <c r="F178" s="105">
        <f t="shared" si="5"/>
        <v>3.89195540176277E-2</v>
      </c>
      <c r="G178">
        <v>323</v>
      </c>
      <c r="H178" s="14">
        <f>$N$2*B178+$O$2*C178+$P$2*D178+$Q$2*E178</f>
        <v>10005503.51731679</v>
      </c>
      <c r="J178" s="13">
        <f t="shared" si="6"/>
        <v>5503.5173167902976</v>
      </c>
      <c r="K178" s="28">
        <f t="shared" si="7"/>
        <v>5.5035173167894413E-4</v>
      </c>
    </row>
    <row r="179" spans="1:11">
      <c r="A179" s="1">
        <v>178</v>
      </c>
      <c r="B179" s="28">
        <f>Data!D182/Data!D181</f>
        <v>1.0027766996983543</v>
      </c>
      <c r="C179" s="28">
        <f>Data!H182/Data!H181</f>
        <v>1.0037690840126441</v>
      </c>
      <c r="D179" s="28">
        <f>Data!L182/Data!L181</f>
        <v>1.0081040897478784</v>
      </c>
      <c r="E179" s="28">
        <f>Data!P182/Data!P181</f>
        <v>0.99140992944831641</v>
      </c>
      <c r="F179" s="105">
        <f t="shared" si="5"/>
        <v>3.931268082588657E-2</v>
      </c>
      <c r="G179">
        <v>322</v>
      </c>
      <c r="H179" s="14">
        <f>$N$2*B179+$O$2*C179+$P$2*D179+$Q$2*E179</f>
        <v>10013337.999475861</v>
      </c>
      <c r="J179" s="13">
        <f t="shared" si="6"/>
        <v>13337.999475860968</v>
      </c>
      <c r="K179" s="28">
        <f t="shared" si="7"/>
        <v>1.3337999475862006E-3</v>
      </c>
    </row>
    <row r="180" spans="1:11">
      <c r="A180" s="1">
        <v>179</v>
      </c>
      <c r="B180" s="28">
        <f>Data!D183/Data!D182</f>
        <v>1.0077474028380495</v>
      </c>
      <c r="C180" s="28">
        <f>Data!H183/Data!H182</f>
        <v>0.99801062029715171</v>
      </c>
      <c r="D180" s="28">
        <f>Data!L183/Data!L182</f>
        <v>0.99324984251523296</v>
      </c>
      <c r="E180" s="28">
        <f>Data!P183/Data!P182</f>
        <v>0.99743157670983718</v>
      </c>
      <c r="F180" s="105">
        <f t="shared" si="5"/>
        <v>3.9709778612006634E-2</v>
      </c>
      <c r="G180">
        <v>321</v>
      </c>
      <c r="H180" s="14">
        <f>$N$2*B180+$O$2*C180+$P$2*D180+$Q$2*E180</f>
        <v>10013134.468178561</v>
      </c>
      <c r="J180" s="13">
        <f t="shared" si="6"/>
        <v>13134.468178560957</v>
      </c>
      <c r="K180" s="28">
        <f t="shared" si="7"/>
        <v>1.3134468178561676E-3</v>
      </c>
    </row>
    <row r="181" spans="1:11">
      <c r="A181" s="1">
        <v>180</v>
      </c>
      <c r="B181" s="28">
        <f>Data!D184/Data!D183</f>
        <v>0.99919851892822475</v>
      </c>
      <c r="C181" s="28">
        <f>Data!H184/Data!H183</f>
        <v>0.99917398937978452</v>
      </c>
      <c r="D181" s="28">
        <f>Data!L184/Data!L183</f>
        <v>0.99529496466000966</v>
      </c>
      <c r="E181" s="28">
        <f>Data!P184/Data!P183</f>
        <v>0.99349130933740892</v>
      </c>
      <c r="F181" s="105">
        <f t="shared" si="5"/>
        <v>4.0110887486875392E-2</v>
      </c>
      <c r="G181">
        <v>320</v>
      </c>
      <c r="H181" s="14">
        <f>$N$2*B181+$O$2*C181+$P$2*D181+$Q$2*E181</f>
        <v>9976593.6271870807</v>
      </c>
      <c r="J181" s="13">
        <f t="shared" si="6"/>
        <v>-23406.372812919319</v>
      </c>
      <c r="K181" s="28">
        <f t="shared" si="7"/>
        <v>-2.3406372812919685E-3</v>
      </c>
    </row>
    <row r="182" spans="1:11">
      <c r="A182" s="1">
        <v>181</v>
      </c>
      <c r="B182" s="28">
        <f>Data!D185/Data!D184</f>
        <v>1.0059220641224276</v>
      </c>
      <c r="C182" s="28">
        <f>Data!H185/Data!H184</f>
        <v>1.0089027819846399</v>
      </c>
      <c r="D182" s="28">
        <f>Data!L185/Data!L184</f>
        <v>1.0125745364931136</v>
      </c>
      <c r="E182" s="28">
        <f>Data!P185/Data!P184</f>
        <v>0.9948334691247589</v>
      </c>
      <c r="F182" s="105">
        <f t="shared" si="5"/>
        <v>4.0516047966540798E-2</v>
      </c>
      <c r="G182">
        <v>319</v>
      </c>
      <c r="H182" s="14">
        <f>$N$2*B182+$O$2*C182+$P$2*D182+$Q$2*E182</f>
        <v>10052638.07718626</v>
      </c>
      <c r="J182" s="13">
        <f t="shared" si="6"/>
        <v>52638.077186260372</v>
      </c>
      <c r="K182" s="28">
        <f t="shared" si="7"/>
        <v>5.2638077186260013E-3</v>
      </c>
    </row>
    <row r="183" spans="1:11">
      <c r="A183" s="1">
        <v>182</v>
      </c>
      <c r="B183" s="28">
        <f>Data!D186/Data!D185</f>
        <v>0.99899310516776774</v>
      </c>
      <c r="C183" s="28">
        <f>Data!H186/Data!H185</f>
        <v>0.99685163417968925</v>
      </c>
      <c r="D183" s="28">
        <f>Data!L186/Data!L185</f>
        <v>0.99547252495684535</v>
      </c>
      <c r="E183" s="28">
        <f>Data!P186/Data!P185</f>
        <v>1.0058036435192081</v>
      </c>
      <c r="F183" s="105">
        <f t="shared" si="5"/>
        <v>4.0925300976303848E-2</v>
      </c>
      <c r="G183">
        <v>318</v>
      </c>
      <c r="H183" s="14">
        <f>$N$2*B183+$O$2*C183+$P$2*D183+$Q$2*E183</f>
        <v>9993607.1352054011</v>
      </c>
      <c r="J183" s="13">
        <f t="shared" si="6"/>
        <v>-6392.8647945988923</v>
      </c>
      <c r="K183" s="28">
        <f t="shared" si="7"/>
        <v>-6.3928647945987738E-4</v>
      </c>
    </row>
    <row r="184" spans="1:11">
      <c r="A184" s="1">
        <v>183</v>
      </c>
      <c r="B184" s="28">
        <f>Data!D187/Data!D186</f>
        <v>0.99978365015417703</v>
      </c>
      <c r="C184" s="28">
        <f>Data!H187/Data!H186</f>
        <v>0.99817922779809887</v>
      </c>
      <c r="D184" s="28">
        <f>Data!L187/Data!L186</f>
        <v>1.0002380439330245</v>
      </c>
      <c r="E184" s="28">
        <f>Data!P187/Data!P186</f>
        <v>1.0085089155544207</v>
      </c>
      <c r="F184" s="105">
        <f t="shared" si="5"/>
        <v>4.1338687854852355E-2</v>
      </c>
      <c r="G184">
        <v>317</v>
      </c>
      <c r="H184" s="14">
        <f>$N$2*B184+$O$2*C184+$P$2*D184+$Q$2*E184</f>
        <v>10010928.159052871</v>
      </c>
      <c r="J184" s="13">
        <f t="shared" si="6"/>
        <v>10928.159052871168</v>
      </c>
      <c r="K184" s="28">
        <f t="shared" si="7"/>
        <v>1.0928159052872033E-3</v>
      </c>
    </row>
    <row r="185" spans="1:11">
      <c r="A185" s="1">
        <v>184</v>
      </c>
      <c r="B185" s="28">
        <f>Data!D188/Data!D187</f>
        <v>0.99894386611471975</v>
      </c>
      <c r="C185" s="28">
        <f>Data!H188/Data!H187</f>
        <v>1.0087357133859018</v>
      </c>
      <c r="D185" s="28">
        <f>Data!L188/Data!L187</f>
        <v>1.0070387563038112</v>
      </c>
      <c r="E185" s="28">
        <f>Data!P188/Data!P187</f>
        <v>1.0012530585050607</v>
      </c>
      <c r="F185" s="105">
        <f t="shared" si="5"/>
        <v>4.1756250358436726E-2</v>
      </c>
      <c r="G185">
        <v>316</v>
      </c>
      <c r="H185" s="14">
        <f>$N$2*B185+$O$2*C185+$P$2*D185+$Q$2*E185</f>
        <v>10031527.477930518</v>
      </c>
      <c r="J185" s="13">
        <f t="shared" si="6"/>
        <v>31527.477930517867</v>
      </c>
      <c r="K185" s="28">
        <f t="shared" si="7"/>
        <v>3.1527477930517467E-3</v>
      </c>
    </row>
    <row r="186" spans="1:11">
      <c r="A186" s="1">
        <v>185</v>
      </c>
      <c r="B186" s="28">
        <f>Data!D189/Data!D188</f>
        <v>0.9937511321082535</v>
      </c>
      <c r="C186" s="28">
        <f>Data!H189/Data!H188</f>
        <v>0.9905457663604087</v>
      </c>
      <c r="D186" s="28">
        <f>Data!L189/Data!L188</f>
        <v>0.98427036424837011</v>
      </c>
      <c r="E186" s="28">
        <f>Data!P189/Data!P188</f>
        <v>0.99962199524113715</v>
      </c>
      <c r="F186" s="105">
        <f t="shared" si="5"/>
        <v>4.2178030665087615E-2</v>
      </c>
      <c r="G186">
        <v>315</v>
      </c>
      <c r="H186" s="14">
        <f>$N$2*B186+$O$2*C186+$P$2*D186+$Q$2*E186</f>
        <v>9930156.1822448839</v>
      </c>
      <c r="J186" s="13">
        <f t="shared" si="6"/>
        <v>-69843.81775511615</v>
      </c>
      <c r="K186" s="28">
        <f t="shared" si="7"/>
        <v>-6.9843817755116389E-3</v>
      </c>
    </row>
    <row r="187" spans="1:11">
      <c r="A187" s="1">
        <v>186</v>
      </c>
      <c r="B187" s="28">
        <f>Data!D190/Data!D189</f>
        <v>1.0049214612164306</v>
      </c>
      <c r="C187" s="28">
        <f>Data!H190/Data!H189</f>
        <v>1.0004239696891015</v>
      </c>
      <c r="D187" s="28">
        <f>Data!L190/Data!L189</f>
        <v>1.0030001119048637</v>
      </c>
      <c r="E187" s="28">
        <f>Data!P190/Data!P189</f>
        <v>0.98610272481008188</v>
      </c>
      <c r="F187" s="105">
        <f t="shared" si="5"/>
        <v>4.2604071378876375E-2</v>
      </c>
      <c r="G187">
        <v>314</v>
      </c>
      <c r="H187" s="14">
        <f>$N$2*B187+$O$2*C187+$P$2*D187+$Q$2*E187</f>
        <v>9996163.3154580537</v>
      </c>
      <c r="J187" s="13">
        <f t="shared" si="6"/>
        <v>-3836.684541946277</v>
      </c>
      <c r="K187" s="28">
        <f t="shared" si="7"/>
        <v>-3.8366845419457452E-4</v>
      </c>
    </row>
    <row r="188" spans="1:11">
      <c r="A188" s="1">
        <v>187</v>
      </c>
      <c r="B188" s="28">
        <f>Data!D191/Data!D190</f>
        <v>1.0010409201556494</v>
      </c>
      <c r="C188" s="28">
        <f>Data!H191/Data!H190</f>
        <v>1.0038579483658792</v>
      </c>
      <c r="D188" s="28">
        <f>Data!L191/Data!L190</f>
        <v>1.0018404203993778</v>
      </c>
      <c r="E188" s="28">
        <f>Data!P191/Data!P190</f>
        <v>1.010115624603561</v>
      </c>
      <c r="F188" s="105">
        <f t="shared" si="5"/>
        <v>4.3034415534218558E-2</v>
      </c>
      <c r="G188">
        <v>313</v>
      </c>
      <c r="H188" s="14">
        <f>$N$2*B188+$O$2*C188+$P$2*D188+$Q$2*E188</f>
        <v>10037809.195326734</v>
      </c>
      <c r="J188" s="13">
        <f t="shared" si="6"/>
        <v>37809.195326734334</v>
      </c>
      <c r="K188" s="28">
        <f t="shared" si="7"/>
        <v>3.7809195326734546E-3</v>
      </c>
    </row>
    <row r="189" spans="1:11">
      <c r="A189" s="1">
        <v>188</v>
      </c>
      <c r="B189" s="28">
        <f>Data!D192/Data!D191</f>
        <v>1.0082639738369126</v>
      </c>
      <c r="C189" s="28">
        <f>Data!H192/Data!H191</f>
        <v>0.99595513492923216</v>
      </c>
      <c r="D189" s="28">
        <f>Data!L192/Data!L191</f>
        <v>0.99376321317215199</v>
      </c>
      <c r="E189" s="28">
        <f>Data!P192/Data!P191</f>
        <v>0.99703165889340395</v>
      </c>
      <c r="F189" s="105">
        <f t="shared" si="5"/>
        <v>4.3469106600220769E-2</v>
      </c>
      <c r="G189">
        <v>312</v>
      </c>
      <c r="H189" s="14">
        <f>$N$2*B189+$O$2*C189+$P$2*D189+$Q$2*E189</f>
        <v>10008747.831094306</v>
      </c>
      <c r="J189" s="13">
        <f t="shared" si="6"/>
        <v>8747.8310943059623</v>
      </c>
      <c r="K189" s="28">
        <f t="shared" si="7"/>
        <v>8.7478310943067683E-4</v>
      </c>
    </row>
    <row r="190" spans="1:11">
      <c r="A190" s="1">
        <v>189</v>
      </c>
      <c r="B190" s="28">
        <f>Data!D193/Data!D192</f>
        <v>0.99960097058038233</v>
      </c>
      <c r="C190" s="28">
        <f>Data!H193/Data!H192</f>
        <v>1.0045991677305994</v>
      </c>
      <c r="D190" s="28">
        <f>Data!L193/Data!L192</f>
        <v>1.0121394512484139</v>
      </c>
      <c r="E190" s="28">
        <f>Data!P193/Data!P192</f>
        <v>1.0139258905968931</v>
      </c>
      <c r="F190" s="105">
        <f t="shared" si="5"/>
        <v>4.3908188485071484E-2</v>
      </c>
      <c r="G190">
        <v>311</v>
      </c>
      <c r="H190" s="14">
        <f>$N$2*B190+$O$2*C190+$P$2*D190+$Q$2*E190</f>
        <v>10052192.617955528</v>
      </c>
      <c r="J190" s="13">
        <f t="shared" si="6"/>
        <v>52192.6179555282</v>
      </c>
      <c r="K190" s="28">
        <f t="shared" si="7"/>
        <v>5.2192617955528764E-3</v>
      </c>
    </row>
    <row r="191" spans="1:11">
      <c r="A191" s="1">
        <v>190</v>
      </c>
      <c r="B191" s="28">
        <f>Data!D194/Data!D193</f>
        <v>1.0029696998159623</v>
      </c>
      <c r="C191" s="28">
        <f>Data!H194/Data!H193</f>
        <v>1.0087594936436726</v>
      </c>
      <c r="D191" s="28">
        <f>Data!L194/Data!L193</f>
        <v>1.0077974528463158</v>
      </c>
      <c r="E191" s="28">
        <f>Data!P194/Data!P193</f>
        <v>1.0028392149118226</v>
      </c>
      <c r="F191" s="105">
        <f t="shared" si="5"/>
        <v>4.4351705540476245E-2</v>
      </c>
      <c r="G191">
        <v>310</v>
      </c>
      <c r="H191" s="14">
        <f>$N$2*B191+$O$2*C191+$P$2*D191+$Q$2*E191</f>
        <v>10051633.162864828</v>
      </c>
      <c r="J191" s="13">
        <f t="shared" si="6"/>
        <v>51633.162864828482</v>
      </c>
      <c r="K191" s="28">
        <f t="shared" si="7"/>
        <v>5.1633162864828108E-3</v>
      </c>
    </row>
    <row r="192" spans="1:11">
      <c r="A192" s="1">
        <v>191</v>
      </c>
      <c r="B192" s="28">
        <f>Data!D195/Data!D194</f>
        <v>1.0006006682708875</v>
      </c>
      <c r="C192" s="28">
        <f>Data!H195/Data!H194</f>
        <v>1.0042659360068353</v>
      </c>
      <c r="D192" s="28">
        <f>Data!L195/Data!L194</f>
        <v>0.99795675230783498</v>
      </c>
      <c r="E192" s="28">
        <f>Data!P195/Data!P194</f>
        <v>1.0031112839642193</v>
      </c>
      <c r="F192" s="105">
        <f t="shared" si="5"/>
        <v>4.4799702566137627E-2</v>
      </c>
      <c r="G192">
        <v>309</v>
      </c>
      <c r="H192" s="14">
        <f>$N$2*B192+$O$2*C192+$P$2*D192+$Q$2*E192</f>
        <v>10019379.801340329</v>
      </c>
      <c r="J192" s="13">
        <f t="shared" si="6"/>
        <v>19379.801340328529</v>
      </c>
      <c r="K192" s="28">
        <f t="shared" si="7"/>
        <v>1.9379801340329017E-3</v>
      </c>
    </row>
    <row r="193" spans="1:11">
      <c r="A193" s="1">
        <v>192</v>
      </c>
      <c r="B193" s="28">
        <f>Data!D196/Data!D195</f>
        <v>0.99408759081390308</v>
      </c>
      <c r="C193" s="28">
        <f>Data!H196/Data!H195</f>
        <v>0.99615293832681628</v>
      </c>
      <c r="D193" s="28">
        <f>Data!L196/Data!L195</f>
        <v>0.99510131297518378</v>
      </c>
      <c r="E193" s="28">
        <f>Data!P196/Data!P195</f>
        <v>1.005298422945043</v>
      </c>
      <c r="F193" s="105">
        <f t="shared" si="5"/>
        <v>4.5252224814280428E-2</v>
      </c>
      <c r="G193">
        <v>308</v>
      </c>
      <c r="H193" s="14">
        <f>$N$2*B193+$O$2*C193+$P$2*D193+$Q$2*E193</f>
        <v>9970507.337101331</v>
      </c>
      <c r="J193" s="13">
        <f t="shared" si="6"/>
        <v>-29492.662898669019</v>
      </c>
      <c r="K193" s="28">
        <f t="shared" si="7"/>
        <v>-2.9492662898669142E-3</v>
      </c>
    </row>
    <row r="194" spans="1:11">
      <c r="A194" s="1">
        <v>193</v>
      </c>
      <c r="B194" s="28">
        <f>Data!D197/Data!D196</f>
        <v>0.99045343077762726</v>
      </c>
      <c r="C194" s="28">
        <f>Data!H197/Data!H196</f>
        <v>0.98280853292001702</v>
      </c>
      <c r="D194" s="28">
        <f>Data!L197/Data!L196</f>
        <v>0.98131525994413349</v>
      </c>
      <c r="E194" s="28">
        <f>Data!P197/Data!P196</f>
        <v>1.0042396705016903</v>
      </c>
      <c r="F194" s="105">
        <f t="shared" ref="F194:F257" si="8">F$503^G194</f>
        <v>4.5709317994222655E-2</v>
      </c>
      <c r="G194">
        <v>307</v>
      </c>
      <c r="H194" s="14">
        <f>$N$2*B194+$O$2*C194+$P$2*D194+$Q$2*E194</f>
        <v>9900033.922818074</v>
      </c>
      <c r="J194" s="13">
        <f t="shared" si="6"/>
        <v>-99966.077181925997</v>
      </c>
      <c r="K194" s="28">
        <f t="shared" si="7"/>
        <v>-9.9966077181925517E-3</v>
      </c>
    </row>
    <row r="195" spans="1:11">
      <c r="A195" s="1">
        <v>194</v>
      </c>
      <c r="B195" s="28">
        <f>Data!D198/Data!D197</f>
        <v>0.98522613431043526</v>
      </c>
      <c r="C195" s="28">
        <f>Data!H198/Data!H197</f>
        <v>0.99174364019560934</v>
      </c>
      <c r="D195" s="28">
        <f>Data!L198/Data!L197</f>
        <v>0.98299523292017998</v>
      </c>
      <c r="E195" s="28">
        <f>Data!P198/Data!P197</f>
        <v>0.99739428816583575</v>
      </c>
      <c r="F195" s="105">
        <f t="shared" si="8"/>
        <v>4.6171028276992578E-2</v>
      </c>
      <c r="G195">
        <v>306</v>
      </c>
      <c r="H195" s="14">
        <f>$N$2*B195+$O$2*C195+$P$2*D195+$Q$2*E195</f>
        <v>9893919.2670804206</v>
      </c>
      <c r="J195" s="13">
        <f t="shared" ref="J195:J258" si="9">H195-SUM($N$2:$Q$2)</f>
        <v>-106080.73291957937</v>
      </c>
      <c r="K195" s="28">
        <f t="shared" ref="K195:K258" si="10">(H195/$R$2)-1</f>
        <v>-1.0608073291957898E-2</v>
      </c>
    </row>
    <row r="196" spans="1:11">
      <c r="A196" s="1">
        <v>195</v>
      </c>
      <c r="B196" s="28">
        <f>Data!D199/Data!D198</f>
        <v>1.0118838628659812</v>
      </c>
      <c r="C196" s="28">
        <f>Data!H199/Data!H198</f>
        <v>0.99338584267393715</v>
      </c>
      <c r="D196" s="28">
        <f>Data!L199/Data!L198</f>
        <v>0.99117278454500679</v>
      </c>
      <c r="E196" s="28">
        <f>Data!P199/Data!P198</f>
        <v>0.98391556868526819</v>
      </c>
      <c r="F196" s="105">
        <f t="shared" si="8"/>
        <v>4.6637402299992504E-2</v>
      </c>
      <c r="G196">
        <v>305</v>
      </c>
      <c r="H196" s="14">
        <f>$N$2*B196+$O$2*C196+$P$2*D196+$Q$2*E196</f>
        <v>9986696.9014012795</v>
      </c>
      <c r="J196" s="13">
        <f t="shared" si="9"/>
        <v>-13303.098598720506</v>
      </c>
      <c r="K196" s="28">
        <f t="shared" si="10"/>
        <v>-1.3303098598720364E-3</v>
      </c>
    </row>
    <row r="197" spans="1:11">
      <c r="A197" s="1">
        <v>196</v>
      </c>
      <c r="B197" s="28">
        <f>Data!D200/Data!D199</f>
        <v>1.0000424600298412</v>
      </c>
      <c r="C197" s="28">
        <f>Data!H200/Data!H199</f>
        <v>1.0094385331950573</v>
      </c>
      <c r="D197" s="28">
        <f>Data!L200/Data!L199</f>
        <v>1.0087112375367484</v>
      </c>
      <c r="E197" s="28">
        <f>Data!P200/Data!P199</f>
        <v>1.0017145733886279</v>
      </c>
      <c r="F197" s="105">
        <f t="shared" si="8"/>
        <v>4.7108487171709609E-2</v>
      </c>
      <c r="G197">
        <v>304</v>
      </c>
      <c r="H197" s="14">
        <f>$N$2*B197+$O$2*C197+$P$2*D197+$Q$2*E197</f>
        <v>10040625.82401854</v>
      </c>
      <c r="J197" s="13">
        <f t="shared" si="9"/>
        <v>40625.824018539861</v>
      </c>
      <c r="K197" s="28">
        <f t="shared" si="10"/>
        <v>4.0625824018540868E-3</v>
      </c>
    </row>
    <row r="198" spans="1:11">
      <c r="A198" s="1">
        <v>197</v>
      </c>
      <c r="B198" s="28">
        <f>Data!D201/Data!D200</f>
        <v>0.9903202691106715</v>
      </c>
      <c r="C198" s="28">
        <f>Data!H201/Data!H200</f>
        <v>0.99600787517494738</v>
      </c>
      <c r="D198" s="28">
        <f>Data!L201/Data!L200</f>
        <v>0.99069351460126065</v>
      </c>
      <c r="E198" s="28">
        <f>Data!P201/Data!P200</f>
        <v>0.99562947473100738</v>
      </c>
      <c r="F198" s="105">
        <f t="shared" si="8"/>
        <v>4.7584330476474347E-2</v>
      </c>
      <c r="G198">
        <v>303</v>
      </c>
      <c r="H198" s="14">
        <f>$N$2*B198+$O$2*C198+$P$2*D198+$Q$2*E198</f>
        <v>9931257.1660308037</v>
      </c>
      <c r="J198" s="13">
        <f t="shared" si="9"/>
        <v>-68742.833969196305</v>
      </c>
      <c r="K198" s="28">
        <f t="shared" si="10"/>
        <v>-6.8742833969196449E-3</v>
      </c>
    </row>
    <row r="199" spans="1:11">
      <c r="A199" s="1">
        <v>198</v>
      </c>
      <c r="B199" s="28">
        <f>Data!D202/Data!D201</f>
        <v>1.0140910010597961</v>
      </c>
      <c r="C199" s="28">
        <f>Data!H202/Data!H201</f>
        <v>1.0056550689184298</v>
      </c>
      <c r="D199" s="28">
        <f>Data!L202/Data!L201</f>
        <v>1.0053190639556706</v>
      </c>
      <c r="E199" s="28">
        <f>Data!P202/Data!P201</f>
        <v>0.99376347666869214</v>
      </c>
      <c r="F199" s="105">
        <f t="shared" si="8"/>
        <v>4.8064980279267019E-2</v>
      </c>
      <c r="G199">
        <v>302</v>
      </c>
      <c r="H199" s="14">
        <f>$N$2*B199+$O$2*C199+$P$2*D199+$Q$2*E199</f>
        <v>10066175.228287529</v>
      </c>
      <c r="J199" s="13">
        <f t="shared" si="9"/>
        <v>66175.2282875292</v>
      </c>
      <c r="K199" s="28">
        <f t="shared" si="10"/>
        <v>6.6175228287528309E-3</v>
      </c>
    </row>
    <row r="200" spans="1:11">
      <c r="A200" s="1">
        <v>199</v>
      </c>
      <c r="B200" s="28">
        <f>Data!D203/Data!D202</f>
        <v>1.0052943292526895</v>
      </c>
      <c r="C200" s="28">
        <f>Data!H203/Data!H202</f>
        <v>1.0120189195288993</v>
      </c>
      <c r="D200" s="28">
        <f>Data!L203/Data!L202</f>
        <v>1.0197135591199979</v>
      </c>
      <c r="E200" s="28">
        <f>Data!P203/Data!P202</f>
        <v>1.0013466215632885</v>
      </c>
      <c r="F200" s="105">
        <f t="shared" si="8"/>
        <v>4.8550485130572744E-2</v>
      </c>
      <c r="G200">
        <v>301</v>
      </c>
      <c r="H200" s="14">
        <f>$N$2*B200+$O$2*C200+$P$2*D200+$Q$2*E200</f>
        <v>10079640.87784403</v>
      </c>
      <c r="J200" s="13">
        <f t="shared" si="9"/>
        <v>79640.877844030038</v>
      </c>
      <c r="K200" s="28">
        <f t="shared" si="10"/>
        <v>7.9640877844029401E-3</v>
      </c>
    </row>
    <row r="201" spans="1:11">
      <c r="A201" s="1">
        <v>200</v>
      </c>
      <c r="B201" s="28">
        <f>Data!D204/Data!D203</f>
        <v>1.0063266716984918</v>
      </c>
      <c r="C201" s="28">
        <f>Data!H204/Data!H203</f>
        <v>1.0162617141957662</v>
      </c>
      <c r="D201" s="28">
        <f>Data!L204/Data!L203</f>
        <v>1.0135126125464042</v>
      </c>
      <c r="E201" s="28">
        <f>Data!P204/Data!P203</f>
        <v>1.0023485356719166</v>
      </c>
      <c r="F201" s="105">
        <f t="shared" si="8"/>
        <v>4.9040894071285611E-2</v>
      </c>
      <c r="G201">
        <v>300</v>
      </c>
      <c r="H201" s="14">
        <f>$N$2*B201+$O$2*C201+$P$2*D201+$Q$2*E201</f>
        <v>10092301.513271503</v>
      </c>
      <c r="J201" s="13">
        <f t="shared" si="9"/>
        <v>92301.51327150315</v>
      </c>
      <c r="K201" s="28">
        <f t="shared" si="10"/>
        <v>9.2301513271502156E-3</v>
      </c>
    </row>
    <row r="202" spans="1:11">
      <c r="A202" s="1">
        <v>201</v>
      </c>
      <c r="B202" s="28">
        <f>Data!D205/Data!D204</f>
        <v>0.99805711068163894</v>
      </c>
      <c r="C202" s="28">
        <f>Data!H205/Data!H204</f>
        <v>0.99767164291623867</v>
      </c>
      <c r="D202" s="28">
        <f>Data!L205/Data!L204</f>
        <v>0.99930097070217461</v>
      </c>
      <c r="E202" s="28">
        <f>Data!P205/Data!P204</f>
        <v>1.0087628942224791</v>
      </c>
      <c r="F202" s="105">
        <f t="shared" si="8"/>
        <v>4.9536256637662222E-2</v>
      </c>
      <c r="G202">
        <v>299</v>
      </c>
      <c r="H202" s="14">
        <f>$N$2*B202+$O$2*C202+$P$2*D202+$Q$2*E202</f>
        <v>10002070.130622406</v>
      </c>
      <c r="J202" s="13">
        <f t="shared" si="9"/>
        <v>2070.1306224055588</v>
      </c>
      <c r="K202" s="28">
        <f t="shared" si="10"/>
        <v>2.0701306224046867E-4</v>
      </c>
    </row>
    <row r="203" spans="1:11">
      <c r="A203" s="1">
        <v>202</v>
      </c>
      <c r="B203" s="28">
        <f>Data!D206/Data!D205</f>
        <v>1.0016484267221433</v>
      </c>
      <c r="C203" s="28">
        <f>Data!H206/Data!H205</f>
        <v>0.9953043406302956</v>
      </c>
      <c r="D203" s="28">
        <f>Data!L206/Data!L205</f>
        <v>0.99839314051891859</v>
      </c>
      <c r="E203" s="28">
        <f>Data!P206/Data!P205</f>
        <v>1.0030475024551397</v>
      </c>
      <c r="F203" s="105">
        <f t="shared" si="8"/>
        <v>5.0036622866325479E-2</v>
      </c>
      <c r="G203">
        <v>298</v>
      </c>
      <c r="H203" s="14">
        <f>$N$2*B203+$O$2*C203+$P$2*D203+$Q$2*E203</f>
        <v>9996994.8742086571</v>
      </c>
      <c r="J203" s="13">
        <f t="shared" si="9"/>
        <v>-3005.125791342929</v>
      </c>
      <c r="K203" s="28">
        <f t="shared" si="10"/>
        <v>-3.0051257913432661E-4</v>
      </c>
    </row>
    <row r="204" spans="1:11">
      <c r="A204" s="1">
        <v>203</v>
      </c>
      <c r="B204" s="28">
        <f>Data!D207/Data!D206</f>
        <v>0.98929259238072609</v>
      </c>
      <c r="C204" s="28">
        <f>Data!H207/Data!H206</f>
        <v>1.0026821779912622</v>
      </c>
      <c r="D204" s="28">
        <f>Data!L207/Data!L206</f>
        <v>1.0043688195497802</v>
      </c>
      <c r="E204" s="28">
        <f>Data!P207/Data!P206</f>
        <v>1.0004571387923431</v>
      </c>
      <c r="F204" s="105">
        <f t="shared" si="8"/>
        <v>5.0542043299318669E-2</v>
      </c>
      <c r="G204">
        <v>297</v>
      </c>
      <c r="H204" s="14">
        <f>$N$2*B204+$O$2*C204+$P$2*D204+$Q$2*E204</f>
        <v>9970500.0006311573</v>
      </c>
      <c r="J204" s="13">
        <f t="shared" si="9"/>
        <v>-29499.999368842691</v>
      </c>
      <c r="K204" s="28">
        <f t="shared" si="10"/>
        <v>-2.9499999368842733E-3</v>
      </c>
    </row>
    <row r="205" spans="1:11">
      <c r="A205" s="1">
        <v>204</v>
      </c>
      <c r="B205" s="28">
        <f>Data!D208/Data!D207</f>
        <v>1.0041825371290982</v>
      </c>
      <c r="C205" s="28">
        <f>Data!H208/Data!H207</f>
        <v>0.99178501498737481</v>
      </c>
      <c r="D205" s="28">
        <f>Data!L208/Data!L207</f>
        <v>0.9881201227607026</v>
      </c>
      <c r="E205" s="28">
        <f>Data!P208/Data!P207</f>
        <v>1.0014905249603494</v>
      </c>
      <c r="F205" s="105">
        <f t="shared" si="8"/>
        <v>5.1052568989210775E-2</v>
      </c>
      <c r="G205">
        <v>296</v>
      </c>
      <c r="H205" s="14">
        <f>$N$2*B205+$O$2*C205+$P$2*D205+$Q$2*E205</f>
        <v>9983186.3661599196</v>
      </c>
      <c r="J205" s="13">
        <f t="shared" si="9"/>
        <v>-16813.633840080351</v>
      </c>
      <c r="K205" s="28">
        <f t="shared" si="10"/>
        <v>-1.6813633840080389E-3</v>
      </c>
    </row>
    <row r="206" spans="1:11">
      <c r="A206" s="1">
        <v>205</v>
      </c>
      <c r="B206" s="28">
        <f>Data!D209/Data!D208</f>
        <v>0.98629985294378197</v>
      </c>
      <c r="C206" s="28">
        <f>Data!H209/Data!H208</f>
        <v>0.99731306833615752</v>
      </c>
      <c r="D206" s="28">
        <f>Data!L209/Data!L208</f>
        <v>1.0010615709812916</v>
      </c>
      <c r="E206" s="28">
        <f>Data!P209/Data!P208</f>
        <v>0.99371185073339729</v>
      </c>
      <c r="F206" s="105">
        <f t="shared" si="8"/>
        <v>5.1568251504253315E-2</v>
      </c>
      <c r="G206">
        <v>295</v>
      </c>
      <c r="H206" s="14">
        <f>$N$2*B206+$O$2*C206+$P$2*D206+$Q$2*E206</f>
        <v>9925623.8892316874</v>
      </c>
      <c r="J206" s="13">
        <f t="shared" si="9"/>
        <v>-74376.110768312588</v>
      </c>
      <c r="K206" s="28">
        <f t="shared" si="10"/>
        <v>-7.4376110768312742E-3</v>
      </c>
    </row>
    <row r="207" spans="1:11">
      <c r="A207" s="1">
        <v>206</v>
      </c>
      <c r="B207" s="28">
        <f>Data!D210/Data!D209</f>
        <v>0.99938549100092355</v>
      </c>
      <c r="C207" s="28">
        <f>Data!H210/Data!H209</f>
        <v>1.0035997359537101</v>
      </c>
      <c r="D207" s="28">
        <f>Data!L210/Data!L209</f>
        <v>0.99849023752185384</v>
      </c>
      <c r="E207" s="28">
        <f>Data!P210/Data!P209</f>
        <v>0.99725161506305349</v>
      </c>
      <c r="F207" s="105">
        <f t="shared" si="8"/>
        <v>5.2089142933589211E-2</v>
      </c>
      <c r="G207">
        <v>294</v>
      </c>
      <c r="H207" s="14">
        <f>$N$2*B207+$O$2*C207+$P$2*D207+$Q$2*E207</f>
        <v>10001334.639512785</v>
      </c>
      <c r="J207" s="13">
        <f t="shared" si="9"/>
        <v>1334.6395127847791</v>
      </c>
      <c r="K207" s="28">
        <f t="shared" si="10"/>
        <v>1.3346395127844524E-4</v>
      </c>
    </row>
    <row r="208" spans="1:11">
      <c r="A208" s="1">
        <v>207</v>
      </c>
      <c r="B208" s="28">
        <f>Data!D211/Data!D210</f>
        <v>0.9989222628734914</v>
      </c>
      <c r="C208" s="28">
        <f>Data!H211/Data!H210</f>
        <v>0.99697933606309908</v>
      </c>
      <c r="D208" s="28">
        <f>Data!L211/Data!L210</f>
        <v>0.99242316191318714</v>
      </c>
      <c r="E208" s="28">
        <f>Data!P211/Data!P210</f>
        <v>1.00409296966893</v>
      </c>
      <c r="F208" s="105">
        <f t="shared" si="8"/>
        <v>5.2615295892514354E-2</v>
      </c>
      <c r="G208">
        <v>293</v>
      </c>
      <c r="H208" s="14">
        <f>$N$2*B208+$O$2*C208+$P$2*D208+$Q$2*E208</f>
        <v>9987236.1609343104</v>
      </c>
      <c r="J208" s="13">
        <f t="shared" si="9"/>
        <v>-12763.839065689594</v>
      </c>
      <c r="K208" s="28">
        <f t="shared" si="10"/>
        <v>-1.2763839065689231E-3</v>
      </c>
    </row>
    <row r="209" spans="1:11">
      <c r="A209" s="1">
        <v>208</v>
      </c>
      <c r="B209" s="28">
        <f>Data!D212/Data!D211</f>
        <v>1.0067530586324738</v>
      </c>
      <c r="C209" s="28">
        <f>Data!H212/Data!H211</f>
        <v>0.99387306167914891</v>
      </c>
      <c r="D209" s="28">
        <f>Data!L212/Data!L211</f>
        <v>0.99575747498714273</v>
      </c>
      <c r="E209" s="28">
        <f>Data!P212/Data!P211</f>
        <v>0.99291859967182616</v>
      </c>
      <c r="F209" s="105">
        <f t="shared" si="8"/>
        <v>5.3146763527792275E-2</v>
      </c>
      <c r="G209">
        <v>292</v>
      </c>
      <c r="H209" s="14">
        <f>$N$2*B209+$O$2*C209+$P$2*D209+$Q$2*E209</f>
        <v>9990226.0938981362</v>
      </c>
      <c r="J209" s="13">
        <f t="shared" si="9"/>
        <v>-9773.9061018638313</v>
      </c>
      <c r="K209" s="28">
        <f t="shared" si="10"/>
        <v>-9.7739061018642381E-4</v>
      </c>
    </row>
    <row r="210" spans="1:11">
      <c r="A210" s="1">
        <v>209</v>
      </c>
      <c r="B210" s="28">
        <f>Data!D213/Data!D212</f>
        <v>0.9995941235041218</v>
      </c>
      <c r="C210" s="28">
        <f>Data!H213/Data!H212</f>
        <v>1.0096187434425383</v>
      </c>
      <c r="D210" s="28">
        <f>Data!L213/Data!L212</f>
        <v>1.0133290523511693</v>
      </c>
      <c r="E210" s="28">
        <f>Data!P213/Data!P212</f>
        <v>1.0006462486775483</v>
      </c>
      <c r="F210" s="105">
        <f t="shared" si="8"/>
        <v>5.3683599523022499E-2</v>
      </c>
      <c r="G210">
        <v>291</v>
      </c>
      <c r="H210" s="14">
        <f>$N$2*B210+$O$2*C210+$P$2*D210+$Q$2*E210</f>
        <v>10041854.274050368</v>
      </c>
      <c r="J210" s="13">
        <f t="shared" si="9"/>
        <v>41854.274050367996</v>
      </c>
      <c r="K210" s="28">
        <f t="shared" si="10"/>
        <v>4.1854274050368012E-3</v>
      </c>
    </row>
    <row r="211" spans="1:11">
      <c r="A211" s="1">
        <v>210</v>
      </c>
      <c r="B211" s="28">
        <f>Data!D214/Data!D213</f>
        <v>0.99898228914908649</v>
      </c>
      <c r="C211" s="28">
        <f>Data!H214/Data!H213</f>
        <v>1.0074777760378342</v>
      </c>
      <c r="D211" s="28">
        <f>Data!L214/Data!L213</f>
        <v>1.0110898352767788</v>
      </c>
      <c r="E211" s="28">
        <f>Data!P214/Data!P213</f>
        <v>1.0070703258960543</v>
      </c>
      <c r="F211" s="105">
        <f t="shared" si="8"/>
        <v>5.4225858104063135E-2</v>
      </c>
      <c r="G211">
        <v>290</v>
      </c>
      <c r="H211" s="14">
        <f>$N$2*B211+$O$2*C211+$P$2*D211+$Q$2*E211</f>
        <v>10043592.971778736</v>
      </c>
      <c r="J211" s="13">
        <f t="shared" si="9"/>
        <v>43592.971778735518</v>
      </c>
      <c r="K211" s="28">
        <f t="shared" si="10"/>
        <v>4.3592971778736445E-3</v>
      </c>
    </row>
    <row r="212" spans="1:11">
      <c r="A212" s="1">
        <v>211</v>
      </c>
      <c r="B212" s="28">
        <f>Data!D215/Data!D214</f>
        <v>1.0094573490784287</v>
      </c>
      <c r="C212" s="28">
        <f>Data!H215/Data!H214</f>
        <v>1.0009610433676204</v>
      </c>
      <c r="D212" s="28">
        <f>Data!L215/Data!L214</f>
        <v>1.0046042372858361</v>
      </c>
      <c r="E212" s="28">
        <f>Data!P215/Data!P214</f>
        <v>1.0102531767284957</v>
      </c>
      <c r="F212" s="105">
        <f t="shared" si="8"/>
        <v>5.4773594044508211E-2</v>
      </c>
      <c r="G212">
        <v>289</v>
      </c>
      <c r="H212" s="14">
        <f>$N$2*B212+$O$2*C212+$P$2*D212+$Q$2*E212</f>
        <v>10065823.117159402</v>
      </c>
      <c r="J212" s="13">
        <f t="shared" si="9"/>
        <v>65823.117159401998</v>
      </c>
      <c r="K212" s="28">
        <f t="shared" si="10"/>
        <v>6.5823117159402589E-3</v>
      </c>
    </row>
    <row r="213" spans="1:11">
      <c r="A213" s="1">
        <v>212</v>
      </c>
      <c r="B213" s="28">
        <f>Data!D216/Data!D215</f>
        <v>1.0030933631218217</v>
      </c>
      <c r="C213" s="28">
        <f>Data!H216/Data!H215</f>
        <v>1.0089161356705758</v>
      </c>
      <c r="D213" s="28">
        <f>Data!L216/Data!L215</f>
        <v>1.0058824937621877</v>
      </c>
      <c r="E213" s="28">
        <f>Data!P216/Data!P215</f>
        <v>1.0000348629220159</v>
      </c>
      <c r="F213" s="105">
        <f t="shared" si="8"/>
        <v>5.5326862671220417E-2</v>
      </c>
      <c r="G213">
        <v>288</v>
      </c>
      <c r="H213" s="14">
        <f>$N$2*B213+$O$2*C213+$P$2*D213+$Q$2*E213</f>
        <v>10045074.079105234</v>
      </c>
      <c r="J213" s="13">
        <f t="shared" si="9"/>
        <v>45074.079105233774</v>
      </c>
      <c r="K213" s="28">
        <f t="shared" si="10"/>
        <v>4.5074079105233977E-3</v>
      </c>
    </row>
    <row r="214" spans="1:11">
      <c r="A214" s="1">
        <v>213</v>
      </c>
      <c r="B214" s="28">
        <f>Data!D217/Data!D216</f>
        <v>0.99915594411259978</v>
      </c>
      <c r="C214" s="28">
        <f>Data!H217/Data!H216</f>
        <v>0.99628426038213436</v>
      </c>
      <c r="D214" s="28">
        <f>Data!L217/Data!L216</f>
        <v>0.99735106256326556</v>
      </c>
      <c r="E214" s="28">
        <f>Data!P217/Data!P216</f>
        <v>0.99993851094539632</v>
      </c>
      <c r="F214" s="105">
        <f t="shared" si="8"/>
        <v>5.5885719869919616E-2</v>
      </c>
      <c r="G214">
        <v>287</v>
      </c>
      <c r="H214" s="14">
        <f>$N$2*B214+$O$2*C214+$P$2*D214+$Q$2*E214</f>
        <v>9982704.6420508604</v>
      </c>
      <c r="J214" s="13">
        <f t="shared" si="9"/>
        <v>-17295.35794913955</v>
      </c>
      <c r="K214" s="28">
        <f t="shared" si="10"/>
        <v>-1.7295357949139722E-3</v>
      </c>
    </row>
    <row r="215" spans="1:11">
      <c r="A215" s="1">
        <v>214</v>
      </c>
      <c r="B215" s="28">
        <f>Data!D218/Data!D217</f>
        <v>1.0033790756783214</v>
      </c>
      <c r="C215" s="28">
        <f>Data!H218/Data!H217</f>
        <v>1.0096281820367223</v>
      </c>
      <c r="D215" s="28">
        <f>Data!L218/Data!L217</f>
        <v>1.0094565094080981</v>
      </c>
      <c r="E215" s="28">
        <f>Data!P218/Data!P217</f>
        <v>0.99250915962633379</v>
      </c>
      <c r="F215" s="105">
        <f t="shared" si="8"/>
        <v>5.6450222090827902E-2</v>
      </c>
      <c r="G215">
        <v>286</v>
      </c>
      <c r="H215" s="14">
        <f>$N$2*B215+$O$2*C215+$P$2*D215+$Q$2*E215</f>
        <v>10036875.677484218</v>
      </c>
      <c r="J215" s="13">
        <f t="shared" si="9"/>
        <v>36875.677484218031</v>
      </c>
      <c r="K215" s="28">
        <f t="shared" si="10"/>
        <v>3.6875677484218272E-3</v>
      </c>
    </row>
    <row r="216" spans="1:11">
      <c r="A216" s="1">
        <v>215</v>
      </c>
      <c r="B216" s="28">
        <f>Data!D219/Data!D218</f>
        <v>1.0028130252841676</v>
      </c>
      <c r="C216" s="28">
        <f>Data!H219/Data!H218</f>
        <v>1.0043749746539723</v>
      </c>
      <c r="D216" s="28">
        <f>Data!L219/Data!L218</f>
        <v>1.0000501666543653</v>
      </c>
      <c r="E216" s="28">
        <f>Data!P219/Data!P218</f>
        <v>1.0057741884415039</v>
      </c>
      <c r="F216" s="105">
        <f t="shared" si="8"/>
        <v>5.7020426354371608E-2</v>
      </c>
      <c r="G216">
        <v>285</v>
      </c>
      <c r="H216" s="14">
        <f>$N$2*B216+$O$2*C216+$P$2*D216+$Q$2*E216</f>
        <v>10035975.568635961</v>
      </c>
      <c r="J216" s="13">
        <f t="shared" si="9"/>
        <v>35975.568635961041</v>
      </c>
      <c r="K216" s="28">
        <f t="shared" si="10"/>
        <v>3.5975568635961963E-3</v>
      </c>
    </row>
    <row r="217" spans="1:11">
      <c r="A217" s="1">
        <v>216</v>
      </c>
      <c r="B217" s="28">
        <f>Data!D220/Data!D219</f>
        <v>0.98913770506455334</v>
      </c>
      <c r="C217" s="28">
        <f>Data!H220/Data!H219</f>
        <v>0.99207893568158856</v>
      </c>
      <c r="D217" s="28">
        <f>Data!L220/Data!L219</f>
        <v>0.99263250642083312</v>
      </c>
      <c r="E217" s="28">
        <f>Data!P220/Data!P219</f>
        <v>1.0095604216446583</v>
      </c>
      <c r="F217" s="105">
        <f t="shared" si="8"/>
        <v>5.7596390256941021E-2</v>
      </c>
      <c r="G217">
        <v>284</v>
      </c>
      <c r="H217" s="14">
        <f>$N$2*B217+$O$2*C217+$P$2*D217+$Q$2*E217</f>
        <v>9944540.9770131279</v>
      </c>
      <c r="J217" s="13">
        <f t="shared" si="9"/>
        <v>-55459.022986872122</v>
      </c>
      <c r="K217" s="28">
        <f t="shared" si="10"/>
        <v>-5.5459022986872331E-3</v>
      </c>
    </row>
    <row r="218" spans="1:11">
      <c r="A218" s="1">
        <v>217</v>
      </c>
      <c r="B218" s="28">
        <f>Data!D221/Data!D220</f>
        <v>1.005641511809624</v>
      </c>
      <c r="C218" s="28">
        <f>Data!H221/Data!H220</f>
        <v>1.0027931135749344</v>
      </c>
      <c r="D218" s="28">
        <f>Data!L221/Data!L220</f>
        <v>1.0011083344221028</v>
      </c>
      <c r="E218" s="28">
        <f>Data!P221/Data!P220</f>
        <v>0.99081744538202077</v>
      </c>
      <c r="F218" s="105">
        <f t="shared" si="8"/>
        <v>5.8178171976708111E-2</v>
      </c>
      <c r="G218">
        <v>283</v>
      </c>
      <c r="H218" s="14">
        <f>$N$2*B218+$O$2*C218+$P$2*D218+$Q$2*E218</f>
        <v>10013688.613149444</v>
      </c>
      <c r="J218" s="13">
        <f t="shared" si="9"/>
        <v>13688.613149443641</v>
      </c>
      <c r="K218" s="28">
        <f t="shared" si="10"/>
        <v>1.3688613149442919E-3</v>
      </c>
    </row>
    <row r="219" spans="1:11">
      <c r="A219" s="1">
        <v>218</v>
      </c>
      <c r="B219" s="28">
        <f>Data!D222/Data!D221</f>
        <v>1.0209060773155141</v>
      </c>
      <c r="C219" s="28">
        <f>Data!H222/Data!H221</f>
        <v>1.009798962650486</v>
      </c>
      <c r="D219" s="28">
        <f>Data!L222/Data!L221</f>
        <v>1.0165701186059986</v>
      </c>
      <c r="E219" s="28">
        <f>Data!P222/Data!P221</f>
        <v>0.99133375360892073</v>
      </c>
      <c r="F219" s="105">
        <f t="shared" si="8"/>
        <v>5.8765830279503141E-2</v>
      </c>
      <c r="G219">
        <v>282</v>
      </c>
      <c r="H219" s="14">
        <f>$N$2*B219+$O$2*C219+$P$2*D219+$Q$2*E219</f>
        <v>10112258.823037354</v>
      </c>
      <c r="J219" s="13">
        <f t="shared" si="9"/>
        <v>112258.82303735428</v>
      </c>
      <c r="K219" s="28">
        <f t="shared" si="10"/>
        <v>1.1225882303735446E-2</v>
      </c>
    </row>
    <row r="220" spans="1:11">
      <c r="A220" s="1">
        <v>219</v>
      </c>
      <c r="B220" s="28">
        <f>Data!D223/Data!D222</f>
        <v>1.0032838613939241</v>
      </c>
      <c r="C220" s="28">
        <f>Data!H223/Data!H222</f>
        <v>1.0046656163187155</v>
      </c>
      <c r="D220" s="28">
        <f>Data!L223/Data!L222</f>
        <v>1.0027191958823458</v>
      </c>
      <c r="E220" s="28">
        <f>Data!P223/Data!P222</f>
        <v>1.0159938332000173</v>
      </c>
      <c r="F220" s="105">
        <f t="shared" si="8"/>
        <v>5.9359424524750647E-2</v>
      </c>
      <c r="G220">
        <v>281</v>
      </c>
      <c r="H220" s="14">
        <f>$N$2*B220+$O$2*C220+$P$2*D220+$Q$2*E220</f>
        <v>10061839.156814223</v>
      </c>
      <c r="J220" s="13">
        <f t="shared" si="9"/>
        <v>61839.156814223155</v>
      </c>
      <c r="K220" s="28">
        <f t="shared" si="10"/>
        <v>6.1839156814222918E-3</v>
      </c>
    </row>
    <row r="221" spans="1:11">
      <c r="A221" s="1">
        <v>220</v>
      </c>
      <c r="B221" s="28">
        <f>Data!D224/Data!D223</f>
        <v>1.0046234877491955</v>
      </c>
      <c r="C221" s="28">
        <f>Data!H224/Data!H223</f>
        <v>0.99727750015626959</v>
      </c>
      <c r="D221" s="28">
        <f>Data!L224/Data!L223</f>
        <v>0.99775984784301919</v>
      </c>
      <c r="E221" s="28">
        <f>Data!P224/Data!P223</f>
        <v>0.99897477990889327</v>
      </c>
      <c r="F221" s="105">
        <f t="shared" si="8"/>
        <v>5.9959014671465298E-2</v>
      </c>
      <c r="G221">
        <v>280</v>
      </c>
      <c r="H221" s="14">
        <f>$N$2*B221+$O$2*C221+$P$2*D221+$Q$2*E221</f>
        <v>10006035.859126396</v>
      </c>
      <c r="J221" s="13">
        <f t="shared" si="9"/>
        <v>6035.8591263964772</v>
      </c>
      <c r="K221" s="28">
        <f t="shared" si="10"/>
        <v>6.0358591263964811E-4</v>
      </c>
    </row>
    <row r="222" spans="1:11">
      <c r="A222" s="1">
        <v>221</v>
      </c>
      <c r="B222" s="28">
        <f>Data!D225/Data!D224</f>
        <v>0.99618295751008301</v>
      </c>
      <c r="C222" s="28">
        <f>Data!H225/Data!H224</f>
        <v>0.98985007329890895</v>
      </c>
      <c r="D222" s="28">
        <f>Data!L225/Data!L224</f>
        <v>0.98470217081518174</v>
      </c>
      <c r="E222" s="28">
        <f>Data!P225/Data!P224</f>
        <v>0.99209437802497646</v>
      </c>
      <c r="F222" s="105">
        <f t="shared" si="8"/>
        <v>6.0564661284308388E-2</v>
      </c>
      <c r="G222">
        <v>279</v>
      </c>
      <c r="H222" s="14">
        <f>$N$2*B222+$O$2*C222+$P$2*D222+$Q$2*E222</f>
        <v>9923172.9768021926</v>
      </c>
      <c r="J222" s="13">
        <f t="shared" si="9"/>
        <v>-76827.023197807372</v>
      </c>
      <c r="K222" s="28">
        <f t="shared" si="10"/>
        <v>-7.6827023197807431E-3</v>
      </c>
    </row>
    <row r="223" spans="1:11">
      <c r="A223" s="1">
        <v>222</v>
      </c>
      <c r="B223" s="28">
        <f>Data!D226/Data!D225</f>
        <v>1.0059052091431233</v>
      </c>
      <c r="C223" s="28">
        <f>Data!H226/Data!H225</f>
        <v>1.0099980213552855</v>
      </c>
      <c r="D223" s="28">
        <f>Data!L226/Data!L225</f>
        <v>1.0127148349423407</v>
      </c>
      <c r="E223" s="28">
        <f>Data!P226/Data!P225</f>
        <v>1.0041221445647746</v>
      </c>
      <c r="F223" s="105">
        <f t="shared" si="8"/>
        <v>6.117642553970544E-2</v>
      </c>
      <c r="G223">
        <v>278</v>
      </c>
      <c r="H223" s="14">
        <f>$N$2*B223+$O$2*C223+$P$2*D223+$Q$2*E223</f>
        <v>10074574.02471024</v>
      </c>
      <c r="J223" s="13">
        <f t="shared" si="9"/>
        <v>74574.024710239843</v>
      </c>
      <c r="K223" s="28">
        <f t="shared" si="10"/>
        <v>7.4574024710238884E-3</v>
      </c>
    </row>
    <row r="224" spans="1:11">
      <c r="A224" s="1">
        <v>223</v>
      </c>
      <c r="B224" s="28">
        <f>Data!D227/Data!D226</f>
        <v>0.98933388379340315</v>
      </c>
      <c r="C224" s="28">
        <f>Data!H227/Data!H226</f>
        <v>0.99428119360188072</v>
      </c>
      <c r="D224" s="28">
        <f>Data!L227/Data!L226</f>
        <v>0.98295360138083088</v>
      </c>
      <c r="E224" s="28">
        <f>Data!P227/Data!P226</f>
        <v>1.0089814188047324</v>
      </c>
      <c r="F224" s="105">
        <f t="shared" si="8"/>
        <v>6.1794369232025699E-2</v>
      </c>
      <c r="G224">
        <v>277</v>
      </c>
      <c r="H224" s="14">
        <f>$N$2*B224+$O$2*C224+$P$2*D224+$Q$2*E224</f>
        <v>9941095.5549695492</v>
      </c>
      <c r="J224" s="13">
        <f t="shared" si="9"/>
        <v>-58904.445030450821</v>
      </c>
      <c r="K224" s="28">
        <f t="shared" si="10"/>
        <v>-5.8904445030451003E-3</v>
      </c>
    </row>
    <row r="225" spans="1:11">
      <c r="A225" s="1">
        <v>224</v>
      </c>
      <c r="B225" s="28">
        <f>Data!D228/Data!D227</f>
        <v>1.0066666281618473</v>
      </c>
      <c r="C225" s="28">
        <f>Data!H228/Data!H227</f>
        <v>1.0073232503371028</v>
      </c>
      <c r="D225" s="28">
        <f>Data!L228/Data!L227</f>
        <v>1.0074745269822172</v>
      </c>
      <c r="E225" s="28">
        <f>Data!P228/Data!P227</f>
        <v>0.98807712406641379</v>
      </c>
      <c r="F225" s="105">
        <f t="shared" si="8"/>
        <v>6.2418554779823943E-2</v>
      </c>
      <c r="G225">
        <v>276</v>
      </c>
      <c r="H225" s="14">
        <f>$N$2*B225+$O$2*C225+$P$2*D225+$Q$2*E225</f>
        <v>10032265.038773742</v>
      </c>
      <c r="J225" s="13">
        <f t="shared" si="9"/>
        <v>32265.038773741573</v>
      </c>
      <c r="K225" s="28">
        <f t="shared" si="10"/>
        <v>3.2265038773742205E-3</v>
      </c>
    </row>
    <row r="226" spans="1:11">
      <c r="A226" s="1">
        <v>225</v>
      </c>
      <c r="B226" s="28">
        <f>Data!D229/Data!D228</f>
        <v>0.98375793026388081</v>
      </c>
      <c r="C226" s="28">
        <f>Data!H229/Data!H228</f>
        <v>0.98259776824718881</v>
      </c>
      <c r="D226" s="28">
        <f>Data!L229/Data!L228</f>
        <v>0.98362116406245181</v>
      </c>
      <c r="E226" s="28">
        <f>Data!P229/Data!P228</f>
        <v>1.0078678637738112</v>
      </c>
      <c r="F226" s="105">
        <f t="shared" si="8"/>
        <v>6.3049045232145384E-2</v>
      </c>
      <c r="G226">
        <v>275</v>
      </c>
      <c r="H226" s="14">
        <f>$N$2*B226+$O$2*C226+$P$2*D226+$Q$2*E226</f>
        <v>9882181.9174071644</v>
      </c>
      <c r="J226" s="13">
        <f t="shared" si="9"/>
        <v>-117818.08259283565</v>
      </c>
      <c r="K226" s="28">
        <f t="shared" si="10"/>
        <v>-1.1781808259283544E-2</v>
      </c>
    </row>
    <row r="227" spans="1:11">
      <c r="A227" s="1">
        <v>226</v>
      </c>
      <c r="B227" s="28">
        <f>Data!D230/Data!D229</f>
        <v>1.0050186083641042</v>
      </c>
      <c r="C227" s="28">
        <f>Data!H230/Data!H229</f>
        <v>0.98748243243056932</v>
      </c>
      <c r="D227" s="28">
        <f>Data!L230/Data!L229</f>
        <v>0.97942339066581308</v>
      </c>
      <c r="E227" s="28">
        <f>Data!P230/Data!P229</f>
        <v>0.99540493018757426</v>
      </c>
      <c r="F227" s="105">
        <f t="shared" si="8"/>
        <v>6.3685904274894345E-2</v>
      </c>
      <c r="G227">
        <v>274</v>
      </c>
      <c r="H227" s="14">
        <f>$N$2*B227+$O$2*C227+$P$2*D227+$Q$2*E227</f>
        <v>9952754.981789086</v>
      </c>
      <c r="J227" s="13">
        <f t="shared" si="9"/>
        <v>-47245.018210913986</v>
      </c>
      <c r="K227" s="28">
        <f t="shared" si="10"/>
        <v>-4.7245018210914091E-3</v>
      </c>
    </row>
    <row r="228" spans="1:11">
      <c r="A228" s="1">
        <v>227</v>
      </c>
      <c r="B228" s="28">
        <f>Data!D231/Data!D230</f>
        <v>0.97735204148619692</v>
      </c>
      <c r="C228" s="28">
        <f>Data!H231/Data!H230</f>
        <v>0.96706763857786138</v>
      </c>
      <c r="D228" s="28">
        <f>Data!L231/Data!L230</f>
        <v>0.97330333306485273</v>
      </c>
      <c r="E228" s="28">
        <f>Data!P231/Data!P230</f>
        <v>0.99905581313883851</v>
      </c>
      <c r="F228" s="105">
        <f t="shared" si="8"/>
        <v>6.4329196237267003E-2</v>
      </c>
      <c r="G228">
        <v>273</v>
      </c>
      <c r="H228" s="14">
        <f>$N$2*B228+$O$2*C228+$P$2*D228+$Q$2*E228</f>
        <v>9782026.0410209019</v>
      </c>
      <c r="J228" s="13">
        <f t="shared" si="9"/>
        <v>-217973.95897909813</v>
      </c>
      <c r="K228" s="28">
        <f t="shared" si="10"/>
        <v>-2.1797395897909855E-2</v>
      </c>
    </row>
    <row r="229" spans="1:11">
      <c r="A229" s="1">
        <v>228</v>
      </c>
      <c r="B229" s="28">
        <f>Data!D232/Data!D231</f>
        <v>0.98455494720404468</v>
      </c>
      <c r="C229" s="28">
        <f>Data!H232/Data!H231</f>
        <v>0.98656469373048483</v>
      </c>
      <c r="D229" s="28">
        <f>Data!L232/Data!L231</f>
        <v>0.98990416379484891</v>
      </c>
      <c r="E229" s="28">
        <f>Data!P232/Data!P231</f>
        <v>0.980562643972685</v>
      </c>
      <c r="F229" s="105">
        <f t="shared" si="8"/>
        <v>6.4978986098249508E-2</v>
      </c>
      <c r="G229">
        <v>272</v>
      </c>
      <c r="H229" s="14">
        <f>$N$2*B229+$O$2*C229+$P$2*D229+$Q$2*E229</f>
        <v>9848943.3217478525</v>
      </c>
      <c r="J229" s="13">
        <f t="shared" si="9"/>
        <v>-151056.67825214751</v>
      </c>
      <c r="K229" s="28">
        <f t="shared" si="10"/>
        <v>-1.5105667825214719E-2</v>
      </c>
    </row>
    <row r="230" spans="1:11">
      <c r="A230" s="1">
        <v>229</v>
      </c>
      <c r="B230" s="28">
        <f>Data!D233/Data!D232</f>
        <v>1.0069986212324178</v>
      </c>
      <c r="C230" s="28">
        <f>Data!H233/Data!H232</f>
        <v>0.99538868448279993</v>
      </c>
      <c r="D230" s="28">
        <f>Data!L233/Data!L232</f>
        <v>1.0023414945681501</v>
      </c>
      <c r="E230" s="28">
        <f>Data!P233/Data!P232</f>
        <v>1.0031887171185361</v>
      </c>
      <c r="F230" s="105">
        <f t="shared" si="8"/>
        <v>6.5635339493181316E-2</v>
      </c>
      <c r="G230">
        <v>271</v>
      </c>
      <c r="H230" s="14">
        <f>$N$2*B230+$O$2*C230+$P$2*D230+$Q$2*E230</f>
        <v>10022879.467183294</v>
      </c>
      <c r="J230" s="13">
        <f t="shared" si="9"/>
        <v>22879.467183293775</v>
      </c>
      <c r="K230" s="28">
        <f t="shared" si="10"/>
        <v>2.2879467183294366E-3</v>
      </c>
    </row>
    <row r="231" spans="1:11">
      <c r="A231" s="1">
        <v>230</v>
      </c>
      <c r="B231" s="28">
        <f>Data!D234/Data!D233</f>
        <v>0.98904651860901571</v>
      </c>
      <c r="C231" s="28">
        <f>Data!H234/Data!H233</f>
        <v>1.0288645447799039</v>
      </c>
      <c r="D231" s="28">
        <f>Data!L234/Data!L233</f>
        <v>1.019243714298016</v>
      </c>
      <c r="E231" s="28">
        <f>Data!P234/Data!P233</f>
        <v>0.99255165336823881</v>
      </c>
      <c r="F231" s="105">
        <f t="shared" si="8"/>
        <v>6.6298322720385175E-2</v>
      </c>
      <c r="G231">
        <v>270</v>
      </c>
      <c r="H231" s="14">
        <f>$N$2*B231+$O$2*C231+$P$2*D231+$Q$2*E231</f>
        <v>10047126.729810268</v>
      </c>
      <c r="J231" s="13">
        <f t="shared" si="9"/>
        <v>47126.729810267687</v>
      </c>
      <c r="K231" s="28">
        <f t="shared" si="10"/>
        <v>4.7126729810267332E-3</v>
      </c>
    </row>
    <row r="232" spans="1:11">
      <c r="A232" s="1">
        <v>231</v>
      </c>
      <c r="B232" s="28">
        <f>Data!D235/Data!D234</f>
        <v>1.0113820855147484</v>
      </c>
      <c r="C232" s="28">
        <f>Data!H235/Data!H234</f>
        <v>0.98138083334625803</v>
      </c>
      <c r="D232" s="28">
        <f>Data!L235/Data!L234</f>
        <v>0.98209617604846344</v>
      </c>
      <c r="E232" s="28">
        <f>Data!P235/Data!P234</f>
        <v>0.98238099773552778</v>
      </c>
      <c r="F232" s="105">
        <f t="shared" si="8"/>
        <v>6.6968002747863811E-2</v>
      </c>
      <c r="G232">
        <v>269</v>
      </c>
      <c r="H232" s="14">
        <f>$N$2*B232+$O$2*C232+$P$2*D232+$Q$2*E232</f>
        <v>9936529.0136172865</v>
      </c>
      <c r="J232" s="13">
        <f t="shared" si="9"/>
        <v>-63470.986382713541</v>
      </c>
      <c r="K232" s="28">
        <f t="shared" si="10"/>
        <v>-6.3470986382713201E-3</v>
      </c>
    </row>
    <row r="233" spans="1:11">
      <c r="A233" s="1">
        <v>232</v>
      </c>
      <c r="B233" s="28">
        <f>Data!D236/Data!D235</f>
        <v>1.0075555459098946</v>
      </c>
      <c r="C233" s="28">
        <f>Data!H236/Data!H235</f>
        <v>1.0095903433096962</v>
      </c>
      <c r="D233" s="28">
        <f>Data!L236/Data!L235</f>
        <v>1.0047738920667997</v>
      </c>
      <c r="E233" s="28">
        <f>Data!P236/Data!P235</f>
        <v>1.0029830118028067</v>
      </c>
      <c r="F233" s="105">
        <f t="shared" si="8"/>
        <v>6.7644447220064463E-2</v>
      </c>
      <c r="G233">
        <v>268</v>
      </c>
      <c r="H233" s="14">
        <f>$N$2*B233+$O$2*C233+$P$2*D233+$Q$2*E233</f>
        <v>10069733.129241081</v>
      </c>
      <c r="J233" s="13">
        <f t="shared" si="9"/>
        <v>69733.129241080955</v>
      </c>
      <c r="K233" s="28">
        <f t="shared" si="10"/>
        <v>6.9733129241080771E-3</v>
      </c>
    </row>
    <row r="234" spans="1:11">
      <c r="A234" s="1">
        <v>233</v>
      </c>
      <c r="B234" s="28">
        <f>Data!D237/Data!D236</f>
        <v>0.97909729613698837</v>
      </c>
      <c r="C234" s="28">
        <f>Data!H237/Data!H236</f>
        <v>0.99099917210772603</v>
      </c>
      <c r="D234" s="28">
        <f>Data!L237/Data!L236</f>
        <v>0.99183063517197601</v>
      </c>
      <c r="E234" s="28">
        <f>Data!P237/Data!P236</f>
        <v>1.00498626906161</v>
      </c>
      <c r="F234" s="105">
        <f t="shared" si="8"/>
        <v>6.8327724464711567E-2</v>
      </c>
      <c r="G234">
        <v>267</v>
      </c>
      <c r="H234" s="14">
        <f>$N$2*B234+$O$2*C234+$P$2*D234+$Q$2*E234</f>
        <v>9891189.8741663266</v>
      </c>
      <c r="J234" s="13">
        <f t="shared" si="9"/>
        <v>-108810.1258336734</v>
      </c>
      <c r="K234" s="28">
        <f t="shared" si="10"/>
        <v>-1.0881012583367378E-2</v>
      </c>
    </row>
    <row r="235" spans="1:11">
      <c r="A235" s="1">
        <v>234</v>
      </c>
      <c r="B235" s="28">
        <f>Data!D238/Data!D237</f>
        <v>1.0217624001377645</v>
      </c>
      <c r="C235" s="28">
        <f>Data!H238/Data!H237</f>
        <v>0.99068709411908973</v>
      </c>
      <c r="D235" s="28">
        <f>Data!L238/Data!L237</f>
        <v>0.99058825842598985</v>
      </c>
      <c r="E235" s="28">
        <f>Data!P238/Data!P237</f>
        <v>1.0009684509348324</v>
      </c>
      <c r="F235" s="105">
        <f t="shared" si="8"/>
        <v>6.9017903499708655E-2</v>
      </c>
      <c r="G235">
        <v>266</v>
      </c>
      <c r="H235" s="14">
        <f>$N$2*B235+$O$2*C235+$P$2*D235+$Q$2*E235</f>
        <v>10051636.043203983</v>
      </c>
      <c r="J235" s="13">
        <f t="shared" si="9"/>
        <v>51636.043203983456</v>
      </c>
      <c r="K235" s="28">
        <f t="shared" si="10"/>
        <v>5.1636043203984183E-3</v>
      </c>
    </row>
    <row r="236" spans="1:11">
      <c r="A236" s="1">
        <v>235</v>
      </c>
      <c r="B236" s="28">
        <f>Data!D239/Data!D238</f>
        <v>1.0026372099031982</v>
      </c>
      <c r="C236" s="28">
        <f>Data!H239/Data!H238</f>
        <v>1.0142221740509167</v>
      </c>
      <c r="D236" s="28">
        <f>Data!L239/Data!L238</f>
        <v>1.0134210149237026</v>
      </c>
      <c r="E236" s="28">
        <f>Data!P239/Data!P238</f>
        <v>0.99536241695934491</v>
      </c>
      <c r="F236" s="105">
        <f t="shared" si="8"/>
        <v>6.9715054040109761E-2</v>
      </c>
      <c r="G236">
        <v>265</v>
      </c>
      <c r="H236" s="14">
        <f>$N$2*B236+$O$2*C236+$P$2*D236+$Q$2*E236</f>
        <v>10057361.210607935</v>
      </c>
      <c r="J236" s="13">
        <f t="shared" si="9"/>
        <v>57361.210607934743</v>
      </c>
      <c r="K236" s="28">
        <f t="shared" si="10"/>
        <v>5.7361210607935753E-3</v>
      </c>
    </row>
    <row r="237" spans="1:11">
      <c r="A237" s="1">
        <v>236</v>
      </c>
      <c r="B237" s="28">
        <f>Data!D240/Data!D239</f>
        <v>1.0113711928793052</v>
      </c>
      <c r="C237" s="28">
        <f>Data!H240/Data!H239</f>
        <v>1.022213966083281</v>
      </c>
      <c r="D237" s="28">
        <f>Data!L240/Data!L239</f>
        <v>1.0270321781775062</v>
      </c>
      <c r="E237" s="28">
        <f>Data!P240/Data!P239</f>
        <v>0.99592307880114361</v>
      </c>
      <c r="F237" s="105">
        <f t="shared" si="8"/>
        <v>7.0419246505161376E-2</v>
      </c>
      <c r="G237">
        <v>264</v>
      </c>
      <c r="H237" s="14">
        <f>$N$2*B237+$O$2*C237+$P$2*D237+$Q$2*E237</f>
        <v>10131005.005546857</v>
      </c>
      <c r="J237" s="13">
        <f t="shared" si="9"/>
        <v>131005.00554685667</v>
      </c>
      <c r="K237" s="28">
        <f t="shared" si="10"/>
        <v>1.310050055468559E-2</v>
      </c>
    </row>
    <row r="238" spans="1:11">
      <c r="A238" s="1">
        <v>237</v>
      </c>
      <c r="B238" s="28">
        <f>Data!D241/Data!D240</f>
        <v>0.97165148859338135</v>
      </c>
      <c r="C238" s="28">
        <f>Data!H241/Data!H240</f>
        <v>0.97662409633794678</v>
      </c>
      <c r="D238" s="28">
        <f>Data!L241/Data!L240</f>
        <v>0.97016485340572511</v>
      </c>
      <c r="E238" s="28">
        <f>Data!P241/Data!P240</f>
        <v>1.0166260765533066</v>
      </c>
      <c r="F238" s="105">
        <f t="shared" si="8"/>
        <v>7.113055202541553E-2</v>
      </c>
      <c r="G238">
        <v>263</v>
      </c>
      <c r="H238" s="14">
        <f>$N$2*B238+$O$2*C238+$P$2*D238+$Q$2*E238</f>
        <v>9819895.249899704</v>
      </c>
      <c r="J238" s="13">
        <f t="shared" si="9"/>
        <v>-180104.75010029599</v>
      </c>
      <c r="K238" s="28">
        <f t="shared" si="10"/>
        <v>-1.8010475010029614E-2</v>
      </c>
    </row>
    <row r="239" spans="1:11">
      <c r="A239" s="1">
        <v>238</v>
      </c>
      <c r="B239" s="28">
        <f>Data!D242/Data!D241</f>
        <v>0.99765347367278845</v>
      </c>
      <c r="C239" s="28">
        <f>Data!H242/Data!H241</f>
        <v>0.95797627421823317</v>
      </c>
      <c r="D239" s="28">
        <f>Data!L242/Data!L241</f>
        <v>0.96682826610543682</v>
      </c>
      <c r="E239" s="28">
        <f>Data!P242/Data!P241</f>
        <v>0.98361990008167055</v>
      </c>
      <c r="F239" s="105">
        <f t="shared" si="8"/>
        <v>7.1849042449914677E-2</v>
      </c>
      <c r="G239">
        <v>262</v>
      </c>
      <c r="H239" s="14">
        <f>$N$2*B239+$O$2*C239+$P$2*D239+$Q$2*E239</f>
        <v>9798610.7836146317</v>
      </c>
      <c r="J239" s="13">
        <f t="shared" si="9"/>
        <v>-201389.21638536826</v>
      </c>
      <c r="K239" s="28">
        <f t="shared" si="10"/>
        <v>-2.0138921638536811E-2</v>
      </c>
    </row>
    <row r="240" spans="1:11">
      <c r="A240" s="1">
        <v>239</v>
      </c>
      <c r="B240" s="28">
        <f>Data!D243/Data!D242</f>
        <v>0.99977265071142951</v>
      </c>
      <c r="C240" s="28">
        <f>Data!H243/Data!H242</f>
        <v>1.0258459200263039</v>
      </c>
      <c r="D240" s="28">
        <f>Data!L243/Data!L242</f>
        <v>1.0174116808576108</v>
      </c>
      <c r="E240" s="28">
        <f>Data!P243/Data!P242</f>
        <v>0.99714999843773977</v>
      </c>
      <c r="F240" s="105">
        <f t="shared" si="8"/>
        <v>7.2574790353449173E-2</v>
      </c>
      <c r="G240">
        <v>261</v>
      </c>
      <c r="H240" s="14">
        <f>$N$2*B240+$O$2*C240+$P$2*D240+$Q$2*E240</f>
        <v>10088340.04065772</v>
      </c>
      <c r="J240" s="13">
        <f t="shared" si="9"/>
        <v>88340.040657719597</v>
      </c>
      <c r="K240" s="28">
        <f t="shared" si="10"/>
        <v>8.8340040657719499E-3</v>
      </c>
    </row>
    <row r="241" spans="1:11">
      <c r="A241" s="1">
        <v>240</v>
      </c>
      <c r="B241" s="28">
        <f>Data!D244/Data!D243</f>
        <v>0.98431537570647287</v>
      </c>
      <c r="C241" s="28">
        <f>Data!H244/Data!H243</f>
        <v>0.98216323775231174</v>
      </c>
      <c r="D241" s="28">
        <f>Data!L244/Data!L243</f>
        <v>0.98052470403604286</v>
      </c>
      <c r="E241" s="28">
        <f>Data!P244/Data!P243</f>
        <v>1.0063932960139439</v>
      </c>
      <c r="F241" s="105">
        <f t="shared" si="8"/>
        <v>7.3307869043888058E-2</v>
      </c>
      <c r="G241">
        <v>260</v>
      </c>
      <c r="H241" s="14">
        <f>$N$2*B241+$O$2*C241+$P$2*D241+$Q$2*E241</f>
        <v>9877062.5121467561</v>
      </c>
      <c r="J241" s="13">
        <f t="shared" si="9"/>
        <v>-122937.48785324395</v>
      </c>
      <c r="K241" s="28">
        <f t="shared" si="10"/>
        <v>-1.229374878532441E-2</v>
      </c>
    </row>
    <row r="242" spans="1:11">
      <c r="A242" s="1">
        <v>241</v>
      </c>
      <c r="B242" s="28">
        <f>Data!D245/Data!D244</f>
        <v>0.98714782192230821</v>
      </c>
      <c r="C242" s="28">
        <f>Data!H245/Data!H244</f>
        <v>0.98995819158460174</v>
      </c>
      <c r="D242" s="28">
        <f>Data!L245/Data!L244</f>
        <v>0.98608019570478933</v>
      </c>
      <c r="E242" s="28">
        <f>Data!P245/Data!P244</f>
        <v>0.98376641027328748</v>
      </c>
      <c r="F242" s="105">
        <f t="shared" si="8"/>
        <v>7.4048352569583892E-2</v>
      </c>
      <c r="G242">
        <v>259</v>
      </c>
      <c r="H242" s="14">
        <f>$N$2*B242+$O$2*C242+$P$2*D242+$Q$2*E242</f>
        <v>9872078.8786944021</v>
      </c>
      <c r="J242" s="13">
        <f t="shared" si="9"/>
        <v>-127921.12130559795</v>
      </c>
      <c r="K242" s="28">
        <f t="shared" si="10"/>
        <v>-1.2792112130559752E-2</v>
      </c>
    </row>
    <row r="243" spans="1:11">
      <c r="A243" s="1">
        <v>242</v>
      </c>
      <c r="B243" s="28">
        <f>Data!D246/Data!D245</f>
        <v>0.99878007723844953</v>
      </c>
      <c r="C243" s="28">
        <f>Data!H246/Data!H245</f>
        <v>0.95448557021648217</v>
      </c>
      <c r="D243" s="28">
        <f>Data!L246/Data!L245</f>
        <v>0.96250693768003981</v>
      </c>
      <c r="E243" s="28">
        <f>Data!P246/Data!P245</f>
        <v>1.006058165833561</v>
      </c>
      <c r="F243" s="105">
        <f t="shared" si="8"/>
        <v>7.4796315726852428E-2</v>
      </c>
      <c r="G243">
        <v>258</v>
      </c>
      <c r="H243" s="14">
        <f>$N$2*B243+$O$2*C243+$P$2*D243+$Q$2*E243</f>
        <v>9833200.288950406</v>
      </c>
      <c r="J243" s="13">
        <f t="shared" si="9"/>
        <v>-166799.71104959399</v>
      </c>
      <c r="K243" s="28">
        <f t="shared" si="10"/>
        <v>-1.6679971104959446E-2</v>
      </c>
    </row>
    <row r="244" spans="1:11">
      <c r="A244" s="1">
        <v>243</v>
      </c>
      <c r="B244" s="28">
        <f>Data!D247/Data!D246</f>
        <v>1.0181616063796826</v>
      </c>
      <c r="C244" s="28">
        <f>Data!H247/Data!H246</f>
        <v>1.0373389406024476</v>
      </c>
      <c r="D244" s="28">
        <f>Data!L247/Data!L246</f>
        <v>1.0270379914307399</v>
      </c>
      <c r="E244" s="28">
        <f>Data!P247/Data!P246</f>
        <v>0.94956788020575744</v>
      </c>
      <c r="F244" s="105">
        <f t="shared" si="8"/>
        <v>7.5551834067527704E-2</v>
      </c>
      <c r="G244">
        <v>257</v>
      </c>
      <c r="H244" s="14">
        <f>$N$2*B244+$O$2*C244+$P$2*D244+$Q$2*E244</f>
        <v>10110836.999168327</v>
      </c>
      <c r="J244" s="13">
        <f t="shared" si="9"/>
        <v>110836.99916832708</v>
      </c>
      <c r="K244" s="28">
        <f t="shared" si="10"/>
        <v>1.1083699916832668E-2</v>
      </c>
    </row>
    <row r="245" spans="1:11">
      <c r="A245" s="1">
        <v>244</v>
      </c>
      <c r="B245" s="28">
        <f>Data!D248/Data!D247</f>
        <v>1.0032318786948318</v>
      </c>
      <c r="C245" s="28">
        <f>Data!H248/Data!H247</f>
        <v>1.0022396634958612</v>
      </c>
      <c r="D245" s="28">
        <f>Data!L248/Data!L247</f>
        <v>1.0043582643754139</v>
      </c>
      <c r="E245" s="28">
        <f>Data!P248/Data!P247</f>
        <v>1.0206199788889785</v>
      </c>
      <c r="F245" s="105">
        <f t="shared" si="8"/>
        <v>7.6314983906593636E-2</v>
      </c>
      <c r="G245">
        <v>256</v>
      </c>
      <c r="H245" s="14">
        <f>$N$2*B245+$O$2*C245+$P$2*D245+$Q$2*E245</f>
        <v>10065244.727420282</v>
      </c>
      <c r="J245" s="13">
        <f t="shared" si="9"/>
        <v>65244.727420281619</v>
      </c>
      <c r="K245" s="28">
        <f t="shared" si="10"/>
        <v>6.5244727420281645E-3</v>
      </c>
    </row>
    <row r="246" spans="1:11">
      <c r="A246" s="1">
        <v>245</v>
      </c>
      <c r="B246" s="28">
        <f>Data!D249/Data!D248</f>
        <v>0.99767630617276426</v>
      </c>
      <c r="C246" s="28">
        <f>Data!H249/Data!H248</f>
        <v>1.0000576737886162</v>
      </c>
      <c r="D246" s="28">
        <f>Data!L249/Data!L248</f>
        <v>1.0044054117648418</v>
      </c>
      <c r="E246" s="28">
        <f>Data!P249/Data!P248</f>
        <v>1.0150646704494388</v>
      </c>
      <c r="F246" s="105">
        <f t="shared" si="8"/>
        <v>7.7085842329892587E-2</v>
      </c>
      <c r="G246">
        <v>255</v>
      </c>
      <c r="H246" s="14">
        <f>$N$2*B246+$O$2*C246+$P$2*D246+$Q$2*E246</f>
        <v>10025412.998720625</v>
      </c>
      <c r="J246" s="13">
        <f t="shared" si="9"/>
        <v>25412.998720625415</v>
      </c>
      <c r="K246" s="28">
        <f t="shared" si="10"/>
        <v>2.5412998720626412E-3</v>
      </c>
    </row>
    <row r="247" spans="1:11">
      <c r="A247" s="1">
        <v>246</v>
      </c>
      <c r="B247" s="28">
        <f>Data!D250/Data!D249</f>
        <v>1.0110970555028469</v>
      </c>
      <c r="C247" s="28">
        <f>Data!H250/Data!H249</f>
        <v>1.0221125246050491</v>
      </c>
      <c r="D247" s="28">
        <f>Data!L250/Data!L249</f>
        <v>1.0202688803395461</v>
      </c>
      <c r="E247" s="28">
        <f>Data!P250/Data!P249</f>
        <v>0.99395780742172946</v>
      </c>
      <c r="F247" s="105">
        <f t="shared" si="8"/>
        <v>7.7864487201911706E-2</v>
      </c>
      <c r="G247">
        <v>254</v>
      </c>
      <c r="H247" s="14">
        <f>$N$2*B247+$O$2*C247+$P$2*D247+$Q$2*E247</f>
        <v>10118910.291009542</v>
      </c>
      <c r="J247" s="13">
        <f t="shared" si="9"/>
        <v>118910.2910095416</v>
      </c>
      <c r="K247" s="28">
        <f t="shared" si="10"/>
        <v>1.1891029100954187E-2</v>
      </c>
    </row>
    <row r="248" spans="1:11">
      <c r="A248" s="1">
        <v>247</v>
      </c>
      <c r="B248" s="28">
        <f>Data!D251/Data!D250</f>
        <v>0.99998111230397402</v>
      </c>
      <c r="C248" s="28">
        <f>Data!H251/Data!H250</f>
        <v>1.007377762245756</v>
      </c>
      <c r="D248" s="28">
        <f>Data!L251/Data!L250</f>
        <v>1.0052834394712515</v>
      </c>
      <c r="E248" s="28">
        <f>Data!P251/Data!P250</f>
        <v>1.0153733662387512</v>
      </c>
      <c r="F248" s="105">
        <f t="shared" si="8"/>
        <v>7.8650997173648152E-2</v>
      </c>
      <c r="G248">
        <v>253</v>
      </c>
      <c r="H248" s="14">
        <f>$N$2*B248+$O$2*C248+$P$2*D248+$Q$2*E248</f>
        <v>10058087.907901919</v>
      </c>
      <c r="J248" s="13">
        <f t="shared" si="9"/>
        <v>58087.907901918516</v>
      </c>
      <c r="K248" s="28">
        <f t="shared" si="10"/>
        <v>5.808790790191809E-3</v>
      </c>
    </row>
    <row r="249" spans="1:11">
      <c r="A249" s="1">
        <v>248</v>
      </c>
      <c r="B249" s="28">
        <f>Data!D252/Data!D251</f>
        <v>1.0108032106667635</v>
      </c>
      <c r="C249" s="28">
        <f>Data!H252/Data!H251</f>
        <v>1.0056955453587526</v>
      </c>
      <c r="D249" s="28">
        <f>Data!L252/Data!L251</f>
        <v>1.0130132305352226</v>
      </c>
      <c r="E249" s="28">
        <f>Data!P252/Data!P251</f>
        <v>0.99879343329278625</v>
      </c>
      <c r="F249" s="105">
        <f t="shared" si="8"/>
        <v>7.9445451690553712E-2</v>
      </c>
      <c r="G249">
        <v>252</v>
      </c>
      <c r="H249" s="14">
        <f>$N$2*B249+$O$2*C249+$P$2*D249+$Q$2*E249</f>
        <v>10070899.575864108</v>
      </c>
      <c r="J249" s="13">
        <f t="shared" si="9"/>
        <v>70899.575864108279</v>
      </c>
      <c r="K249" s="28">
        <f t="shared" si="10"/>
        <v>7.0899575864107334E-3</v>
      </c>
    </row>
    <row r="250" spans="1:11">
      <c r="A250" s="1">
        <v>249</v>
      </c>
      <c r="B250" s="28">
        <f>Data!D253/Data!D252</f>
        <v>0.97480953174670204</v>
      </c>
      <c r="C250" s="28">
        <f>Data!H253/Data!H252</f>
        <v>0.98099650287484885</v>
      </c>
      <c r="D250" s="28">
        <f>Data!L253/Data!L252</f>
        <v>0.98330707498243197</v>
      </c>
      <c r="E250" s="28">
        <f>Data!P253/Data!P252</f>
        <v>1.0107418670169326</v>
      </c>
      <c r="F250" s="105">
        <f t="shared" si="8"/>
        <v>8.0247931000559325E-2</v>
      </c>
      <c r="G250">
        <v>251</v>
      </c>
      <c r="H250" s="14">
        <f>$N$2*B250+$O$2*C250+$P$2*D250+$Q$2*E250</f>
        <v>9847018.4446276519</v>
      </c>
      <c r="J250" s="13">
        <f t="shared" si="9"/>
        <v>-152981.55537234806</v>
      </c>
      <c r="K250" s="28">
        <f t="shared" si="10"/>
        <v>-1.5298155537234792E-2</v>
      </c>
    </row>
    <row r="251" spans="1:11">
      <c r="A251" s="1">
        <v>250</v>
      </c>
      <c r="B251" s="28">
        <f>Data!D254/Data!D253</f>
        <v>1.0189727684339263</v>
      </c>
      <c r="C251" s="28">
        <f>Data!H254/Data!H253</f>
        <v>1.0073666651202013</v>
      </c>
      <c r="D251" s="28">
        <f>Data!L254/Data!L253</f>
        <v>1.0087886292260655</v>
      </c>
      <c r="E251" s="28">
        <f>Data!P254/Data!P253</f>
        <v>0.98194082477716316</v>
      </c>
      <c r="F251" s="105">
        <f t="shared" si="8"/>
        <v>8.1058516162181127E-2</v>
      </c>
      <c r="G251">
        <v>250</v>
      </c>
      <c r="H251" s="14">
        <f>$N$2*B251+$O$2*C251+$P$2*D251+$Q$2*E251</f>
        <v>10070661.347876702</v>
      </c>
      <c r="J251" s="13">
        <f t="shared" si="9"/>
        <v>70661.347876701504</v>
      </c>
      <c r="K251" s="28">
        <f t="shared" si="10"/>
        <v>7.066134787670153E-3</v>
      </c>
    </row>
    <row r="252" spans="1:11">
      <c r="A252" s="1">
        <v>251</v>
      </c>
      <c r="B252" s="28">
        <f>Data!D255/Data!D254</f>
        <v>0.99619543256261234</v>
      </c>
      <c r="C252" s="28">
        <f>Data!H255/Data!H254</f>
        <v>1.013516160050882</v>
      </c>
      <c r="D252" s="28">
        <f>Data!L255/Data!L254</f>
        <v>1.0123067419209462</v>
      </c>
      <c r="E252" s="28">
        <f>Data!P255/Data!P254</f>
        <v>1.0026195692299875</v>
      </c>
      <c r="F252" s="105">
        <f t="shared" si="8"/>
        <v>8.1877289052708191E-2</v>
      </c>
      <c r="G252">
        <v>249</v>
      </c>
      <c r="H252" s="14">
        <f>$N$2*B252+$O$2*C252+$P$2*D252+$Q$2*E252</f>
        <v>10042876.090784017</v>
      </c>
      <c r="J252" s="13">
        <f t="shared" si="9"/>
        <v>42876.090784016997</v>
      </c>
      <c r="K252" s="28">
        <f t="shared" si="10"/>
        <v>4.2876090784016441E-3</v>
      </c>
    </row>
    <row r="253" spans="1:11">
      <c r="A253" s="1">
        <v>252</v>
      </c>
      <c r="B253" s="28">
        <f>Data!D256/Data!D255</f>
        <v>1.008989532983904</v>
      </c>
      <c r="C253" s="28">
        <f>Data!H256/Data!H255</f>
        <v>1.0155532622566701</v>
      </c>
      <c r="D253" s="28">
        <f>Data!L256/Data!L255</f>
        <v>1.0121329643792993</v>
      </c>
      <c r="E253" s="28">
        <f>Data!P256/Data!P255</f>
        <v>1.024645423368544</v>
      </c>
      <c r="F253" s="105">
        <f t="shared" si="8"/>
        <v>8.2704332376472942E-2</v>
      </c>
      <c r="G253">
        <v>248</v>
      </c>
      <c r="H253" s="14">
        <f>$N$2*B253+$O$2*C253+$P$2*D253+$Q$2*E253</f>
        <v>10144041.729822014</v>
      </c>
      <c r="J253" s="13">
        <f t="shared" si="9"/>
        <v>144041.72982201353</v>
      </c>
      <c r="K253" s="28">
        <f t="shared" si="10"/>
        <v>1.4404172982201313E-2</v>
      </c>
    </row>
    <row r="254" spans="1:11">
      <c r="A254" s="1">
        <v>253</v>
      </c>
      <c r="B254" s="28">
        <f>Data!D257/Data!D256</f>
        <v>1.0068215132200509</v>
      </c>
      <c r="C254" s="28">
        <f>Data!H257/Data!H256</f>
        <v>1.0081999183030967</v>
      </c>
      <c r="D254" s="28">
        <f>Data!L257/Data!L256</f>
        <v>0.99836672435410689</v>
      </c>
      <c r="E254" s="28">
        <f>Data!P257/Data!P256</f>
        <v>0.98864226112656994</v>
      </c>
      <c r="F254" s="105">
        <f t="shared" si="8"/>
        <v>8.3539729673204985E-2</v>
      </c>
      <c r="G254">
        <v>247</v>
      </c>
      <c r="H254" s="14">
        <f>$N$2*B254+$O$2*C254+$P$2*D254+$Q$2*E254</f>
        <v>10027537.054396741</v>
      </c>
      <c r="J254" s="13">
        <f t="shared" si="9"/>
        <v>27537.054396741092</v>
      </c>
      <c r="K254" s="28">
        <f t="shared" si="10"/>
        <v>2.7537054396740146E-3</v>
      </c>
    </row>
    <row r="255" spans="1:11">
      <c r="A255" s="1">
        <v>254</v>
      </c>
      <c r="B255" s="28">
        <f>Data!D258/Data!D257</f>
        <v>0.98933812977456814</v>
      </c>
      <c r="C255" s="28">
        <f>Data!H258/Data!H257</f>
        <v>0.98810666419851123</v>
      </c>
      <c r="D255" s="28">
        <f>Data!L258/Data!L257</f>
        <v>0.98331597143423288</v>
      </c>
      <c r="E255" s="28">
        <f>Data!P258/Data!P257</f>
        <v>0.99129438048306595</v>
      </c>
      <c r="F255" s="105">
        <f t="shared" si="8"/>
        <v>8.4383565326469692E-2</v>
      </c>
      <c r="G255">
        <v>246</v>
      </c>
      <c r="H255" s="14">
        <f>$N$2*B255+$O$2*C255+$P$2*D255+$Q$2*E255</f>
        <v>9887577.2440941706</v>
      </c>
      <c r="J255" s="13">
        <f t="shared" si="9"/>
        <v>-112422.75590582937</v>
      </c>
      <c r="K255" s="28">
        <f t="shared" si="10"/>
        <v>-1.1242275590582884E-2</v>
      </c>
    </row>
    <row r="256" spans="1:11">
      <c r="A256" s="1">
        <v>255</v>
      </c>
      <c r="B256" s="28">
        <f>Data!D259/Data!D258</f>
        <v>1.0043500906018352</v>
      </c>
      <c r="C256" s="28">
        <f>Data!H259/Data!H258</f>
        <v>1.0076906870661511</v>
      </c>
      <c r="D256" s="28">
        <f>Data!L259/Data!L258</f>
        <v>1.0074039765474851</v>
      </c>
      <c r="E256" s="28">
        <f>Data!P259/Data!P258</f>
        <v>1.00697194698953</v>
      </c>
      <c r="F256" s="105">
        <f t="shared" si="8"/>
        <v>8.5235924572191604E-2</v>
      </c>
      <c r="G256">
        <v>245</v>
      </c>
      <c r="H256" s="14">
        <f>$N$2*B256+$O$2*C256+$P$2*D256+$Q$2*E256</f>
        <v>10061820.294132339</v>
      </c>
      <c r="J256" s="13">
        <f t="shared" si="9"/>
        <v>61820.294132338837</v>
      </c>
      <c r="K256" s="28">
        <f t="shared" si="10"/>
        <v>6.1820294132339804E-3</v>
      </c>
    </row>
    <row r="257" spans="1:11">
      <c r="A257" s="1">
        <v>256</v>
      </c>
      <c r="B257" s="28">
        <f>Data!D260/Data!D259</f>
        <v>0.98129436106964185</v>
      </c>
      <c r="C257" s="28">
        <f>Data!H260/Data!H259</f>
        <v>0.98235761113456055</v>
      </c>
      <c r="D257" s="28">
        <f>Data!L260/Data!L259</f>
        <v>0.97895318006259857</v>
      </c>
      <c r="E257" s="28">
        <f>Data!P260/Data!P259</f>
        <v>1.0074401499297871</v>
      </c>
      <c r="F257" s="105">
        <f t="shared" si="8"/>
        <v>8.6096893507264252E-2</v>
      </c>
      <c r="G257">
        <v>244</v>
      </c>
      <c r="H257" s="14">
        <f>$N$2*B257+$O$2*C257+$P$2*D257+$Q$2*E257</f>
        <v>9866083.757604422</v>
      </c>
      <c r="J257" s="13">
        <f t="shared" si="9"/>
        <v>-133916.24239557795</v>
      </c>
      <c r="K257" s="28">
        <f t="shared" si="10"/>
        <v>-1.3391624239557753E-2</v>
      </c>
    </row>
    <row r="258" spans="1:11">
      <c r="A258" s="1">
        <v>257</v>
      </c>
      <c r="B258" s="28">
        <f>Data!D261/Data!D260</f>
        <v>1.0011034531143002</v>
      </c>
      <c r="C258" s="28">
        <f>Data!H261/Data!H260</f>
        <v>0.99239167268358752</v>
      </c>
      <c r="D258" s="28">
        <f>Data!L261/Data!L260</f>
        <v>0.99401011729637301</v>
      </c>
      <c r="E258" s="28">
        <f>Data!P261/Data!P260</f>
        <v>0.97922579488735273</v>
      </c>
      <c r="F258" s="105">
        <f t="shared" ref="F258:F321" si="11">F$503^G258</f>
        <v>8.6966559098246701E-2</v>
      </c>
      <c r="G258">
        <v>243</v>
      </c>
      <c r="H258" s="14">
        <f>$N$2*B258+$O$2*C258+$P$2*D258+$Q$2*E258</f>
        <v>9934050.537579041</v>
      </c>
      <c r="J258" s="13">
        <f t="shared" si="9"/>
        <v>-65949.462420959026</v>
      </c>
      <c r="K258" s="28">
        <f t="shared" si="10"/>
        <v>-6.5949462420958893E-3</v>
      </c>
    </row>
    <row r="259" spans="1:11">
      <c r="A259" s="1">
        <v>258</v>
      </c>
      <c r="B259" s="28">
        <f>Data!D262/Data!D261</f>
        <v>1.0137524423268089</v>
      </c>
      <c r="C259" s="28">
        <f>Data!H262/Data!H261</f>
        <v>1.0247572730895746</v>
      </c>
      <c r="D259" s="28">
        <f>Data!L262/Data!L261</f>
        <v>1.020270634366619</v>
      </c>
      <c r="E259" s="28">
        <f>Data!P262/Data!P261</f>
        <v>0.99999897558520368</v>
      </c>
      <c r="F259" s="105">
        <f t="shared" si="11"/>
        <v>8.7845009190148204E-2</v>
      </c>
      <c r="G259">
        <v>242</v>
      </c>
      <c r="H259" s="14">
        <f>$N$2*B259+$O$2*C259+$P$2*D259+$Q$2*E259</f>
        <v>10149550.174112987</v>
      </c>
      <c r="J259" s="13">
        <f t="shared" ref="J259:J322" si="12">H259-SUM($N$2:$Q$2)</f>
        <v>149550.17411298677</v>
      </c>
      <c r="K259" s="28">
        <f t="shared" ref="K259:K322" si="13">(H259/$R$2)-1</f>
        <v>1.4955017411298677E-2</v>
      </c>
    </row>
    <row r="260" spans="1:11">
      <c r="A260" s="1">
        <v>259</v>
      </c>
      <c r="B260" s="28">
        <f>Data!D263/Data!D262</f>
        <v>0.9987421468712594</v>
      </c>
      <c r="C260" s="28">
        <f>Data!H263/Data!H262</f>
        <v>1.0043073380701075</v>
      </c>
      <c r="D260" s="28">
        <f>Data!L263/Data!L262</f>
        <v>1.0090751439408308</v>
      </c>
      <c r="E260" s="28">
        <f>Data!P263/Data!P262</f>
        <v>0.99408582777219723</v>
      </c>
      <c r="F260" s="105">
        <f t="shared" si="11"/>
        <v>8.8732332515301215E-2</v>
      </c>
      <c r="G260">
        <v>241</v>
      </c>
      <c r="H260" s="14">
        <f>$N$2*B260+$O$2*C260+$P$2*D260+$Q$2*E260</f>
        <v>10005137.401180586</v>
      </c>
      <c r="J260" s="13">
        <f t="shared" si="12"/>
        <v>5137.4011805858463</v>
      </c>
      <c r="K260" s="28">
        <f t="shared" si="13"/>
        <v>5.137401180586032E-4</v>
      </c>
    </row>
    <row r="261" spans="1:11">
      <c r="A261" s="1">
        <v>260</v>
      </c>
      <c r="B261" s="28">
        <f>Data!D264/Data!D263</f>
        <v>1.0100235862364717</v>
      </c>
      <c r="C261" s="28">
        <f>Data!H264/Data!H263</f>
        <v>1.0074601067830364</v>
      </c>
      <c r="D261" s="28">
        <f>Data!L264/Data!L263</f>
        <v>1.0101020393094644</v>
      </c>
      <c r="E261" s="28">
        <f>Data!P264/Data!P263</f>
        <v>0.9909932487663774</v>
      </c>
      <c r="F261" s="105">
        <f t="shared" si="11"/>
        <v>8.9628618702324456E-2</v>
      </c>
      <c r="G261">
        <v>240</v>
      </c>
      <c r="H261" s="14">
        <f>$N$2*B261+$O$2*C261+$P$2*D261+$Q$2*E261</f>
        <v>10054563.202137215</v>
      </c>
      <c r="J261" s="13">
        <f t="shared" si="12"/>
        <v>54563.202137215063</v>
      </c>
      <c r="K261" s="28">
        <f t="shared" si="13"/>
        <v>5.4563202137214439E-3</v>
      </c>
    </row>
    <row r="262" spans="1:11">
      <c r="A262" s="1">
        <v>261</v>
      </c>
      <c r="B262" s="28">
        <f>Data!D265/Data!D264</f>
        <v>1.0013139782255038</v>
      </c>
      <c r="C262" s="28">
        <f>Data!H265/Data!H264</f>
        <v>0.98067286797707565</v>
      </c>
      <c r="D262" s="28">
        <f>Data!L265/Data!L264</f>
        <v>0.99431197710890451</v>
      </c>
      <c r="E262" s="28">
        <f>Data!P265/Data!P264</f>
        <v>1.0223676008077138</v>
      </c>
      <c r="F262" s="105">
        <f t="shared" si="11"/>
        <v>9.0533958285176228E-2</v>
      </c>
      <c r="G262">
        <v>239</v>
      </c>
      <c r="H262" s="14">
        <f>$N$2*B262+$O$2*C262+$P$2*D262+$Q$2*E262</f>
        <v>9986321.6955575738</v>
      </c>
      <c r="J262" s="13">
        <f t="shared" si="12"/>
        <v>-13678.30444242619</v>
      </c>
      <c r="K262" s="28">
        <f t="shared" si="13"/>
        <v>-1.3678304442426015E-3</v>
      </c>
    </row>
    <row r="263" spans="1:11">
      <c r="A263" s="1">
        <v>262</v>
      </c>
      <c r="B263" s="28">
        <f>Data!D266/Data!D265</f>
        <v>1.0220844008415089</v>
      </c>
      <c r="C263" s="28">
        <f>Data!H266/Data!H265</f>
        <v>0.99164639375829677</v>
      </c>
      <c r="D263" s="28">
        <f>Data!L266/Data!L265</f>
        <v>1.0018830385706963</v>
      </c>
      <c r="E263" s="28">
        <f>Data!P266/Data!P265</f>
        <v>0.97354877791667116</v>
      </c>
      <c r="F263" s="105">
        <f t="shared" si="11"/>
        <v>9.1448442712299211E-2</v>
      </c>
      <c r="G263">
        <v>238</v>
      </c>
      <c r="H263" s="14">
        <f>$N$2*B263+$O$2*C263+$P$2*D263+$Q$2*E263</f>
        <v>10012257.379044965</v>
      </c>
      <c r="J263" s="13">
        <f t="shared" si="12"/>
        <v>12257.37904496491</v>
      </c>
      <c r="K263" s="28">
        <f t="shared" si="13"/>
        <v>1.2257379044964267E-3</v>
      </c>
    </row>
    <row r="264" spans="1:11">
      <c r="A264" s="1">
        <v>263</v>
      </c>
      <c r="B264" s="28">
        <f>Data!D267/Data!D266</f>
        <v>1.0055439142494682</v>
      </c>
      <c r="C264" s="28">
        <f>Data!H267/Data!H266</f>
        <v>1.0294093773502981</v>
      </c>
      <c r="D264" s="28">
        <f>Data!L267/Data!L266</f>
        <v>1.0393320947538598</v>
      </c>
      <c r="E264" s="28">
        <f>Data!P267/Data!P266</f>
        <v>1.0325867668586275</v>
      </c>
      <c r="F264" s="105">
        <f t="shared" si="11"/>
        <v>9.237216435585778E-2</v>
      </c>
      <c r="G264">
        <v>237</v>
      </c>
      <c r="H264" s="14">
        <f>$N$2*B264+$O$2*C264+$P$2*D264+$Q$2*E264</f>
        <v>10214909.41751988</v>
      </c>
      <c r="J264" s="13">
        <f t="shared" si="12"/>
        <v>214909.41751988046</v>
      </c>
      <c r="K264" s="28">
        <f t="shared" si="13"/>
        <v>2.1490941751987958E-2</v>
      </c>
    </row>
    <row r="265" spans="1:11">
      <c r="A265" s="1">
        <v>264</v>
      </c>
      <c r="B265" s="28">
        <f>Data!D268/Data!D267</f>
        <v>0.99646340792555654</v>
      </c>
      <c r="C265" s="28">
        <f>Data!H268/Data!H267</f>
        <v>1.002468751059775</v>
      </c>
      <c r="D265" s="28">
        <f>Data!L268/Data!L267</f>
        <v>1.00174975543734</v>
      </c>
      <c r="E265" s="28">
        <f>Data!P268/Data!P267</f>
        <v>1.0170135168174339</v>
      </c>
      <c r="F265" s="105">
        <f t="shared" si="11"/>
        <v>9.330521652106849E-2</v>
      </c>
      <c r="G265">
        <v>236</v>
      </c>
      <c r="H265" s="14">
        <f>$N$2*B265+$O$2*C265+$P$2*D265+$Q$2*E265</f>
        <v>10029036.673953759</v>
      </c>
      <c r="J265" s="13">
        <f t="shared" si="12"/>
        <v>29036.673953758553</v>
      </c>
      <c r="K265" s="28">
        <f t="shared" si="13"/>
        <v>2.9036673953759529E-3</v>
      </c>
    </row>
    <row r="266" spans="1:11">
      <c r="A266" s="1">
        <v>265</v>
      </c>
      <c r="B266" s="28">
        <f>Data!D269/Data!D268</f>
        <v>1.0038854627470635</v>
      </c>
      <c r="C266" s="28">
        <f>Data!H269/Data!H268</f>
        <v>1.0076498140381958</v>
      </c>
      <c r="D266" s="28">
        <f>Data!L269/Data!L268</f>
        <v>1.0026550420672766</v>
      </c>
      <c r="E266" s="28">
        <f>Data!P269/Data!P268</f>
        <v>0.98642991183513162</v>
      </c>
      <c r="F266" s="105">
        <f t="shared" si="11"/>
        <v>9.4247693455624712E-2</v>
      </c>
      <c r="G266">
        <v>235</v>
      </c>
      <c r="H266" s="14">
        <f>$N$2*B266+$O$2*C266+$P$2*D266+$Q$2*E266</f>
        <v>10014006.158840381</v>
      </c>
      <c r="J266" s="13">
        <f t="shared" si="12"/>
        <v>14006.158840380609</v>
      </c>
      <c r="K266" s="28">
        <f t="shared" si="13"/>
        <v>1.4006158840380589E-3</v>
      </c>
    </row>
    <row r="267" spans="1:11">
      <c r="A267" s="1">
        <v>266</v>
      </c>
      <c r="B267" s="28">
        <f>Data!D270/Data!D269</f>
        <v>0.99699425261157759</v>
      </c>
      <c r="C267" s="28">
        <f>Data!H270/Data!H269</f>
        <v>0.98853186794628545</v>
      </c>
      <c r="D267" s="28">
        <f>Data!L270/Data!L269</f>
        <v>0.99173647236480789</v>
      </c>
      <c r="E267" s="28">
        <f>Data!P270/Data!P269</f>
        <v>1.0146949512628083</v>
      </c>
      <c r="F267" s="105">
        <f t="shared" si="11"/>
        <v>9.5199690359216896E-2</v>
      </c>
      <c r="G267">
        <v>234</v>
      </c>
      <c r="H267" s="14">
        <f>$N$2*B267+$O$2*C267+$P$2*D267+$Q$2*E267</f>
        <v>9974698.9891755916</v>
      </c>
      <c r="J267" s="13">
        <f t="shared" si="12"/>
        <v>-25301.010824408382</v>
      </c>
      <c r="K267" s="28">
        <f t="shared" si="13"/>
        <v>-2.5301010824407832E-3</v>
      </c>
    </row>
    <row r="268" spans="1:11">
      <c r="A268" s="1">
        <v>267</v>
      </c>
      <c r="B268" s="28">
        <f>Data!D271/Data!D270</f>
        <v>1.0072213170375908</v>
      </c>
      <c r="C268" s="28">
        <f>Data!H271/Data!H270</f>
        <v>1.0052443134708724</v>
      </c>
      <c r="D268" s="28">
        <f>Data!L271/Data!L270</f>
        <v>1.0085749465024791</v>
      </c>
      <c r="E268" s="28">
        <f>Data!P271/Data!P270</f>
        <v>0.99046786968017442</v>
      </c>
      <c r="F268" s="105">
        <f t="shared" si="11"/>
        <v>9.6161303393148378E-2</v>
      </c>
      <c r="G268">
        <v>233</v>
      </c>
      <c r="H268" s="14">
        <f>$N$2*B268+$O$2*C268+$P$2*D268+$Q$2*E268</f>
        <v>10034128.894425808</v>
      </c>
      <c r="J268" s="13">
        <f t="shared" si="12"/>
        <v>34128.894425807521</v>
      </c>
      <c r="K268" s="28">
        <f t="shared" si="13"/>
        <v>3.4128894425806688E-3</v>
      </c>
    </row>
    <row r="269" spans="1:11">
      <c r="A269" s="1">
        <v>268</v>
      </c>
      <c r="B269" s="28">
        <f>Data!D272/Data!D271</f>
        <v>1.0025068182718879</v>
      </c>
      <c r="C269" s="28">
        <f>Data!H272/Data!H271</f>
        <v>1.0126037260626963</v>
      </c>
      <c r="D269" s="28">
        <f>Data!L272/Data!L271</f>
        <v>1.0096245389221519</v>
      </c>
      <c r="E269" s="28">
        <f>Data!P272/Data!P271</f>
        <v>1.0243886542173515</v>
      </c>
      <c r="F269" s="105">
        <f t="shared" si="11"/>
        <v>9.7132629690048877E-2</v>
      </c>
      <c r="G269">
        <v>232</v>
      </c>
      <c r="H269" s="14">
        <f>$N$2*B269+$O$2*C269+$P$2*D269+$Q$2*E269</f>
        <v>10106240.298632495</v>
      </c>
      <c r="J269" s="13">
        <f t="shared" si="12"/>
        <v>106240.29863249511</v>
      </c>
      <c r="K269" s="28">
        <f t="shared" si="13"/>
        <v>1.0624029863249618E-2</v>
      </c>
    </row>
    <row r="270" spans="1:11">
      <c r="A270" s="1">
        <v>269</v>
      </c>
      <c r="B270" s="28">
        <f>Data!D273/Data!D272</f>
        <v>0.99875583449651895</v>
      </c>
      <c r="C270" s="28">
        <f>Data!H273/Data!H272</f>
        <v>1.0036284274162048</v>
      </c>
      <c r="D270" s="28">
        <f>Data!L273/Data!L272</f>
        <v>1.0020214178176388</v>
      </c>
      <c r="E270" s="28">
        <f>Data!P273/Data!P272</f>
        <v>1.0028712280310241</v>
      </c>
      <c r="F270" s="105">
        <f t="shared" si="11"/>
        <v>9.8113767363685739E-2</v>
      </c>
      <c r="G270">
        <v>231</v>
      </c>
      <c r="H270" s="14">
        <f>$N$2*B270+$O$2*C270+$P$2*D270+$Q$2*E270</f>
        <v>10013672.494114378</v>
      </c>
      <c r="J270" s="13">
        <f t="shared" si="12"/>
        <v>13672.494114378467</v>
      </c>
      <c r="K270" s="28">
        <f t="shared" si="13"/>
        <v>1.3672494114378431E-3</v>
      </c>
    </row>
    <row r="271" spans="1:11">
      <c r="A271" s="1">
        <v>270</v>
      </c>
      <c r="B271" s="28">
        <f>Data!D274/Data!D273</f>
        <v>1.013811536432677</v>
      </c>
      <c r="C271" s="28">
        <f>Data!H274/Data!H273</f>
        <v>1.0088580053281972</v>
      </c>
      <c r="D271" s="28">
        <f>Data!L274/Data!L273</f>
        <v>1.0113670547516789</v>
      </c>
      <c r="E271" s="28">
        <f>Data!P274/Data!P273</f>
        <v>0.99803723003282718</v>
      </c>
      <c r="F271" s="105">
        <f t="shared" si="11"/>
        <v>9.9104815518874484E-2</v>
      </c>
      <c r="G271">
        <v>230</v>
      </c>
      <c r="H271" s="14">
        <f>$N$2*B271+$O$2*C271+$P$2*D271+$Q$2*E271</f>
        <v>10089261.676532634</v>
      </c>
      <c r="J271" s="13">
        <f t="shared" si="12"/>
        <v>89261.676532633603</v>
      </c>
      <c r="K271" s="28">
        <f t="shared" si="13"/>
        <v>8.9261676532632617E-3</v>
      </c>
    </row>
    <row r="272" spans="1:11">
      <c r="A272" s="1">
        <v>271</v>
      </c>
      <c r="B272" s="28">
        <f>Data!D275/Data!D274</f>
        <v>0.997143577130161</v>
      </c>
      <c r="C272" s="28">
        <f>Data!H275/Data!H274</f>
        <v>0.99803265481189485</v>
      </c>
      <c r="D272" s="28">
        <f>Data!L275/Data!L274</f>
        <v>0.99810803637711387</v>
      </c>
      <c r="E272" s="28">
        <f>Data!P275/Data!P274</f>
        <v>1.0098255231096278</v>
      </c>
      <c r="F272" s="105">
        <f t="shared" si="11"/>
        <v>0.10010587426148938</v>
      </c>
      <c r="G272">
        <v>229</v>
      </c>
      <c r="H272" s="14">
        <f>$N$2*B272+$O$2*C272+$P$2*D272+$Q$2*E272</f>
        <v>10000431.355552698</v>
      </c>
      <c r="J272" s="13">
        <f t="shared" si="12"/>
        <v>431.35555269755423</v>
      </c>
      <c r="K272" s="28">
        <f t="shared" si="13"/>
        <v>4.3135555269691039E-5</v>
      </c>
    </row>
    <row r="273" spans="1:11">
      <c r="A273" s="1">
        <v>272</v>
      </c>
      <c r="B273" s="28">
        <f>Data!D276/Data!D275</f>
        <v>0.99435763857991311</v>
      </c>
      <c r="C273" s="28">
        <f>Data!H276/Data!H275</f>
        <v>1.0034815334826905</v>
      </c>
      <c r="D273" s="28">
        <f>Data!L276/Data!L275</f>
        <v>1.0007666354340343</v>
      </c>
      <c r="E273" s="28">
        <f>Data!P276/Data!P275</f>
        <v>1.0016358492017907</v>
      </c>
      <c r="F273" s="105">
        <f t="shared" si="11"/>
        <v>0.10111704470857513</v>
      </c>
      <c r="G273">
        <v>228</v>
      </c>
      <c r="H273" s="14">
        <f>$N$2*B273+$O$2*C273+$P$2*D273+$Q$2*E273</f>
        <v>9991913.4886053391</v>
      </c>
      <c r="J273" s="13">
        <f t="shared" si="12"/>
        <v>-8086.5113946609199</v>
      </c>
      <c r="K273" s="28">
        <f t="shared" si="13"/>
        <v>-8.0865113946604339E-4</v>
      </c>
    </row>
    <row r="274" spans="1:11">
      <c r="A274" s="1">
        <v>273</v>
      </c>
      <c r="B274" s="28">
        <f>Data!D277/Data!D276</f>
        <v>1.000448165635146</v>
      </c>
      <c r="C274" s="28">
        <f>Data!H277/Data!H276</f>
        <v>1.0040583720391751</v>
      </c>
      <c r="D274" s="28">
        <f>Data!L277/Data!L276</f>
        <v>0.99884391271311046</v>
      </c>
      <c r="E274" s="28">
        <f>Data!P277/Data!P276</f>
        <v>0.99623035047891895</v>
      </c>
      <c r="F274" s="105">
        <f t="shared" si="11"/>
        <v>0.10213842899856074</v>
      </c>
      <c r="G274">
        <v>227</v>
      </c>
      <c r="H274" s="14">
        <f>$N$2*B274+$O$2*C274+$P$2*D274+$Q$2*E274</f>
        <v>10005272.392329058</v>
      </c>
      <c r="J274" s="13">
        <f t="shared" si="12"/>
        <v>5272.3923290576786</v>
      </c>
      <c r="K274" s="28">
        <f t="shared" si="13"/>
        <v>5.2723923290587393E-4</v>
      </c>
    </row>
    <row r="275" spans="1:11">
      <c r="A275" s="1">
        <v>274</v>
      </c>
      <c r="B275" s="28">
        <f>Data!D278/Data!D277</f>
        <v>1.0065620413458698</v>
      </c>
      <c r="C275" s="28">
        <f>Data!H278/Data!H277</f>
        <v>1.0075127094922793</v>
      </c>
      <c r="D275" s="28">
        <f>Data!L278/Data!L277</f>
        <v>1.0072626869321435</v>
      </c>
      <c r="E275" s="28">
        <f>Data!P278/Data!P277</f>
        <v>0.99634077902380247</v>
      </c>
      <c r="F275" s="105">
        <f t="shared" si="11"/>
        <v>0.10317013030157651</v>
      </c>
      <c r="G275">
        <v>226</v>
      </c>
      <c r="H275" s="14">
        <f>$N$2*B275+$O$2*C275+$P$2*D275+$Q$2*E275</f>
        <v>10048730.538840067</v>
      </c>
      <c r="J275" s="13">
        <f t="shared" si="12"/>
        <v>48730.538840066642</v>
      </c>
      <c r="K275" s="28">
        <f t="shared" si="13"/>
        <v>4.8730538840067172E-3</v>
      </c>
    </row>
    <row r="276" spans="1:11">
      <c r="A276" s="1">
        <v>275</v>
      </c>
      <c r="B276" s="28">
        <f>Data!D279/Data!D278</f>
        <v>1.0070041184387044</v>
      </c>
      <c r="C276" s="28">
        <f>Data!H279/Data!H278</f>
        <v>0.99899251668540689</v>
      </c>
      <c r="D276" s="28">
        <f>Data!L279/Data!L278</f>
        <v>0.9993825125030652</v>
      </c>
      <c r="E276" s="28">
        <f>Data!P279/Data!P278</f>
        <v>1.0030661093623412</v>
      </c>
      <c r="F276" s="105">
        <f t="shared" si="11"/>
        <v>0.10421225282987526</v>
      </c>
      <c r="G276">
        <v>225</v>
      </c>
      <c r="H276" s="14">
        <f>$N$2*B276+$O$2*C276+$P$2*D276+$Q$2*E276</f>
        <v>10030508.755038787</v>
      </c>
      <c r="J276" s="13">
        <f t="shared" si="12"/>
        <v>30508.75503878668</v>
      </c>
      <c r="K276" s="28">
        <f t="shared" si="13"/>
        <v>3.050875503878725E-3</v>
      </c>
    </row>
    <row r="277" spans="1:11">
      <c r="A277" s="1">
        <v>276</v>
      </c>
      <c r="B277" s="28">
        <f>Data!D280/Data!D279</f>
        <v>0.99393979186037229</v>
      </c>
      <c r="C277" s="28">
        <f>Data!H280/Data!H279</f>
        <v>1.0076402340251451</v>
      </c>
      <c r="D277" s="28">
        <f>Data!L280/Data!L279</f>
        <v>1.0013622305764971</v>
      </c>
      <c r="E277" s="28">
        <f>Data!P280/Data!P279</f>
        <v>1.0002788633580946</v>
      </c>
      <c r="F277" s="105">
        <f t="shared" si="11"/>
        <v>0.10526490184835885</v>
      </c>
      <c r="G277">
        <v>224</v>
      </c>
      <c r="H277" s="14">
        <f>$N$2*B277+$O$2*C277+$P$2*D277+$Q$2*E277</f>
        <v>10000599.826809609</v>
      </c>
      <c r="J277" s="13">
        <f t="shared" si="12"/>
        <v>599.82680960930884</v>
      </c>
      <c r="K277" s="28">
        <f t="shared" si="13"/>
        <v>5.9982680960857238E-5</v>
      </c>
    </row>
    <row r="278" spans="1:11">
      <c r="A278" s="1">
        <v>277</v>
      </c>
      <c r="B278" s="28">
        <f>Data!D281/Data!D280</f>
        <v>0.99548466512154188</v>
      </c>
      <c r="C278" s="28">
        <f>Data!H281/Data!H280</f>
        <v>1.0112151590860459</v>
      </c>
      <c r="D278" s="28">
        <f>Data!L281/Data!L280</f>
        <v>1.0094592533248756</v>
      </c>
      <c r="E278" s="28">
        <f>Data!P281/Data!P280</f>
        <v>1.0120414682187049</v>
      </c>
      <c r="F278" s="105">
        <f t="shared" si="11"/>
        <v>0.10632818368521096</v>
      </c>
      <c r="G278">
        <v>223</v>
      </c>
      <c r="H278" s="14">
        <f>$N$2*B278+$O$2*C278+$P$2*D278+$Q$2*E278</f>
        <v>10049126.327506591</v>
      </c>
      <c r="J278" s="13">
        <f t="shared" si="12"/>
        <v>49126.327506590635</v>
      </c>
      <c r="K278" s="28">
        <f t="shared" si="13"/>
        <v>4.9126327506590073E-3</v>
      </c>
    </row>
    <row r="279" spans="1:11">
      <c r="A279" s="1">
        <v>278</v>
      </c>
      <c r="B279" s="28">
        <f>Data!D282/Data!D281</f>
        <v>1.0055625638596031</v>
      </c>
      <c r="C279" s="28">
        <f>Data!H282/Data!H281</f>
        <v>0.99905616714661827</v>
      </c>
      <c r="D279" s="28">
        <f>Data!L282/Data!L281</f>
        <v>0.99197731595405025</v>
      </c>
      <c r="E279" s="28">
        <f>Data!P282/Data!P281</f>
        <v>0.99394741769104633</v>
      </c>
      <c r="F279" s="105">
        <f t="shared" si="11"/>
        <v>0.10740220574263733</v>
      </c>
      <c r="G279">
        <v>222</v>
      </c>
      <c r="H279" s="14">
        <f>$N$2*B279+$O$2*C279+$P$2*D279+$Q$2*E279</f>
        <v>9999290.9082144089</v>
      </c>
      <c r="J279" s="13">
        <f t="shared" si="12"/>
        <v>-709.09178559109569</v>
      </c>
      <c r="K279" s="28">
        <f t="shared" si="13"/>
        <v>-7.0909178559119823E-5</v>
      </c>
    </row>
    <row r="280" spans="1:11">
      <c r="A280" s="1">
        <v>279</v>
      </c>
      <c r="B280" s="28">
        <f>Data!D283/Data!D282</f>
        <v>0.99231679661223804</v>
      </c>
      <c r="C280" s="28">
        <f>Data!H283/Data!H282</f>
        <v>0.9908318510472478</v>
      </c>
      <c r="D280" s="28">
        <f>Data!L283/Data!L282</f>
        <v>0.99756920145631633</v>
      </c>
      <c r="E280" s="28">
        <f>Data!P283/Data!P282</f>
        <v>1.0013009290590345</v>
      </c>
      <c r="F280" s="105">
        <f t="shared" si="11"/>
        <v>0.10848707650771447</v>
      </c>
      <c r="G280">
        <v>221</v>
      </c>
      <c r="H280" s="14">
        <f>$N$2*B280+$O$2*C280+$P$2*D280+$Q$2*E280</f>
        <v>9941933.7991650794</v>
      </c>
      <c r="J280" s="13">
        <f t="shared" si="12"/>
        <v>-58066.20083492063</v>
      </c>
      <c r="K280" s="28">
        <f t="shared" si="13"/>
        <v>-5.8066200834920867E-3</v>
      </c>
    </row>
    <row r="281" spans="1:11">
      <c r="A281" s="1">
        <v>280</v>
      </c>
      <c r="B281" s="28">
        <f>Data!D284/Data!D283</f>
        <v>0.99486156398375392</v>
      </c>
      <c r="C281" s="28">
        <f>Data!H284/Data!H283</f>
        <v>0.99043423068904191</v>
      </c>
      <c r="D281" s="28">
        <f>Data!L284/Data!L283</f>
        <v>0.98951813777551478</v>
      </c>
      <c r="E281" s="28">
        <f>Data!P284/Data!P283</f>
        <v>0.99485061843178246</v>
      </c>
      <c r="F281" s="105">
        <f t="shared" si="11"/>
        <v>0.10958290556334796</v>
      </c>
      <c r="G281">
        <v>220</v>
      </c>
      <c r="H281" s="14">
        <f>$N$2*B281+$O$2*C281+$P$2*D281+$Q$2*E281</f>
        <v>9929968.3226412199</v>
      </c>
      <c r="J281" s="13">
        <f t="shared" si="12"/>
        <v>-70031.677358780056</v>
      </c>
      <c r="K281" s="28">
        <f t="shared" si="13"/>
        <v>-7.0031677358780575E-3</v>
      </c>
    </row>
    <row r="282" spans="1:11">
      <c r="A282" s="1">
        <v>281</v>
      </c>
      <c r="B282" s="28">
        <f>Data!D285/Data!D284</f>
        <v>0.99853373909468457</v>
      </c>
      <c r="C282" s="28">
        <f>Data!H285/Data!H284</f>
        <v>1.0124671245981345</v>
      </c>
      <c r="D282" s="28">
        <f>Data!L285/Data!L284</f>
        <v>1.0105572383292538</v>
      </c>
      <c r="E282" s="28">
        <f>Data!P285/Data!P284</f>
        <v>0.98841197716347862</v>
      </c>
      <c r="F282" s="105">
        <f t="shared" si="11"/>
        <v>0.11068980359934139</v>
      </c>
      <c r="G282">
        <v>219</v>
      </c>
      <c r="H282" s="14">
        <f>$N$2*B282+$O$2*C282+$P$2*D282+$Q$2*E282</f>
        <v>10018917.522829354</v>
      </c>
      <c r="J282" s="13">
        <f t="shared" si="12"/>
        <v>18917.522829353809</v>
      </c>
      <c r="K282" s="28">
        <f t="shared" si="13"/>
        <v>1.8917522829353661E-3</v>
      </c>
    </row>
    <row r="283" spans="1:11">
      <c r="A283" s="1">
        <v>282</v>
      </c>
      <c r="B283" s="28">
        <f>Data!D286/Data!D285</f>
        <v>0.99974230774214057</v>
      </c>
      <c r="C283" s="28">
        <f>Data!H286/Data!H285</f>
        <v>0.99399777806068301</v>
      </c>
      <c r="D283" s="28">
        <f>Data!L286/Data!L285</f>
        <v>0.99708420226280681</v>
      </c>
      <c r="E283" s="28">
        <f>Data!P286/Data!P285</f>
        <v>1.0177021756723723</v>
      </c>
      <c r="F283" s="105">
        <f t="shared" si="11"/>
        <v>0.11180788242357716</v>
      </c>
      <c r="G283">
        <v>218</v>
      </c>
      <c r="H283" s="14">
        <f>$N$2*B283+$O$2*C283+$P$2*D283+$Q$2*E283</f>
        <v>10013451.118758162</v>
      </c>
      <c r="J283" s="13">
        <f t="shared" si="12"/>
        <v>13451.118758162484</v>
      </c>
      <c r="K283" s="28">
        <f t="shared" si="13"/>
        <v>1.3451118758163183E-3</v>
      </c>
    </row>
    <row r="284" spans="1:11">
      <c r="A284" s="1">
        <v>283</v>
      </c>
      <c r="B284" s="28">
        <f>Data!D287/Data!D286</f>
        <v>0.97358045526806913</v>
      </c>
      <c r="C284" s="28">
        <f>Data!H287/Data!H286</f>
        <v>0.98737949496337707</v>
      </c>
      <c r="D284" s="28">
        <f>Data!L287/Data!L286</f>
        <v>0.99294923952554026</v>
      </c>
      <c r="E284" s="28">
        <f>Data!P287/Data!P286</f>
        <v>0.98918925442687911</v>
      </c>
      <c r="F284" s="105">
        <f t="shared" si="11"/>
        <v>0.11293725497331025</v>
      </c>
      <c r="G284">
        <v>217</v>
      </c>
      <c r="H284" s="14">
        <f>$N$2*B284+$O$2*C284+$P$2*D284+$Q$2*E284</f>
        <v>9827788.0543417055</v>
      </c>
      <c r="J284" s="13">
        <f t="shared" si="12"/>
        <v>-172211.94565829448</v>
      </c>
      <c r="K284" s="28">
        <f t="shared" si="13"/>
        <v>-1.722119456582949E-2</v>
      </c>
    </row>
    <row r="285" spans="1:11">
      <c r="A285" s="1">
        <v>284</v>
      </c>
      <c r="B285" s="28">
        <f>Data!D288/Data!D287</f>
        <v>1.0033242074778768</v>
      </c>
      <c r="C285" s="28">
        <f>Data!H288/Data!H287</f>
        <v>0.98068847393224579</v>
      </c>
      <c r="D285" s="28">
        <f>Data!L288/Data!L287</f>
        <v>0.97922596473867929</v>
      </c>
      <c r="E285" s="28">
        <f>Data!P288/Data!P287</f>
        <v>0.98518687894556434</v>
      </c>
      <c r="F285" s="105">
        <f t="shared" si="11"/>
        <v>0.11407803532657602</v>
      </c>
      <c r="G285">
        <v>216</v>
      </c>
      <c r="H285" s="14">
        <f>$N$2*B285+$O$2*C285+$P$2*D285+$Q$2*E285</f>
        <v>9904961.9743380528</v>
      </c>
      <c r="J285" s="13">
        <f t="shared" si="12"/>
        <v>-95038.025661947206</v>
      </c>
      <c r="K285" s="28">
        <f t="shared" si="13"/>
        <v>-9.5038025661947634E-3</v>
      </c>
    </row>
    <row r="286" spans="1:11">
      <c r="A286" s="1">
        <v>285</v>
      </c>
      <c r="B286" s="28">
        <f>Data!D289/Data!D288</f>
        <v>1.0080533825902174</v>
      </c>
      <c r="C286" s="28">
        <f>Data!H289/Data!H288</f>
        <v>1.0188137161264008</v>
      </c>
      <c r="D286" s="28">
        <f>Data!L289/Data!L288</f>
        <v>1.014767282619284</v>
      </c>
      <c r="E286" s="28">
        <f>Data!P289/Data!P288</f>
        <v>0.99541315487587612</v>
      </c>
      <c r="F286" s="105">
        <f t="shared" si="11"/>
        <v>0.11523033871371316</v>
      </c>
      <c r="G286">
        <v>215</v>
      </c>
      <c r="H286" s="14">
        <f>$N$2*B286+$O$2*C286+$P$2*D286+$Q$2*E286</f>
        <v>10094248.271111108</v>
      </c>
      <c r="J286" s="13">
        <f t="shared" si="12"/>
        <v>94248.271111108363</v>
      </c>
      <c r="K286" s="28">
        <f t="shared" si="13"/>
        <v>9.4248271111108117E-3</v>
      </c>
    </row>
    <row r="287" spans="1:11">
      <c r="A287" s="1">
        <v>286</v>
      </c>
      <c r="B287" s="28">
        <f>Data!D290/Data!D289</f>
        <v>0.99992834282547172</v>
      </c>
      <c r="C287" s="28">
        <f>Data!H290/Data!H289</f>
        <v>0.99431024353416753</v>
      </c>
      <c r="D287" s="28">
        <f>Data!L290/Data!L289</f>
        <v>0.99340130188361886</v>
      </c>
      <c r="E287" s="28">
        <f>Data!P290/Data!P289</f>
        <v>0.9995387684097512</v>
      </c>
      <c r="F287" s="105">
        <f t="shared" si="11"/>
        <v>0.11639428152900318</v>
      </c>
      <c r="G287">
        <v>214</v>
      </c>
      <c r="H287" s="14">
        <f>$N$2*B287+$O$2*C287+$P$2*D287+$Q$2*E287</f>
        <v>9975122.9406075105</v>
      </c>
      <c r="J287" s="13">
        <f t="shared" si="12"/>
        <v>-24877.059392489493</v>
      </c>
      <c r="K287" s="28">
        <f t="shared" si="13"/>
        <v>-2.4877059392489631E-3</v>
      </c>
    </row>
    <row r="288" spans="1:11">
      <c r="A288" s="1">
        <v>287</v>
      </c>
      <c r="B288" s="28">
        <f>Data!D291/Data!D290</f>
        <v>0.9997564943968118</v>
      </c>
      <c r="C288" s="28">
        <f>Data!H291/Data!H290</f>
        <v>1.015985437070001</v>
      </c>
      <c r="D288" s="28">
        <f>Data!L291/Data!L290</f>
        <v>1.0207534557737343</v>
      </c>
      <c r="E288" s="28">
        <f>Data!P291/Data!P290</f>
        <v>0.99398166477043959</v>
      </c>
      <c r="F288" s="105">
        <f t="shared" si="11"/>
        <v>0.11756998134242747</v>
      </c>
      <c r="G288">
        <v>213</v>
      </c>
      <c r="H288" s="14">
        <f>$N$2*B288+$O$2*C288+$P$2*D288+$Q$2*E288</f>
        <v>10055699.074111864</v>
      </c>
      <c r="J288" s="13">
        <f t="shared" si="12"/>
        <v>55699.074111863971</v>
      </c>
      <c r="K288" s="28">
        <f t="shared" si="13"/>
        <v>5.5699074111863478E-3</v>
      </c>
    </row>
    <row r="289" spans="1:11">
      <c r="A289" s="1">
        <v>288</v>
      </c>
      <c r="B289" s="28">
        <f>Data!D292/Data!D291</f>
        <v>1.0098581618382787</v>
      </c>
      <c r="C289" s="28">
        <f>Data!H292/Data!H291</f>
        <v>1.0142100747521217</v>
      </c>
      <c r="D289" s="28">
        <f>Data!L292/Data!L291</f>
        <v>1.0117913597875408</v>
      </c>
      <c r="E289" s="28">
        <f>Data!P292/Data!P291</f>
        <v>1.0144876648316412</v>
      </c>
      <c r="F289" s="105">
        <f t="shared" si="11"/>
        <v>0.1187575569115429</v>
      </c>
      <c r="G289">
        <v>212</v>
      </c>
      <c r="H289" s="14">
        <f>$N$2*B289+$O$2*C289+$P$2*D289+$Q$2*E289</f>
        <v>10122829.561060304</v>
      </c>
      <c r="J289" s="13">
        <f t="shared" si="12"/>
        <v>122829.56106030382</v>
      </c>
      <c r="K289" s="28">
        <f t="shared" si="13"/>
        <v>1.2282956106030474E-2</v>
      </c>
    </row>
    <row r="290" spans="1:11">
      <c r="A290" s="1">
        <v>289</v>
      </c>
      <c r="B290" s="28">
        <f>Data!D293/Data!D292</f>
        <v>1.0046035620387204</v>
      </c>
      <c r="C290" s="28">
        <f>Data!H293/Data!H292</f>
        <v>1.010928941782933</v>
      </c>
      <c r="D290" s="28">
        <f>Data!L293/Data!L292</f>
        <v>1.0082910674979291</v>
      </c>
      <c r="E290" s="28">
        <f>Data!P293/Data!P292</f>
        <v>1.0068086308164936</v>
      </c>
      <c r="F290" s="105">
        <f t="shared" si="11"/>
        <v>0.11995712819347766</v>
      </c>
      <c r="G290">
        <v>211</v>
      </c>
      <c r="H290" s="14">
        <f>$N$2*B290+$O$2*C290+$P$2*D290+$Q$2*E290</f>
        <v>10073109.402634598</v>
      </c>
      <c r="J290" s="13">
        <f t="shared" si="12"/>
        <v>73109.402634598315</v>
      </c>
      <c r="K290" s="28">
        <f t="shared" si="13"/>
        <v>7.3109402634599086E-3</v>
      </c>
    </row>
    <row r="291" spans="1:11">
      <c r="A291" s="1">
        <v>290</v>
      </c>
      <c r="B291" s="28">
        <f>Data!D294/Data!D293</f>
        <v>0.99439159756197781</v>
      </c>
      <c r="C291" s="28">
        <f>Data!H294/Data!H293</f>
        <v>0.99597866063947771</v>
      </c>
      <c r="D291" s="28">
        <f>Data!L294/Data!L293</f>
        <v>0.99576338498619621</v>
      </c>
      <c r="E291" s="28">
        <f>Data!P294/Data!P293</f>
        <v>0.99700726695846675</v>
      </c>
      <c r="F291" s="105">
        <f t="shared" si="11"/>
        <v>0.12116881635704815</v>
      </c>
      <c r="G291">
        <v>210</v>
      </c>
      <c r="H291" s="14">
        <f>$N$2*B291+$O$2*C291+$P$2*D291+$Q$2*E291</f>
        <v>9955280.2910694741</v>
      </c>
      <c r="J291" s="13">
        <f t="shared" si="12"/>
        <v>-44719.708930525929</v>
      </c>
      <c r="K291" s="28">
        <f t="shared" si="13"/>
        <v>-4.4719708930526236E-3</v>
      </c>
    </row>
    <row r="292" spans="1:11">
      <c r="A292" s="1">
        <v>291</v>
      </c>
      <c r="B292" s="28">
        <f>Data!D295/Data!D294</f>
        <v>1.0099721079690585</v>
      </c>
      <c r="C292" s="28">
        <f>Data!H295/Data!H294</f>
        <v>1.0144304797210226</v>
      </c>
      <c r="D292" s="28">
        <f>Data!L295/Data!L294</f>
        <v>1.0107919909550367</v>
      </c>
      <c r="E292" s="28">
        <f>Data!P295/Data!P294</f>
        <v>1.0002323133170974</v>
      </c>
      <c r="F292" s="105">
        <f t="shared" si="11"/>
        <v>0.12239274379499814</v>
      </c>
      <c r="G292">
        <v>209</v>
      </c>
      <c r="H292" s="14">
        <f>$N$2*B292+$O$2*C292+$P$2*D292+$Q$2*E292</f>
        <v>10094436.488628533</v>
      </c>
      <c r="J292" s="13">
        <f t="shared" si="12"/>
        <v>94436.488628532737</v>
      </c>
      <c r="K292" s="28">
        <f t="shared" si="13"/>
        <v>9.4436488628533155E-3</v>
      </c>
    </row>
    <row r="293" spans="1:11">
      <c r="A293" s="1">
        <v>292</v>
      </c>
      <c r="B293" s="28">
        <f>Data!D296/Data!D295</f>
        <v>0.97400289016303654</v>
      </c>
      <c r="C293" s="28">
        <f>Data!H296/Data!H295</f>
        <v>0.98186927753245301</v>
      </c>
      <c r="D293" s="28">
        <f>Data!L296/Data!L295</f>
        <v>0.97772428085792584</v>
      </c>
      <c r="E293" s="28">
        <f>Data!P296/Data!P295</f>
        <v>1.0115296771856046</v>
      </c>
      <c r="F293" s="105">
        <f t="shared" si="11"/>
        <v>0.12362903413636175</v>
      </c>
      <c r="G293">
        <v>208</v>
      </c>
      <c r="H293" s="14">
        <f>$N$2*B293+$O$2*C293+$P$2*D293+$Q$2*E293</f>
        <v>9842403.0284786411</v>
      </c>
      <c r="J293" s="13">
        <f t="shared" si="12"/>
        <v>-157596.97152135894</v>
      </c>
      <c r="K293" s="28">
        <f t="shared" si="13"/>
        <v>-1.5759697152135876E-2</v>
      </c>
    </row>
    <row r="294" spans="1:11">
      <c r="A294" s="1">
        <v>293</v>
      </c>
      <c r="B294" s="28">
        <f>Data!D297/Data!D296</f>
        <v>1.0020069472953381</v>
      </c>
      <c r="C294" s="28">
        <f>Data!H297/Data!H296</f>
        <v>0.99171606022640058</v>
      </c>
      <c r="D294" s="28">
        <f>Data!L297/Data!L296</f>
        <v>1.0013480930075547</v>
      </c>
      <c r="E294" s="28">
        <f>Data!P297/Data!P296</f>
        <v>0.98010430556135886</v>
      </c>
      <c r="F294" s="105">
        <f t="shared" si="11"/>
        <v>0.12487781225895127</v>
      </c>
      <c r="G294">
        <v>207</v>
      </c>
      <c r="H294" s="14">
        <f>$N$2*B294+$O$2*C294+$P$2*D294+$Q$2*E294</f>
        <v>9944732.6739908252</v>
      </c>
      <c r="J294" s="13">
        <f t="shared" si="12"/>
        <v>-55267.326009174809</v>
      </c>
      <c r="K294" s="28">
        <f t="shared" si="13"/>
        <v>-5.5267326009175166E-3</v>
      </c>
    </row>
    <row r="295" spans="1:11">
      <c r="A295" s="1">
        <v>294</v>
      </c>
      <c r="B295" s="28">
        <f>Data!D298/Data!D297</f>
        <v>0.99619715927061947</v>
      </c>
      <c r="C295" s="28">
        <f>Data!H298/Data!H297</f>
        <v>0.98873842503008003</v>
      </c>
      <c r="D295" s="28">
        <f>Data!L298/Data!L297</f>
        <v>0.99287897042727202</v>
      </c>
      <c r="E295" s="28">
        <f>Data!P298/Data!P297</f>
        <v>0.9871882711990082</v>
      </c>
      <c r="F295" s="105">
        <f t="shared" si="11"/>
        <v>0.12613920430197098</v>
      </c>
      <c r="G295">
        <v>206</v>
      </c>
      <c r="H295" s="14">
        <f>$N$2*B295+$O$2*C295+$P$2*D295+$Q$2*E295</f>
        <v>9918259.4249980059</v>
      </c>
      <c r="J295" s="13">
        <f t="shared" si="12"/>
        <v>-81740.575001994148</v>
      </c>
      <c r="K295" s="28">
        <f t="shared" si="13"/>
        <v>-8.1740575001993943E-3</v>
      </c>
    </row>
    <row r="296" spans="1:11">
      <c r="A296" s="1">
        <v>295</v>
      </c>
      <c r="B296" s="28">
        <f>Data!D299/Data!D298</f>
        <v>1.0086787660410237</v>
      </c>
      <c r="C296" s="28">
        <f>Data!H299/Data!H298</f>
        <v>1.0054607739699366</v>
      </c>
      <c r="D296" s="28">
        <f>Data!L299/Data!L298</f>
        <v>1.0100626113360409</v>
      </c>
      <c r="E296" s="28">
        <f>Data!P299/Data!P298</f>
        <v>1.0004744795846949</v>
      </c>
      <c r="F296" s="105">
        <f t="shared" si="11"/>
        <v>0.12741333767875856</v>
      </c>
      <c r="G296">
        <v>205</v>
      </c>
      <c r="H296" s="14">
        <f>$N$2*B296+$O$2*C296+$P$2*D296+$Q$2*E296</f>
        <v>10062108.956579335</v>
      </c>
      <c r="J296" s="13">
        <f t="shared" si="12"/>
        <v>62108.956579335034</v>
      </c>
      <c r="K296" s="28">
        <f t="shared" si="13"/>
        <v>6.210895657933424E-3</v>
      </c>
    </row>
    <row r="297" spans="1:11">
      <c r="A297" s="1">
        <v>296</v>
      </c>
      <c r="B297" s="28">
        <f>Data!D300/Data!D299</f>
        <v>0.9735801489502186</v>
      </c>
      <c r="C297" s="28">
        <f>Data!H300/Data!H299</f>
        <v>0.99387801787314189</v>
      </c>
      <c r="D297" s="28">
        <f>Data!L300/Data!L299</f>
        <v>1.0032949586346904</v>
      </c>
      <c r="E297" s="28">
        <f>Data!P300/Data!P299</f>
        <v>0.99985920184762411</v>
      </c>
      <c r="F297" s="105">
        <f t="shared" si="11"/>
        <v>0.12870034108965514</v>
      </c>
      <c r="G297">
        <v>204</v>
      </c>
      <c r="H297" s="14">
        <f>$N$2*B297+$O$2*C297+$P$2*D297+$Q$2*E297</f>
        <v>9878968.0117502399</v>
      </c>
      <c r="J297" s="13">
        <f t="shared" si="12"/>
        <v>-121031.98824976012</v>
      </c>
      <c r="K297" s="28">
        <f t="shared" si="13"/>
        <v>-1.2103198824976014E-2</v>
      </c>
    </row>
    <row r="298" spans="1:11">
      <c r="A298" s="1">
        <v>297</v>
      </c>
      <c r="B298" s="28">
        <f>Data!D301/Data!D300</f>
        <v>0.99746391358809994</v>
      </c>
      <c r="C298" s="28">
        <f>Data!H301/Data!H300</f>
        <v>1.0014465258143468</v>
      </c>
      <c r="D298" s="28">
        <f>Data!L301/Data!L300</f>
        <v>0.99237792606449726</v>
      </c>
      <c r="E298" s="28">
        <f>Data!P301/Data!P300</f>
        <v>0.98406041221222273</v>
      </c>
      <c r="F298" s="105">
        <f t="shared" si="11"/>
        <v>0.13000034453500517</v>
      </c>
      <c r="G298">
        <v>203</v>
      </c>
      <c r="H298" s="14">
        <f>$N$2*B298+$O$2*C298+$P$2*D298+$Q$2*E298</f>
        <v>9954693.982284382</v>
      </c>
      <c r="J298" s="13">
        <f t="shared" si="12"/>
        <v>-45306.017715618014</v>
      </c>
      <c r="K298" s="28">
        <f t="shared" si="13"/>
        <v>-4.5306017715618374E-3</v>
      </c>
    </row>
    <row r="299" spans="1:11">
      <c r="A299" s="1">
        <v>298</v>
      </c>
      <c r="B299" s="28">
        <f>Data!D302/Data!D301</f>
        <v>0.98314901905506358</v>
      </c>
      <c r="C299" s="28">
        <f>Data!H302/Data!H301</f>
        <v>0.98170174941213639</v>
      </c>
      <c r="D299" s="28">
        <f>Data!L302/Data!L301</f>
        <v>0.98020037777967273</v>
      </c>
      <c r="E299" s="28">
        <f>Data!P302/Data!P301</f>
        <v>1.0069119542083624</v>
      </c>
      <c r="F299" s="105">
        <f t="shared" si="11"/>
        <v>0.13131347932828805</v>
      </c>
      <c r="G299">
        <v>202</v>
      </c>
      <c r="H299" s="14">
        <f>$N$2*B299+$O$2*C299+$P$2*D299+$Q$2*E299</f>
        <v>9871725.6106530614</v>
      </c>
      <c r="J299" s="13">
        <f t="shared" si="12"/>
        <v>-128274.38934693858</v>
      </c>
      <c r="K299" s="28">
        <f t="shared" si="13"/>
        <v>-1.2827438934693847E-2</v>
      </c>
    </row>
    <row r="300" spans="1:11">
      <c r="A300" s="1">
        <v>299</v>
      </c>
      <c r="B300" s="28">
        <f>Data!D303/Data!D302</f>
        <v>0.99576852716530417</v>
      </c>
      <c r="C300" s="28">
        <f>Data!H303/Data!H302</f>
        <v>0.9881506124216719</v>
      </c>
      <c r="D300" s="28">
        <f>Data!L303/Data!L302</f>
        <v>0.99244585162688581</v>
      </c>
      <c r="E300" s="28">
        <f>Data!P303/Data!P302</f>
        <v>0.98653195888052114</v>
      </c>
      <c r="F300" s="105">
        <f t="shared" si="11"/>
        <v>0.13263987810938188</v>
      </c>
      <c r="G300">
        <v>201</v>
      </c>
      <c r="H300" s="14">
        <f>$N$2*B300+$O$2*C300+$P$2*D300+$Q$2*E300</f>
        <v>9913035.715314161</v>
      </c>
      <c r="J300" s="13">
        <f t="shared" si="12"/>
        <v>-86964.284685838968</v>
      </c>
      <c r="K300" s="28">
        <f t="shared" si="13"/>
        <v>-8.6964284685838722E-3</v>
      </c>
    </row>
    <row r="301" spans="1:11">
      <c r="A301" s="1">
        <v>300</v>
      </c>
      <c r="B301" s="28">
        <f>Data!D304/Data!D303</f>
        <v>1.0246035626426848</v>
      </c>
      <c r="C301" s="28">
        <f>Data!H304/Data!H303</f>
        <v>1.0103006698408961</v>
      </c>
      <c r="D301" s="28">
        <f>Data!L304/Data!L303</f>
        <v>1.0051347868784375</v>
      </c>
      <c r="E301" s="28">
        <f>Data!P304/Data!P303</f>
        <v>0.98768818872078123</v>
      </c>
      <c r="F301" s="105">
        <f t="shared" si="11"/>
        <v>0.13397967485796147</v>
      </c>
      <c r="G301">
        <v>200</v>
      </c>
      <c r="H301" s="14">
        <f>$N$2*B301+$O$2*C301+$P$2*D301+$Q$2*E301</f>
        <v>10109827.424413428</v>
      </c>
      <c r="J301" s="13">
        <f t="shared" si="12"/>
        <v>109827.42441342771</v>
      </c>
      <c r="K301" s="28">
        <f t="shared" si="13"/>
        <v>1.0982742441342674E-2</v>
      </c>
    </row>
    <row r="302" spans="1:11">
      <c r="A302" s="1">
        <v>301</v>
      </c>
      <c r="B302" s="28">
        <f>Data!D305/Data!D304</f>
        <v>0.99428274701681585</v>
      </c>
      <c r="C302" s="28">
        <f>Data!H305/Data!H304</f>
        <v>1.0075402562895266</v>
      </c>
      <c r="D302" s="28">
        <f>Data!L305/Data!L304</f>
        <v>1.0197388419590654</v>
      </c>
      <c r="E302" s="28">
        <f>Data!P305/Data!P304</f>
        <v>1.013892246965302</v>
      </c>
      <c r="F302" s="105">
        <f t="shared" si="11"/>
        <v>0.13533300490703182</v>
      </c>
      <c r="G302">
        <v>199</v>
      </c>
      <c r="H302" s="14">
        <f>$N$2*B302+$O$2*C302+$P$2*D302+$Q$2*E302</f>
        <v>10047275.092825513</v>
      </c>
      <c r="J302" s="13">
        <f t="shared" si="12"/>
        <v>47275.092825513333</v>
      </c>
      <c r="K302" s="28">
        <f t="shared" si="13"/>
        <v>4.7275092825513898E-3</v>
      </c>
    </row>
    <row r="303" spans="1:11">
      <c r="A303" s="1">
        <v>302</v>
      </c>
      <c r="B303" s="28">
        <f>Data!D306/Data!D305</f>
        <v>0.99085784078464145</v>
      </c>
      <c r="C303" s="28">
        <f>Data!H306/Data!H305</f>
        <v>0.97910633053040674</v>
      </c>
      <c r="D303" s="28">
        <f>Data!L306/Data!L305</f>
        <v>0.9861612849205994</v>
      </c>
      <c r="E303" s="28">
        <f>Data!P306/Data!P305</f>
        <v>0.99754655475804299</v>
      </c>
      <c r="F303" s="105">
        <f t="shared" si="11"/>
        <v>0.13670000495659779</v>
      </c>
      <c r="G303">
        <v>198</v>
      </c>
      <c r="H303" s="14">
        <f>$N$2*B303+$O$2*C303+$P$2*D303+$Q$2*E303</f>
        <v>9882004.7491664719</v>
      </c>
      <c r="J303" s="13">
        <f t="shared" si="12"/>
        <v>-117995.25083352812</v>
      </c>
      <c r="K303" s="28">
        <f t="shared" si="13"/>
        <v>-1.1799525083352802E-2</v>
      </c>
    </row>
    <row r="304" spans="1:11">
      <c r="A304" s="1">
        <v>303</v>
      </c>
      <c r="B304" s="28">
        <f>Data!D307/Data!D306</f>
        <v>1.0050907509887455</v>
      </c>
      <c r="C304" s="28">
        <f>Data!H307/Data!H306</f>
        <v>0.98943807347514867</v>
      </c>
      <c r="D304" s="28">
        <f>Data!L307/Data!L306</f>
        <v>0.99369278756827961</v>
      </c>
      <c r="E304" s="28">
        <f>Data!P307/Data!P306</f>
        <v>0.98714970536879343</v>
      </c>
      <c r="F304" s="105">
        <f t="shared" si="11"/>
        <v>0.13808081308747253</v>
      </c>
      <c r="G304">
        <v>197</v>
      </c>
      <c r="H304" s="14">
        <f>$N$2*B304+$O$2*C304+$P$2*D304+$Q$2*E304</f>
        <v>9956669.4226862937</v>
      </c>
      <c r="J304" s="13">
        <f t="shared" si="12"/>
        <v>-43330.577313706279</v>
      </c>
      <c r="K304" s="28">
        <f t="shared" si="13"/>
        <v>-4.3330577313706042E-3</v>
      </c>
    </row>
    <row r="305" spans="1:11">
      <c r="A305" s="1">
        <v>304</v>
      </c>
      <c r="B305" s="28">
        <f>Data!D308/Data!D307</f>
        <v>0.9834291963368923</v>
      </c>
      <c r="C305" s="28">
        <f>Data!H308/Data!H307</f>
        <v>0.97586320555967554</v>
      </c>
      <c r="D305" s="28">
        <f>Data!L308/Data!L307</f>
        <v>0.98495572222744365</v>
      </c>
      <c r="E305" s="28">
        <f>Data!P308/Data!P307</f>
        <v>0.99648005914285787</v>
      </c>
      <c r="F305" s="105">
        <f t="shared" si="11"/>
        <v>0.1394755687752248</v>
      </c>
      <c r="G305">
        <v>196</v>
      </c>
      <c r="H305" s="14">
        <f>$N$2*B305+$O$2*C305+$P$2*D305+$Q$2*E305</f>
        <v>9839222.242539756</v>
      </c>
      <c r="J305" s="13">
        <f t="shared" si="12"/>
        <v>-160777.757460244</v>
      </c>
      <c r="K305" s="28">
        <f t="shared" si="13"/>
        <v>-1.6077775746024425E-2</v>
      </c>
    </row>
    <row r="306" spans="1:11">
      <c r="A306" s="1">
        <v>305</v>
      </c>
      <c r="B306" s="28">
        <f>Data!D309/Data!D308</f>
        <v>1.0039896777698549</v>
      </c>
      <c r="C306" s="28">
        <f>Data!H309/Data!H308</f>
        <v>1.0235652542951399</v>
      </c>
      <c r="D306" s="28">
        <f>Data!L309/Data!L308</f>
        <v>1.0224821287823631</v>
      </c>
      <c r="E306" s="28">
        <f>Data!P309/Data!P308</f>
        <v>1.0114157240436958</v>
      </c>
      <c r="F306" s="105">
        <f t="shared" si="11"/>
        <v>0.14088441290426745</v>
      </c>
      <c r="G306">
        <v>195</v>
      </c>
      <c r="H306" s="14">
        <f>$N$2*B306+$O$2*C306+$P$2*D306+$Q$2*E306</f>
        <v>10131968.050834594</v>
      </c>
      <c r="J306" s="13">
        <f t="shared" si="12"/>
        <v>131968.05083459429</v>
      </c>
      <c r="K306" s="28">
        <f t="shared" si="13"/>
        <v>1.319680508345944E-2</v>
      </c>
    </row>
    <row r="307" spans="1:11">
      <c r="A307" s="1">
        <v>306</v>
      </c>
      <c r="B307" s="28">
        <f>Data!D310/Data!D309</f>
        <v>0.98377419458975857</v>
      </c>
      <c r="C307" s="28">
        <f>Data!H310/Data!H309</f>
        <v>0.97052365037459942</v>
      </c>
      <c r="D307" s="28">
        <f>Data!L310/Data!L309</f>
        <v>0.98012893652021782</v>
      </c>
      <c r="E307" s="28">
        <f>Data!P310/Data!P309</f>
        <v>0.99107683825494808</v>
      </c>
      <c r="F307" s="105">
        <f t="shared" si="11"/>
        <v>0.14230748778208835</v>
      </c>
      <c r="G307">
        <v>194</v>
      </c>
      <c r="H307" s="14">
        <f>$N$2*B307+$O$2*C307+$P$2*D307+$Q$2*E307</f>
        <v>9808950.3425129466</v>
      </c>
      <c r="J307" s="13">
        <f t="shared" si="12"/>
        <v>-191049.65748705342</v>
      </c>
      <c r="K307" s="28">
        <f t="shared" si="13"/>
        <v>-1.9104965748705349E-2</v>
      </c>
    </row>
    <row r="308" spans="1:11">
      <c r="A308" s="1">
        <v>307</v>
      </c>
      <c r="B308" s="28">
        <f>Data!D311/Data!D310</f>
        <v>0.99565592419431459</v>
      </c>
      <c r="C308" s="28">
        <f>Data!H311/Data!H310</f>
        <v>1.0243446494208028</v>
      </c>
      <c r="D308" s="28">
        <f>Data!L311/Data!L310</f>
        <v>1.0152286291290278</v>
      </c>
      <c r="E308" s="28">
        <f>Data!P311/Data!P310</f>
        <v>1.0215612625441386</v>
      </c>
      <c r="F308" s="105">
        <f t="shared" si="11"/>
        <v>0.1437449371536246</v>
      </c>
      <c r="G308">
        <v>193</v>
      </c>
      <c r="H308" s="14">
        <f>$N$2*B308+$O$2*C308+$P$2*D308+$Q$2*E308</f>
        <v>10114008.799256971</v>
      </c>
      <c r="J308" s="13">
        <f t="shared" si="12"/>
        <v>114008.79925697111</v>
      </c>
      <c r="K308" s="28">
        <f t="shared" si="13"/>
        <v>1.1400879925697049E-2</v>
      </c>
    </row>
    <row r="309" spans="1:11">
      <c r="A309" s="1">
        <v>308</v>
      </c>
      <c r="B309" s="28">
        <f>Data!D312/Data!D311</f>
        <v>1.0168714256119227</v>
      </c>
      <c r="C309" s="28">
        <f>Data!H312/Data!H311</f>
        <v>0.99452137461971046</v>
      </c>
      <c r="D309" s="28">
        <f>Data!L312/Data!L311</f>
        <v>0.99704230492282919</v>
      </c>
      <c r="E309" s="28">
        <f>Data!P312/Data!P311</f>
        <v>1.0029186370931247</v>
      </c>
      <c r="F309" s="105">
        <f t="shared" si="11"/>
        <v>0.14519690621578241</v>
      </c>
      <c r="G309">
        <v>192</v>
      </c>
      <c r="H309" s="14">
        <f>$N$2*B309+$O$2*C309+$P$2*D309+$Q$2*E309</f>
        <v>10053929.4054159</v>
      </c>
      <c r="J309" s="13">
        <f t="shared" si="12"/>
        <v>53929.405415900052</v>
      </c>
      <c r="K309" s="28">
        <f t="shared" si="13"/>
        <v>5.3929405415900078E-3</v>
      </c>
    </row>
    <row r="310" spans="1:11">
      <c r="A310" s="1">
        <v>309</v>
      </c>
      <c r="B310" s="28">
        <f>Data!D313/Data!D312</f>
        <v>1.0255439697988338</v>
      </c>
      <c r="C310" s="28">
        <f>Data!H313/Data!H312</f>
        <v>1.0276459483324565</v>
      </c>
      <c r="D310" s="28">
        <f>Data!L313/Data!L312</f>
        <v>1.0162795940795284</v>
      </c>
      <c r="E310" s="28">
        <f>Data!P313/Data!P312</f>
        <v>0.9828791368159856</v>
      </c>
      <c r="F310" s="105">
        <f t="shared" si="11"/>
        <v>0.14666354163210346</v>
      </c>
      <c r="G310">
        <v>191</v>
      </c>
      <c r="H310" s="14">
        <f>$N$2*B310+$O$2*C310+$P$2*D310+$Q$2*E310</f>
        <v>10167151.591904204</v>
      </c>
      <c r="J310" s="13">
        <f t="shared" si="12"/>
        <v>167151.59190420434</v>
      </c>
      <c r="K310" s="28">
        <f t="shared" si="13"/>
        <v>1.6715159190420437E-2</v>
      </c>
    </row>
    <row r="311" spans="1:11">
      <c r="A311" s="1">
        <v>310</v>
      </c>
      <c r="B311" s="28">
        <f>Data!D314/Data!D313</f>
        <v>1.0016765178393385</v>
      </c>
      <c r="C311" s="28">
        <f>Data!H314/Data!H313</f>
        <v>1.0025737904278058</v>
      </c>
      <c r="D311" s="28">
        <f>Data!L314/Data!L313</f>
        <v>1.0075273901437296</v>
      </c>
      <c r="E311" s="28">
        <f>Data!P314/Data!P313</f>
        <v>1.0264609179218889</v>
      </c>
      <c r="F311" s="105">
        <f t="shared" si="11"/>
        <v>0.14814499154757926</v>
      </c>
      <c r="G311">
        <v>190</v>
      </c>
      <c r="H311" s="14">
        <f>$N$2*B311+$O$2*C311+$P$2*D311+$Q$2*E311</f>
        <v>10074876.668628279</v>
      </c>
      <c r="J311" s="13">
        <f t="shared" si="12"/>
        <v>74876.66862827912</v>
      </c>
      <c r="K311" s="28">
        <f t="shared" si="13"/>
        <v>7.4876668628278686E-3</v>
      </c>
    </row>
    <row r="312" spans="1:11">
      <c r="A312" s="1">
        <v>311</v>
      </c>
      <c r="B312" s="28">
        <f>Data!D315/Data!D314</f>
        <v>1.0045065517404574</v>
      </c>
      <c r="C312" s="28">
        <f>Data!H315/Data!H314</f>
        <v>1.0099919291829955</v>
      </c>
      <c r="D312" s="28">
        <f>Data!L315/Data!L314</f>
        <v>1.0066982587958895</v>
      </c>
      <c r="E312" s="28">
        <f>Data!P315/Data!P314</f>
        <v>0.99973001851139398</v>
      </c>
      <c r="F312" s="105">
        <f t="shared" si="11"/>
        <v>0.14964140560361539</v>
      </c>
      <c r="G312">
        <v>189</v>
      </c>
      <c r="H312" s="14">
        <f>$N$2*B312+$O$2*C312+$P$2*D312+$Q$2*E312</f>
        <v>10054160.290329494</v>
      </c>
      <c r="J312" s="13">
        <f t="shared" si="12"/>
        <v>54160.290329493582</v>
      </c>
      <c r="K312" s="28">
        <f t="shared" si="13"/>
        <v>5.4160290329494654E-3</v>
      </c>
    </row>
    <row r="313" spans="1:11">
      <c r="A313" s="1">
        <v>312</v>
      </c>
      <c r="B313" s="28">
        <f>Data!D316/Data!D315</f>
        <v>0.99572605468855169</v>
      </c>
      <c r="C313" s="28">
        <f>Data!H316/Data!H315</f>
        <v>0.99827269724719125</v>
      </c>
      <c r="D313" s="28">
        <f>Data!L316/Data!L315</f>
        <v>0.99144039893068514</v>
      </c>
      <c r="E313" s="28">
        <f>Data!P316/Data!P315</f>
        <v>1.0004021251364463</v>
      </c>
      <c r="F313" s="105">
        <f t="shared" si="11"/>
        <v>0.15115293495314686</v>
      </c>
      <c r="G313">
        <v>188</v>
      </c>
      <c r="H313" s="14">
        <f>$N$2*B313+$O$2*C313+$P$2*D313+$Q$2*E313</f>
        <v>9969966.9596993588</v>
      </c>
      <c r="J313" s="13">
        <f t="shared" si="12"/>
        <v>-30033.040300641209</v>
      </c>
      <c r="K313" s="28">
        <f t="shared" si="13"/>
        <v>-3.0033040300641023E-3</v>
      </c>
    </row>
    <row r="314" spans="1:11">
      <c r="A314" s="1">
        <v>313</v>
      </c>
      <c r="B314" s="28">
        <f>Data!D317/Data!D316</f>
        <v>0.99505504120673816</v>
      </c>
      <c r="C314" s="28">
        <f>Data!H317/Data!H316</f>
        <v>0.98470683466104258</v>
      </c>
      <c r="D314" s="28">
        <f>Data!L317/Data!L316</f>
        <v>0.99164072600504261</v>
      </c>
      <c r="E314" s="28">
        <f>Data!P317/Data!P316</f>
        <v>0.99816074341391636</v>
      </c>
      <c r="F314" s="105">
        <f t="shared" si="11"/>
        <v>0.15267973227590595</v>
      </c>
      <c r="G314">
        <v>187</v>
      </c>
      <c r="H314" s="14">
        <f>$N$2*B314+$O$2*C314+$P$2*D314+$Q$2*E314</f>
        <v>9922302.8816429563</v>
      </c>
      <c r="J314" s="13">
        <f t="shared" si="12"/>
        <v>-77697.118357043713</v>
      </c>
      <c r="K314" s="28">
        <f t="shared" si="13"/>
        <v>-7.769711835704407E-3</v>
      </c>
    </row>
    <row r="315" spans="1:11">
      <c r="A315" s="1">
        <v>314</v>
      </c>
      <c r="B315" s="28">
        <f>Data!D318/Data!D317</f>
        <v>1.0148112309632698</v>
      </c>
      <c r="C315" s="28">
        <f>Data!H318/Data!H317</f>
        <v>1.0127471222778417</v>
      </c>
      <c r="D315" s="28">
        <f>Data!L318/Data!L317</f>
        <v>1.0134367570840042</v>
      </c>
      <c r="E315" s="28">
        <f>Data!P318/Data!P317</f>
        <v>0.99640578366820431</v>
      </c>
      <c r="F315" s="105">
        <f t="shared" si="11"/>
        <v>0.15422195179384438</v>
      </c>
      <c r="G315">
        <v>186</v>
      </c>
      <c r="H315" s="14">
        <f>$N$2*B315+$O$2*C315+$P$2*D315+$Q$2*E315</f>
        <v>10103734.615107017</v>
      </c>
      <c r="J315" s="13">
        <f t="shared" si="12"/>
        <v>103734.61510701664</v>
      </c>
      <c r="K315" s="28">
        <f t="shared" si="13"/>
        <v>1.037346151070162E-2</v>
      </c>
    </row>
    <row r="316" spans="1:11">
      <c r="A316" s="1">
        <v>315</v>
      </c>
      <c r="B316" s="28">
        <f>Data!D319/Data!D318</f>
        <v>1.0130108233866073</v>
      </c>
      <c r="C316" s="28">
        <f>Data!H319/Data!H318</f>
        <v>0.99765360055321073</v>
      </c>
      <c r="D316" s="28">
        <f>Data!L319/Data!L318</f>
        <v>1.0002502365505059</v>
      </c>
      <c r="E316" s="28">
        <f>Data!P319/Data!P318</f>
        <v>1.0130633723924438</v>
      </c>
      <c r="F316" s="105">
        <f t="shared" si="11"/>
        <v>0.15577974928671148</v>
      </c>
      <c r="G316">
        <v>185</v>
      </c>
      <c r="H316" s="14">
        <f>$N$2*B316+$O$2*C316+$P$2*D316+$Q$2*E316</f>
        <v>10071381.076541455</v>
      </c>
      <c r="J316" s="13">
        <f t="shared" si="12"/>
        <v>71381.076541455463</v>
      </c>
      <c r="K316" s="28">
        <f t="shared" si="13"/>
        <v>7.1381076541454647E-3</v>
      </c>
    </row>
    <row r="317" spans="1:11">
      <c r="A317" s="1">
        <v>316</v>
      </c>
      <c r="B317" s="28">
        <f>Data!D320/Data!D319</f>
        <v>1.0004177713623239</v>
      </c>
      <c r="C317" s="28">
        <f>Data!H320/Data!H319</f>
        <v>1.0127311317904406</v>
      </c>
      <c r="D317" s="28">
        <f>Data!L320/Data!L319</f>
        <v>1.0099970335775164</v>
      </c>
      <c r="E317" s="28">
        <f>Data!P320/Data!P319</f>
        <v>1.0023934951754376</v>
      </c>
      <c r="F317" s="105">
        <f t="shared" si="11"/>
        <v>0.1573532821077894</v>
      </c>
      <c r="G317">
        <v>184</v>
      </c>
      <c r="H317" s="14">
        <f>$N$2*B317+$O$2*C317+$P$2*D317+$Q$2*E317</f>
        <v>10054648.504749009</v>
      </c>
      <c r="J317" s="13">
        <f t="shared" si="12"/>
        <v>54648.504749009386</v>
      </c>
      <c r="K317" s="28">
        <f t="shared" si="13"/>
        <v>5.464850474900862E-3</v>
      </c>
    </row>
    <row r="318" spans="1:11">
      <c r="A318" s="1">
        <v>317</v>
      </c>
      <c r="B318" s="28">
        <f>Data!D321/Data!D320</f>
        <v>1.0074455546112533</v>
      </c>
      <c r="C318" s="28">
        <f>Data!H321/Data!H320</f>
        <v>1.0098436639109059</v>
      </c>
      <c r="D318" s="28">
        <f>Data!L321/Data!L320</f>
        <v>1.009916575806405</v>
      </c>
      <c r="E318" s="28">
        <f>Data!P321/Data!P320</f>
        <v>0.99763843240222772</v>
      </c>
      <c r="F318" s="105">
        <f t="shared" si="11"/>
        <v>0.15894270919978729</v>
      </c>
      <c r="G318">
        <v>183</v>
      </c>
      <c r="H318" s="14">
        <f>$N$2*B318+$O$2*C318+$P$2*D318+$Q$2*E318</f>
        <v>10064506.650788592</v>
      </c>
      <c r="J318" s="13">
        <f t="shared" si="12"/>
        <v>64506.650788592175</v>
      </c>
      <c r="K318" s="28">
        <f t="shared" si="13"/>
        <v>6.4506650788591635E-3</v>
      </c>
    </row>
    <row r="319" spans="1:11">
      <c r="A319" s="1">
        <v>318</v>
      </c>
      <c r="B319" s="28">
        <f>Data!D322/Data!D321</f>
        <v>0.97856346201618261</v>
      </c>
      <c r="C319" s="28">
        <f>Data!H322/Data!H321</f>
        <v>0.99215561805385744</v>
      </c>
      <c r="D319" s="28">
        <f>Data!L322/Data!L321</f>
        <v>0.99398855436474409</v>
      </c>
      <c r="E319" s="28">
        <f>Data!P322/Data!P321</f>
        <v>1.0084590807624061</v>
      </c>
      <c r="F319" s="105">
        <f t="shared" si="11"/>
        <v>0.16054819111089624</v>
      </c>
      <c r="G319">
        <v>182</v>
      </c>
      <c r="H319" s="14">
        <f>$N$2*B319+$O$2*C319+$P$2*D319+$Q$2*E319</f>
        <v>9901627.418115858</v>
      </c>
      <c r="J319" s="13">
        <f t="shared" si="12"/>
        <v>-98372.581884142011</v>
      </c>
      <c r="K319" s="28">
        <f t="shared" si="13"/>
        <v>-9.8372581884141885E-3</v>
      </c>
    </row>
    <row r="320" spans="1:11">
      <c r="A320" s="1">
        <v>319</v>
      </c>
      <c r="B320" s="28">
        <f>Data!D323/Data!D322</f>
        <v>1.0030619150033835</v>
      </c>
      <c r="C320" s="28">
        <f>Data!H323/Data!H322</f>
        <v>1.0067514098164019</v>
      </c>
      <c r="D320" s="28">
        <f>Data!L323/Data!L322</f>
        <v>1.0023584031187214</v>
      </c>
      <c r="E320" s="28">
        <f>Data!P323/Data!P322</f>
        <v>0.98741721061497001</v>
      </c>
      <c r="F320" s="105">
        <f t="shared" si="11"/>
        <v>0.16216989001100632</v>
      </c>
      <c r="G320">
        <v>181</v>
      </c>
      <c r="H320" s="14">
        <f>$N$2*B320+$O$2*C320+$P$2*D320+$Q$2*E320</f>
        <v>10009694.713811401</v>
      </c>
      <c r="J320" s="13">
        <f t="shared" si="12"/>
        <v>9694.7138114012778</v>
      </c>
      <c r="K320" s="28">
        <f t="shared" si="13"/>
        <v>9.6947138114011899E-4</v>
      </c>
    </row>
    <row r="321" spans="1:11">
      <c r="A321" s="1">
        <v>320</v>
      </c>
      <c r="B321" s="28">
        <f>Data!D324/Data!D323</f>
        <v>1.0032700257534937</v>
      </c>
      <c r="C321" s="28">
        <f>Data!H324/Data!H323</f>
        <v>0.96643522563446049</v>
      </c>
      <c r="D321" s="28">
        <f>Data!L324/Data!L323</f>
        <v>0.96848700579578773</v>
      </c>
      <c r="E321" s="28">
        <f>Data!P324/Data!P323</f>
        <v>0.97603068080980615</v>
      </c>
      <c r="F321" s="105">
        <f t="shared" si="11"/>
        <v>0.1638079697080872</v>
      </c>
      <c r="G321">
        <v>180</v>
      </c>
      <c r="H321" s="14">
        <f>$N$2*B321+$O$2*C321+$P$2*D321+$Q$2*E321</f>
        <v>9832934.1473327558</v>
      </c>
      <c r="J321" s="13">
        <f t="shared" si="12"/>
        <v>-167065.85266724415</v>
      </c>
      <c r="K321" s="28">
        <f t="shared" si="13"/>
        <v>-1.6706585266724416E-2</v>
      </c>
    </row>
    <row r="322" spans="1:11">
      <c r="A322" s="1">
        <v>321</v>
      </c>
      <c r="B322" s="28">
        <f>Data!D325/Data!D324</f>
        <v>0.98682419536675658</v>
      </c>
      <c r="C322" s="28">
        <f>Data!H325/Data!H324</f>
        <v>0.99622548634121233</v>
      </c>
      <c r="D322" s="28">
        <f>Data!L325/Data!L324</f>
        <v>0.99100569228466362</v>
      </c>
      <c r="E322" s="28">
        <f>Data!P325/Data!P324</f>
        <v>0.98783641059675631</v>
      </c>
      <c r="F322" s="105">
        <f t="shared" ref="F322:F385" si="14">F$503^G322</f>
        <v>0.16546259566473454</v>
      </c>
      <c r="G322">
        <v>179</v>
      </c>
      <c r="H322" s="14">
        <f>$N$2*B322+$O$2*C322+$P$2*D322+$Q$2*E322</f>
        <v>9902651.7539688405</v>
      </c>
      <c r="J322" s="13">
        <f t="shared" si="12"/>
        <v>-97348.246031159535</v>
      </c>
      <c r="K322" s="28">
        <f t="shared" si="13"/>
        <v>-9.7348246031159213E-3</v>
      </c>
    </row>
    <row r="323" spans="1:11">
      <c r="A323" s="1">
        <v>322</v>
      </c>
      <c r="B323" s="28">
        <f>Data!D326/Data!D325</f>
        <v>0.98705757560992069</v>
      </c>
      <c r="C323" s="28">
        <f>Data!H326/Data!H325</f>
        <v>0.97917962046045992</v>
      </c>
      <c r="D323" s="28">
        <f>Data!L326/Data!L325</f>
        <v>0.97975654009893587</v>
      </c>
      <c r="E323" s="28">
        <f>Data!P326/Data!P325</f>
        <v>0.98397887814859442</v>
      </c>
      <c r="F323" s="105">
        <f t="shared" si="14"/>
        <v>0.16713393501488336</v>
      </c>
      <c r="G323">
        <v>178</v>
      </c>
      <c r="H323" s="14">
        <f>$N$2*B323+$O$2*C323+$P$2*D323+$Q$2*E323</f>
        <v>9833483.4602171853</v>
      </c>
      <c r="J323" s="13">
        <f t="shared" ref="J323:J386" si="15">H323-SUM($N$2:$Q$2)</f>
        <v>-166516.53978281468</v>
      </c>
      <c r="K323" s="28">
        <f t="shared" ref="K323:K386" si="16">(H323/$R$2)-1</f>
        <v>-1.66516539782815E-2</v>
      </c>
    </row>
    <row r="324" spans="1:11">
      <c r="A324" s="1">
        <v>323</v>
      </c>
      <c r="B324" s="28">
        <f>Data!D327/Data!D326</f>
        <v>1.0049570143994166</v>
      </c>
      <c r="C324" s="28">
        <f>Data!H327/Data!H326</f>
        <v>1.0016784156043548</v>
      </c>
      <c r="D324" s="28">
        <f>Data!L327/Data!L326</f>
        <v>1.0008714036031157</v>
      </c>
      <c r="E324" s="28">
        <f>Data!P327/Data!P326</f>
        <v>0.99751471958521598</v>
      </c>
      <c r="F324" s="105">
        <f t="shared" si="14"/>
        <v>0.16882215658069027</v>
      </c>
      <c r="G324">
        <v>177</v>
      </c>
      <c r="H324" s="14">
        <f>$N$2*B324+$O$2*C324+$P$2*D324+$Q$2*E324</f>
        <v>10020764.147184279</v>
      </c>
      <c r="J324" s="13">
        <f t="shared" si="15"/>
        <v>20764.147184278816</v>
      </c>
      <c r="K324" s="28">
        <f t="shared" si="16"/>
        <v>2.0764147184277881E-3</v>
      </c>
    </row>
    <row r="325" spans="1:11">
      <c r="A325" s="1">
        <v>324</v>
      </c>
      <c r="B325" s="28">
        <f>Data!D328/Data!D327</f>
        <v>0.9980955936420034</v>
      </c>
      <c r="C325" s="28">
        <f>Data!H328/Data!H327</f>
        <v>0.99358724042027946</v>
      </c>
      <c r="D325" s="28">
        <f>Data!L328/Data!L327</f>
        <v>0.99682595836108812</v>
      </c>
      <c r="E325" s="28">
        <f>Data!P328/Data!P327</f>
        <v>0.98694341737737357</v>
      </c>
      <c r="F325" s="105">
        <f t="shared" si="14"/>
        <v>0.17052743088958613</v>
      </c>
      <c r="G325">
        <v>176</v>
      </c>
      <c r="H325" s="14">
        <f>$N$2*B325+$O$2*C325+$P$2*D325+$Q$2*E325</f>
        <v>9943856.8889446873</v>
      </c>
      <c r="J325" s="13">
        <f t="shared" si="15"/>
        <v>-56143.111055312678</v>
      </c>
      <c r="K325" s="28">
        <f t="shared" si="16"/>
        <v>-5.6143111055312334E-3</v>
      </c>
    </row>
    <row r="326" spans="1:11">
      <c r="A326" s="1">
        <v>325</v>
      </c>
      <c r="B326" s="28">
        <f>Data!D329/Data!D328</f>
        <v>1.0029052181109344</v>
      </c>
      <c r="C326" s="28">
        <f>Data!H329/Data!H328</f>
        <v>0.99858383639053971</v>
      </c>
      <c r="D326" s="28">
        <f>Data!L329/Data!L328</f>
        <v>0.99938857408379889</v>
      </c>
      <c r="E326" s="28">
        <f>Data!P329/Data!P328</f>
        <v>1.0041468558805611</v>
      </c>
      <c r="F326" s="105">
        <f t="shared" si="14"/>
        <v>0.17224993019150114</v>
      </c>
      <c r="G326">
        <v>175</v>
      </c>
      <c r="H326" s="14">
        <f>$N$2*B326+$O$2*C326+$P$2*D326+$Q$2*E326</f>
        <v>10015054.667460278</v>
      </c>
      <c r="J326" s="13">
        <f t="shared" si="15"/>
        <v>15054.667460277677</v>
      </c>
      <c r="K326" s="28">
        <f t="shared" si="16"/>
        <v>1.5054667460276949E-3</v>
      </c>
    </row>
    <row r="327" spans="1:11">
      <c r="A327" s="1">
        <v>326</v>
      </c>
      <c r="B327" s="28">
        <f>Data!D330/Data!D329</f>
        <v>1.0154775458188505</v>
      </c>
      <c r="C327" s="28">
        <f>Data!H330/Data!H329</f>
        <v>1.0153795948815831</v>
      </c>
      <c r="D327" s="28">
        <f>Data!L330/Data!L329</f>
        <v>1.0186145531710253</v>
      </c>
      <c r="E327" s="28">
        <f>Data!P330/Data!P329</f>
        <v>1.0059962618357401</v>
      </c>
      <c r="F327" s="105">
        <f t="shared" si="14"/>
        <v>0.17398982847626379</v>
      </c>
      <c r="G327">
        <v>174</v>
      </c>
      <c r="H327" s="14">
        <f>$N$2*B327+$O$2*C327+$P$2*D327+$Q$2*E327</f>
        <v>10138656.044762658</v>
      </c>
      <c r="J327" s="13">
        <f t="shared" si="15"/>
        <v>138656.04476265796</v>
      </c>
      <c r="K327" s="28">
        <f t="shared" si="16"/>
        <v>1.3865604476265725E-2</v>
      </c>
    </row>
    <row r="328" spans="1:11">
      <c r="A328" s="1">
        <v>327</v>
      </c>
      <c r="B328" s="28">
        <f>Data!D331/Data!D330</f>
        <v>0.99323155386542661</v>
      </c>
      <c r="C328" s="28">
        <f>Data!H331/Data!H330</f>
        <v>1.0119872610824228</v>
      </c>
      <c r="D328" s="28">
        <f>Data!L331/Data!L330</f>
        <v>1.0181653548800511</v>
      </c>
      <c r="E328" s="28">
        <f>Data!P331/Data!P330</f>
        <v>1.0180224262287916</v>
      </c>
      <c r="F328" s="105">
        <f t="shared" si="14"/>
        <v>0.17574730149117554</v>
      </c>
      <c r="G328">
        <v>173</v>
      </c>
      <c r="H328" s="14">
        <f>$N$2*B328+$O$2*C328+$P$2*D328+$Q$2*E328</f>
        <v>10063098.206046609</v>
      </c>
      <c r="J328" s="13">
        <f t="shared" si="15"/>
        <v>63098.206046609208</v>
      </c>
      <c r="K328" s="28">
        <f t="shared" si="16"/>
        <v>6.3098206046610095E-3</v>
      </c>
    </row>
    <row r="329" spans="1:11">
      <c r="A329" s="1">
        <v>328</v>
      </c>
      <c r="B329" s="28">
        <f>Data!D332/Data!D331</f>
        <v>1.0004685765527586</v>
      </c>
      <c r="C329" s="28">
        <f>Data!H332/Data!H331</f>
        <v>0.99913987044786789</v>
      </c>
      <c r="D329" s="28">
        <f>Data!L332/Data!L331</f>
        <v>1.0092220941556533</v>
      </c>
      <c r="E329" s="28">
        <f>Data!P332/Data!P331</f>
        <v>0.99244834005687366</v>
      </c>
      <c r="F329" s="105">
        <f t="shared" si="14"/>
        <v>0.1775225267587632</v>
      </c>
      <c r="G329">
        <v>172</v>
      </c>
      <c r="H329" s="14">
        <f>$N$2*B329+$O$2*C329+$P$2*D329+$Q$2*E329</f>
        <v>9993412.6918240376</v>
      </c>
      <c r="J329" s="13">
        <f t="shared" si="15"/>
        <v>-6587.3081759624183</v>
      </c>
      <c r="K329" s="28">
        <f t="shared" si="16"/>
        <v>-6.5873081759626473E-4</v>
      </c>
    </row>
    <row r="330" spans="1:11">
      <c r="A330" s="1">
        <v>329</v>
      </c>
      <c r="B330" s="28">
        <f>Data!D333/Data!D332</f>
        <v>0.9576765298480383</v>
      </c>
      <c r="C330" s="28">
        <f>Data!H333/Data!H332</f>
        <v>0.9710767749124084</v>
      </c>
      <c r="D330" s="28">
        <f>Data!L333/Data!L332</f>
        <v>0.97265057176499004</v>
      </c>
      <c r="E330" s="28">
        <f>Data!P333/Data!P332</f>
        <v>1.0031858450351838</v>
      </c>
      <c r="F330" s="105">
        <f t="shared" si="14"/>
        <v>0.17931568359471028</v>
      </c>
      <c r="G330">
        <v>171</v>
      </c>
      <c r="H330" s="14">
        <f>$N$2*B330+$O$2*C330+$P$2*D330+$Q$2*E330</f>
        <v>9722958.7059647366</v>
      </c>
      <c r="J330" s="13">
        <f t="shared" si="15"/>
        <v>-277041.29403526336</v>
      </c>
      <c r="K330" s="28">
        <f t="shared" si="16"/>
        <v>-2.770412940352629E-2</v>
      </c>
    </row>
    <row r="331" spans="1:11">
      <c r="A331" s="1">
        <v>330</v>
      </c>
      <c r="B331" s="28">
        <f>Data!D334/Data!D333</f>
        <v>1.0021335637467599</v>
      </c>
      <c r="C331" s="28">
        <f>Data!H334/Data!H333</f>
        <v>0.99853978367380647</v>
      </c>
      <c r="D331" s="28">
        <f>Data!L334/Data!L333</f>
        <v>0.99727776023044201</v>
      </c>
      <c r="E331" s="28">
        <f>Data!P334/Data!P333</f>
        <v>0.98283149685326476</v>
      </c>
      <c r="F331" s="105">
        <f t="shared" si="14"/>
        <v>0.18112695312596999</v>
      </c>
      <c r="G331">
        <v>170</v>
      </c>
      <c r="H331" s="14">
        <f>$N$2*B331+$O$2*C331+$P$2*D331+$Q$2*E331</f>
        <v>9967094.3599454314</v>
      </c>
      <c r="J331" s="13">
        <f t="shared" si="15"/>
        <v>-32905.640054568648</v>
      </c>
      <c r="K331" s="28">
        <f t="shared" si="16"/>
        <v>-3.2905640054569085E-3</v>
      </c>
    </row>
    <row r="332" spans="1:11">
      <c r="A332" s="1">
        <v>331</v>
      </c>
      <c r="B332" s="28">
        <f>Data!D335/Data!D334</f>
        <v>0.98141335522382012</v>
      </c>
      <c r="C332" s="28">
        <f>Data!H335/Data!H334</f>
        <v>1.0022672581045295</v>
      </c>
      <c r="D332" s="28">
        <f>Data!L335/Data!L334</f>
        <v>1.0075598680140407</v>
      </c>
      <c r="E332" s="28">
        <f>Data!P335/Data!P334</f>
        <v>0.99262396906791539</v>
      </c>
      <c r="F332" s="105">
        <f t="shared" si="14"/>
        <v>0.1829565183090606</v>
      </c>
      <c r="G332">
        <v>169</v>
      </c>
      <c r="H332" s="14">
        <f>$N$2*B332+$O$2*C332+$P$2*D332+$Q$2*E332</f>
        <v>9925263.00135874</v>
      </c>
      <c r="J332" s="13">
        <f t="shared" si="15"/>
        <v>-74736.998641259968</v>
      </c>
      <c r="K332" s="28">
        <f t="shared" si="16"/>
        <v>-7.4736998641260488E-3</v>
      </c>
    </row>
    <row r="333" spans="1:11">
      <c r="A333" s="1">
        <v>332</v>
      </c>
      <c r="B333" s="28">
        <f>Data!D336/Data!D335</f>
        <v>1.0116164259949305</v>
      </c>
      <c r="C333" s="28">
        <f>Data!H336/Data!H335</f>
        <v>0.97921613108127747</v>
      </c>
      <c r="D333" s="28">
        <f>Data!L336/Data!L335</f>
        <v>0.98599006201379968</v>
      </c>
      <c r="E333" s="28">
        <f>Data!P336/Data!P335</f>
        <v>1.0064112603559707</v>
      </c>
      <c r="F333" s="105">
        <f t="shared" si="14"/>
        <v>0.18480456394854605</v>
      </c>
      <c r="G333">
        <v>168</v>
      </c>
      <c r="H333" s="14">
        <f>$N$2*B333+$O$2*C333+$P$2*D333+$Q$2*E333</f>
        <v>9982926.6799492948</v>
      </c>
      <c r="J333" s="13">
        <f t="shared" si="15"/>
        <v>-17073.320050705224</v>
      </c>
      <c r="K333" s="28">
        <f t="shared" si="16"/>
        <v>-1.7073320050705609E-3</v>
      </c>
    </row>
    <row r="334" spans="1:11">
      <c r="A334" s="1">
        <v>333</v>
      </c>
      <c r="B334" s="28">
        <f>Data!D337/Data!D336</f>
        <v>1.0092483025540799</v>
      </c>
      <c r="C334" s="28">
        <f>Data!H337/Data!H336</f>
        <v>0.99162368957252478</v>
      </c>
      <c r="D334" s="28">
        <f>Data!L337/Data!L336</f>
        <v>0.99810141614660997</v>
      </c>
      <c r="E334" s="28">
        <f>Data!P337/Data!P336</f>
        <v>0.98608381140657786</v>
      </c>
      <c r="F334" s="105">
        <f t="shared" si="14"/>
        <v>0.1866712767157031</v>
      </c>
      <c r="G334">
        <v>167</v>
      </c>
      <c r="H334" s="14">
        <f>$N$2*B334+$O$2*C334+$P$2*D334+$Q$2*E334</f>
        <v>9982133.3178936597</v>
      </c>
      <c r="J334" s="13">
        <f t="shared" si="15"/>
        <v>-17866.682106340304</v>
      </c>
      <c r="K334" s="28">
        <f t="shared" si="16"/>
        <v>-1.7866682106340015E-3</v>
      </c>
    </row>
    <row r="335" spans="1:11">
      <c r="A335" s="1">
        <v>334</v>
      </c>
      <c r="B335" s="28">
        <f>Data!D338/Data!D337</f>
        <v>0.98079916969382452</v>
      </c>
      <c r="C335" s="28">
        <f>Data!H338/Data!H337</f>
        <v>0.99708079476081268</v>
      </c>
      <c r="D335" s="28">
        <f>Data!L338/Data!L337</f>
        <v>0.99845183980363938</v>
      </c>
      <c r="E335" s="28">
        <f>Data!P338/Data!P337</f>
        <v>0.98486383536908173</v>
      </c>
      <c r="F335" s="105">
        <f t="shared" si="14"/>
        <v>0.18855684516737689</v>
      </c>
      <c r="G335">
        <v>166</v>
      </c>
      <c r="H335" s="14">
        <f>$N$2*B335+$O$2*C335+$P$2*D335+$Q$2*E335</f>
        <v>9882618.5735995397</v>
      </c>
      <c r="J335" s="13">
        <f t="shared" si="15"/>
        <v>-117381.4264004603</v>
      </c>
      <c r="K335" s="28">
        <f t="shared" si="16"/>
        <v>-1.1738142640046023E-2</v>
      </c>
    </row>
    <row r="336" spans="1:11">
      <c r="A336" s="1">
        <v>335</v>
      </c>
      <c r="B336" s="28">
        <f>Data!D339/Data!D338</f>
        <v>0.99165575942187645</v>
      </c>
      <c r="C336" s="28">
        <f>Data!H339/Data!H338</f>
        <v>0.9780567726487791</v>
      </c>
      <c r="D336" s="28">
        <f>Data!L339/Data!L338</f>
        <v>0.98161551952028925</v>
      </c>
      <c r="E336" s="28">
        <f>Data!P339/Data!P338</f>
        <v>1.0106026538383905</v>
      </c>
      <c r="F336" s="105">
        <f t="shared" si="14"/>
        <v>0.19046145976502715</v>
      </c>
      <c r="G336">
        <v>165</v>
      </c>
      <c r="H336" s="14">
        <f>$N$2*B336+$O$2*C336+$P$2*D336+$Q$2*E336</f>
        <v>9903614.182830913</v>
      </c>
      <c r="J336" s="13">
        <f t="shared" si="15"/>
        <v>-96385.817169087008</v>
      </c>
      <c r="K336" s="28">
        <f t="shared" si="16"/>
        <v>-9.6385817169086785E-3</v>
      </c>
    </row>
    <row r="337" spans="1:11">
      <c r="A337" s="1">
        <v>336</v>
      </c>
      <c r="B337" s="28">
        <f>Data!D340/Data!D339</f>
        <v>0.99720424826275422</v>
      </c>
      <c r="C337" s="28">
        <f>Data!H340/Data!H339</f>
        <v>0.98302332909867607</v>
      </c>
      <c r="D337" s="28">
        <f>Data!L340/Data!L339</f>
        <v>0.98375867351417001</v>
      </c>
      <c r="E337" s="28">
        <f>Data!P340/Data!P339</f>
        <v>0.96631643522765043</v>
      </c>
      <c r="F337" s="105">
        <f t="shared" si="14"/>
        <v>0.19238531289396682</v>
      </c>
      <c r="G337">
        <v>164</v>
      </c>
      <c r="H337" s="14">
        <f>$N$2*B337+$O$2*C337+$P$2*D337+$Q$2*E337</f>
        <v>9854278.5243165158</v>
      </c>
      <c r="J337" s="13">
        <f t="shared" si="15"/>
        <v>-145721.47568348423</v>
      </c>
      <c r="K337" s="28">
        <f t="shared" si="16"/>
        <v>-1.4572147568348459E-2</v>
      </c>
    </row>
    <row r="338" spans="1:11">
      <c r="A338" s="1">
        <v>337</v>
      </c>
      <c r="B338" s="28">
        <f>Data!D341/Data!D340</f>
        <v>0.97537734153901434</v>
      </c>
      <c r="C338" s="28">
        <f>Data!H341/Data!H340</f>
        <v>0.99925070677512795</v>
      </c>
      <c r="D338" s="28">
        <f>Data!L341/Data!L340</f>
        <v>0.98721913748316603</v>
      </c>
      <c r="E338" s="28">
        <f>Data!P341/Data!P340</f>
        <v>1.017892416528366</v>
      </c>
      <c r="F338" s="105">
        <f t="shared" si="14"/>
        <v>0.19432859888279477</v>
      </c>
      <c r="G338">
        <v>163</v>
      </c>
      <c r="H338" s="14">
        <f>$N$2*B338+$O$2*C338+$P$2*D338+$Q$2*E338</f>
        <v>9922265.4570213407</v>
      </c>
      <c r="J338" s="13">
        <f t="shared" si="15"/>
        <v>-77734.542978659272</v>
      </c>
      <c r="K338" s="28">
        <f t="shared" si="16"/>
        <v>-7.7734542978659116E-3</v>
      </c>
    </row>
    <row r="339" spans="1:11">
      <c r="A339" s="1">
        <v>338</v>
      </c>
      <c r="B339" s="28">
        <f>Data!D342/Data!D341</f>
        <v>0.99507287068814509</v>
      </c>
      <c r="C339" s="28">
        <f>Data!H342/Data!H341</f>
        <v>0.98819782865915362</v>
      </c>
      <c r="D339" s="28">
        <f>Data!L342/Data!L341</f>
        <v>0.98326768419686439</v>
      </c>
      <c r="E339" s="28">
        <f>Data!P342/Data!P341</f>
        <v>1.0062108981692519</v>
      </c>
      <c r="F339" s="105">
        <f t="shared" si="14"/>
        <v>0.19629151402302503</v>
      </c>
      <c r="G339">
        <v>162</v>
      </c>
      <c r="H339" s="14">
        <f>$N$2*B339+$O$2*C339+$P$2*D339+$Q$2*E339</f>
        <v>9940574.4492654093</v>
      </c>
      <c r="J339" s="13">
        <f t="shared" si="15"/>
        <v>-59425.550734590739</v>
      </c>
      <c r="K339" s="28">
        <f t="shared" si="16"/>
        <v>-5.9425550734590882E-3</v>
      </c>
    </row>
    <row r="340" spans="1:11">
      <c r="A340" s="1">
        <v>339</v>
      </c>
      <c r="B340" s="28">
        <f>Data!D343/Data!D342</f>
        <v>0.98941178415280229</v>
      </c>
      <c r="C340" s="28">
        <f>Data!H343/Data!H342</f>
        <v>0.97610271802937487</v>
      </c>
      <c r="D340" s="28">
        <f>Data!L343/Data!L342</f>
        <v>0.950239801729172</v>
      </c>
      <c r="E340" s="28">
        <f>Data!P343/Data!P342</f>
        <v>0.90918491614918895</v>
      </c>
      <c r="F340" s="105">
        <f t="shared" si="14"/>
        <v>0.19827425658891415</v>
      </c>
      <c r="G340">
        <v>161</v>
      </c>
      <c r="H340" s="14">
        <f>$N$2*B340+$O$2*C340+$P$2*D340+$Q$2*E340</f>
        <v>9654564.9247268829</v>
      </c>
      <c r="J340" s="13">
        <f t="shared" si="15"/>
        <v>-345435.07527311705</v>
      </c>
      <c r="K340" s="28">
        <f t="shared" si="16"/>
        <v>-3.4543507527311723E-2</v>
      </c>
    </row>
    <row r="341" spans="1:11">
      <c r="A341" s="1">
        <v>340</v>
      </c>
      <c r="B341" s="28">
        <f>Data!D344/Data!D343</f>
        <v>1.0249749607181908</v>
      </c>
      <c r="C341" s="28">
        <f>Data!H344/Data!H343</f>
        <v>0.971581307417832</v>
      </c>
      <c r="D341" s="28">
        <f>Data!L344/Data!L343</f>
        <v>0.95360327371354536</v>
      </c>
      <c r="E341" s="28">
        <f>Data!P344/Data!P343</f>
        <v>1.0308809994802743</v>
      </c>
      <c r="F341" s="105">
        <f t="shared" si="14"/>
        <v>0.20027702685748905</v>
      </c>
      <c r="G341">
        <v>160</v>
      </c>
      <c r="H341" s="14">
        <f>$N$2*B341+$O$2*C341+$P$2*D341+$Q$2*E341</f>
        <v>10030009.037800355</v>
      </c>
      <c r="J341" s="13">
        <f t="shared" si="15"/>
        <v>30009.037800354883</v>
      </c>
      <c r="K341" s="28">
        <f t="shared" si="16"/>
        <v>3.0009037800355909E-3</v>
      </c>
    </row>
    <row r="342" spans="1:11">
      <c r="A342" s="1">
        <v>341</v>
      </c>
      <c r="B342" s="28">
        <f>Data!D345/Data!D344</f>
        <v>1.0088376933652916</v>
      </c>
      <c r="C342" s="28">
        <f>Data!H345/Data!H344</f>
        <v>1.0593852137260764</v>
      </c>
      <c r="D342" s="28">
        <f>Data!L345/Data!L344</f>
        <v>1.0712975350662388</v>
      </c>
      <c r="E342" s="28">
        <f>Data!P345/Data!P344</f>
        <v>1.0115630827017876</v>
      </c>
      <c r="F342" s="105">
        <f t="shared" si="14"/>
        <v>0.20230002712877682</v>
      </c>
      <c r="G342">
        <v>159</v>
      </c>
      <c r="H342" s="14">
        <f>$N$2*B342+$O$2*C342+$P$2*D342+$Q$2*E342</f>
        <v>10307930.115109209</v>
      </c>
      <c r="J342" s="13">
        <f t="shared" si="15"/>
        <v>307930.11510920897</v>
      </c>
      <c r="K342" s="28">
        <f t="shared" si="16"/>
        <v>3.0793011510920953E-2</v>
      </c>
    </row>
    <row r="343" spans="1:11">
      <c r="A343" s="1">
        <v>342</v>
      </c>
      <c r="B343" s="28">
        <f>Data!D346/Data!D345</f>
        <v>0.98615030282075289</v>
      </c>
      <c r="C343" s="28">
        <f>Data!H346/Data!H345</f>
        <v>1.0047194481733195</v>
      </c>
      <c r="D343" s="28">
        <f>Data!L346/Data!L345</f>
        <v>0.99156271692581854</v>
      </c>
      <c r="E343" s="28">
        <f>Data!P346/Data!P345</f>
        <v>1.0348556918346923</v>
      </c>
      <c r="F343" s="105">
        <f t="shared" si="14"/>
        <v>0.20434346174623924</v>
      </c>
      <c r="G343">
        <v>158</v>
      </c>
      <c r="H343" s="14">
        <f>$N$2*B343+$O$2*C343+$P$2*D343+$Q$2*E343</f>
        <v>10020033.656398172</v>
      </c>
      <c r="J343" s="13">
        <f t="shared" si="15"/>
        <v>20033.656398171559</v>
      </c>
      <c r="K343" s="28">
        <f t="shared" si="16"/>
        <v>2.0033656398170674E-3</v>
      </c>
    </row>
    <row r="344" spans="1:11">
      <c r="A344" s="1">
        <v>343</v>
      </c>
      <c r="B344" s="28">
        <f>Data!D347/Data!D346</f>
        <v>1.0144767378516069</v>
      </c>
      <c r="C344" s="28">
        <f>Data!H347/Data!H346</f>
        <v>0.98844090496479842</v>
      </c>
      <c r="D344" s="28">
        <f>Data!L347/Data!L346</f>
        <v>1.0005040797243243</v>
      </c>
      <c r="E344" s="28">
        <f>Data!P347/Data!P346</f>
        <v>0.96487342573509116</v>
      </c>
      <c r="F344" s="105">
        <f t="shared" si="14"/>
        <v>0.20640753711741333</v>
      </c>
      <c r="G344">
        <v>157</v>
      </c>
      <c r="H344" s="14">
        <f>$N$2*B344+$O$2*C344+$P$2*D344+$Q$2*E344</f>
        <v>9953480.5974953286</v>
      </c>
      <c r="J344" s="13">
        <f t="shared" si="15"/>
        <v>-46519.402504671365</v>
      </c>
      <c r="K344" s="28">
        <f t="shared" si="16"/>
        <v>-4.6519402504671126E-3</v>
      </c>
    </row>
    <row r="345" spans="1:11">
      <c r="A345" s="1">
        <v>344</v>
      </c>
      <c r="B345" s="28">
        <f>Data!D348/Data!D347</f>
        <v>1.0077851143703633</v>
      </c>
      <c r="C345" s="28">
        <f>Data!H348/Data!H347</f>
        <v>1.0166352847691271</v>
      </c>
      <c r="D345" s="28">
        <f>Data!L348/Data!L347</f>
        <v>1.0172563683150933</v>
      </c>
      <c r="E345" s="28">
        <f>Data!P348/Data!P347</f>
        <v>1.0286188980452533</v>
      </c>
      <c r="F345" s="105">
        <f t="shared" si="14"/>
        <v>0.20849246173476096</v>
      </c>
      <c r="G345">
        <v>156</v>
      </c>
      <c r="H345" s="14">
        <f>$N$2*B345+$O$2*C345+$P$2*D345+$Q$2*E345</f>
        <v>10155540.476194434</v>
      </c>
      <c r="J345" s="13">
        <f t="shared" si="15"/>
        <v>155540.47619443387</v>
      </c>
      <c r="K345" s="28">
        <f t="shared" si="16"/>
        <v>1.5554047619443345E-2</v>
      </c>
    </row>
    <row r="346" spans="1:11">
      <c r="A346" s="1">
        <v>345</v>
      </c>
      <c r="B346" s="28">
        <f>Data!D349/Data!D348</f>
        <v>0.99699766832528069</v>
      </c>
      <c r="C346" s="28">
        <f>Data!H349/Data!H348</f>
        <v>0.99240992140924855</v>
      </c>
      <c r="D346" s="28">
        <f>Data!L349/Data!L348</f>
        <v>0.98757563114940961</v>
      </c>
      <c r="E346" s="28">
        <f>Data!P349/Data!P348</f>
        <v>0.98610530059926427</v>
      </c>
      <c r="F346" s="105">
        <f t="shared" si="14"/>
        <v>0.21059844619672827</v>
      </c>
      <c r="G346">
        <v>155</v>
      </c>
      <c r="H346" s="14">
        <f>$N$2*B346+$O$2*C346+$P$2*D346+$Q$2*E346</f>
        <v>9925006.6698768064</v>
      </c>
      <c r="J346" s="13">
        <f t="shared" si="15"/>
        <v>-74993.330123193562</v>
      </c>
      <c r="K346" s="28">
        <f t="shared" si="16"/>
        <v>-7.4993330123193092E-3</v>
      </c>
    </row>
    <row r="347" spans="1:11">
      <c r="A347" s="1">
        <v>346</v>
      </c>
      <c r="B347" s="28">
        <f>Data!D350/Data!D349</f>
        <v>1.0166786816182494</v>
      </c>
      <c r="C347" s="28">
        <f>Data!H350/Data!H349</f>
        <v>1.0071287974480885</v>
      </c>
      <c r="D347" s="28">
        <f>Data!L350/Data!L349</f>
        <v>1.0005558980125071</v>
      </c>
      <c r="E347" s="28">
        <f>Data!P350/Data!P349</f>
        <v>1.028409096813387</v>
      </c>
      <c r="F347" s="105">
        <f t="shared" si="14"/>
        <v>0.21272570322901846</v>
      </c>
      <c r="G347">
        <v>154</v>
      </c>
      <c r="H347" s="14">
        <f>$N$2*B347+$O$2*C347+$P$2*D347+$Q$2*E347</f>
        <v>10145475.210456543</v>
      </c>
      <c r="J347" s="13">
        <f t="shared" si="15"/>
        <v>145475.21045654267</v>
      </c>
      <c r="K347" s="28">
        <f t="shared" si="16"/>
        <v>1.4547521045654266E-2</v>
      </c>
    </row>
    <row r="348" spans="1:11">
      <c r="A348" s="1">
        <v>347</v>
      </c>
      <c r="B348" s="28">
        <f>Data!D351/Data!D350</f>
        <v>1.0073381310887595</v>
      </c>
      <c r="C348" s="28">
        <f>Data!H351/Data!H350</f>
        <v>1.0153003780162067</v>
      </c>
      <c r="D348" s="28">
        <f>Data!L351/Data!L350</f>
        <v>1.023445245336388</v>
      </c>
      <c r="E348" s="28">
        <f>Data!P351/Data!P350</f>
        <v>0.99364223327976708</v>
      </c>
      <c r="F348" s="105">
        <f t="shared" si="14"/>
        <v>0.21487444770607925</v>
      </c>
      <c r="G348">
        <v>153</v>
      </c>
      <c r="H348" s="14">
        <f>$N$2*B348+$O$2*C348+$P$2*D348+$Q$2*E348</f>
        <v>10085983.37029958</v>
      </c>
      <c r="J348" s="13">
        <f t="shared" si="15"/>
        <v>85983.370299579576</v>
      </c>
      <c r="K348" s="28">
        <f t="shared" si="16"/>
        <v>8.5983370299580475E-3</v>
      </c>
    </row>
    <row r="349" spans="1:11">
      <c r="A349" s="1">
        <v>348</v>
      </c>
      <c r="B349" s="28">
        <f>Data!D352/Data!D351</f>
        <v>0.99152253085765807</v>
      </c>
      <c r="C349" s="28">
        <f>Data!H352/Data!H351</f>
        <v>1.0031072509668295</v>
      </c>
      <c r="D349" s="28">
        <f>Data!L352/Data!L351</f>
        <v>0.99866798829309811</v>
      </c>
      <c r="E349" s="28">
        <f>Data!P352/Data!P351</f>
        <v>1.0217636678705633</v>
      </c>
      <c r="F349" s="105">
        <f t="shared" si="14"/>
        <v>0.21704489667280732</v>
      </c>
      <c r="G349">
        <v>152</v>
      </c>
      <c r="H349" s="14">
        <f>$N$2*B349+$O$2*C349+$P$2*D349+$Q$2*E349</f>
        <v>10017607.200365346</v>
      </c>
      <c r="J349" s="13">
        <f t="shared" si="15"/>
        <v>17607.200365345925</v>
      </c>
      <c r="K349" s="28">
        <f t="shared" si="16"/>
        <v>1.7607200365346021E-3</v>
      </c>
    </row>
    <row r="350" spans="1:11">
      <c r="A350" s="1">
        <v>349</v>
      </c>
      <c r="B350" s="28">
        <f>Data!D353/Data!D352</f>
        <v>0.97071426084038503</v>
      </c>
      <c r="C350" s="28">
        <f>Data!H353/Data!H352</f>
        <v>0.9682771961231319</v>
      </c>
      <c r="D350" s="28">
        <f>Data!L353/Data!L352</f>
        <v>0.94918415862949901</v>
      </c>
      <c r="E350" s="28">
        <f>Data!P353/Data!P352</f>
        <v>0.9904616822174761</v>
      </c>
      <c r="F350" s="105">
        <f t="shared" si="14"/>
        <v>0.21923726936647206</v>
      </c>
      <c r="G350">
        <v>151</v>
      </c>
      <c r="H350" s="14">
        <f>$N$2*B350+$O$2*C350+$P$2*D350+$Q$2*E350</f>
        <v>9717796.1547953878</v>
      </c>
      <c r="J350" s="13">
        <f t="shared" si="15"/>
        <v>-282203.84520461224</v>
      </c>
      <c r="K350" s="28">
        <f t="shared" si="16"/>
        <v>-2.8220384520461272E-2</v>
      </c>
    </row>
    <row r="351" spans="1:11">
      <c r="A351" s="1">
        <v>350</v>
      </c>
      <c r="B351" s="28">
        <f>Data!D354/Data!D353</f>
        <v>0.99469797711071972</v>
      </c>
      <c r="C351" s="28">
        <f>Data!H354/Data!H353</f>
        <v>0.99901861100996847</v>
      </c>
      <c r="D351" s="28">
        <f>Data!L354/Data!L353</f>
        <v>1.0093182761389325</v>
      </c>
      <c r="E351" s="28">
        <f>Data!P354/Data!P353</f>
        <v>0.95459094109168219</v>
      </c>
      <c r="F351" s="105">
        <f t="shared" si="14"/>
        <v>0.22145178723886064</v>
      </c>
      <c r="G351">
        <v>150</v>
      </c>
      <c r="H351" s="14">
        <f>$N$2*B351+$O$2*C351+$P$2*D351+$Q$2*E351</f>
        <v>9894347.8997950815</v>
      </c>
      <c r="J351" s="13">
        <f t="shared" si="15"/>
        <v>-105652.10020491853</v>
      </c>
      <c r="K351" s="28">
        <f t="shared" si="16"/>
        <v>-1.0565210020491822E-2</v>
      </c>
    </row>
    <row r="352" spans="1:11">
      <c r="A352" s="1">
        <v>351</v>
      </c>
      <c r="B352" s="28">
        <f>Data!D355/Data!D354</f>
        <v>1.0038442307849935</v>
      </c>
      <c r="C352" s="28">
        <f>Data!H355/Data!H354</f>
        <v>0.96500408508875257</v>
      </c>
      <c r="D352" s="28">
        <f>Data!L355/Data!L354</f>
        <v>0.97038414845600018</v>
      </c>
      <c r="E352" s="28">
        <f>Data!P355/Data!P354</f>
        <v>1.0093726465802066</v>
      </c>
      <c r="F352" s="105">
        <f t="shared" si="14"/>
        <v>0.22368867397864714</v>
      </c>
      <c r="G352">
        <v>149</v>
      </c>
      <c r="H352" s="14">
        <f>$N$2*B352+$O$2*C352+$P$2*D352+$Q$2*E352</f>
        <v>9899518.6200226434</v>
      </c>
      <c r="J352" s="13">
        <f t="shared" si="15"/>
        <v>-100481.37997735664</v>
      </c>
      <c r="K352" s="28">
        <f t="shared" si="16"/>
        <v>-1.0048137997735629E-2</v>
      </c>
    </row>
    <row r="353" spans="1:11">
      <c r="A353" s="1">
        <v>352</v>
      </c>
      <c r="B353" s="28">
        <f>Data!D356/Data!D355</f>
        <v>0.99470319261860041</v>
      </c>
      <c r="C353" s="28">
        <f>Data!H356/Data!H355</f>
        <v>1.0129625853381736</v>
      </c>
      <c r="D353" s="28">
        <f>Data!L356/Data!L355</f>
        <v>0.99657092433765171</v>
      </c>
      <c r="E353" s="28">
        <f>Data!P356/Data!P355</f>
        <v>0.97800721804335489</v>
      </c>
      <c r="F353" s="105">
        <f t="shared" si="14"/>
        <v>0.22594815553398703</v>
      </c>
      <c r="G353">
        <v>148</v>
      </c>
      <c r="H353" s="14">
        <f>$N$2*B353+$O$2*C353+$P$2*D353+$Q$2*E353</f>
        <v>9970285.8869132847</v>
      </c>
      <c r="J353" s="13">
        <f t="shared" si="15"/>
        <v>-29714.113086715341</v>
      </c>
      <c r="K353" s="28">
        <f t="shared" si="16"/>
        <v>-2.9714113086715122E-3</v>
      </c>
    </row>
    <row r="354" spans="1:11">
      <c r="A354" s="1">
        <v>353</v>
      </c>
      <c r="B354" s="28">
        <f>Data!D357/Data!D356</f>
        <v>1.0157016876359062</v>
      </c>
      <c r="C354" s="28">
        <f>Data!H357/Data!H356</f>
        <v>1.0291336873862673</v>
      </c>
      <c r="D354" s="28">
        <f>Data!L357/Data!L356</f>
        <v>1.034577168926855</v>
      </c>
      <c r="E354" s="28">
        <f>Data!P357/Data!P356</f>
        <v>1.0005488313057309</v>
      </c>
      <c r="F354" s="105">
        <f t="shared" si="14"/>
        <v>0.2282304601353404</v>
      </c>
      <c r="G354">
        <v>147</v>
      </c>
      <c r="H354" s="14">
        <f>$N$2*B354+$O$2*C354+$P$2*D354+$Q$2*E354</f>
        <v>10185882.644240744</v>
      </c>
      <c r="J354" s="13">
        <f t="shared" si="15"/>
        <v>185882.64424074441</v>
      </c>
      <c r="K354" s="28">
        <f t="shared" si="16"/>
        <v>1.8588264424074463E-2</v>
      </c>
    </row>
    <row r="355" spans="1:11">
      <c r="A355" s="1">
        <v>354</v>
      </c>
      <c r="B355" s="28">
        <f>Data!D358/Data!D357</f>
        <v>1.0144527660523655</v>
      </c>
      <c r="C355" s="28">
        <f>Data!H358/Data!H357</f>
        <v>0.99610807266447576</v>
      </c>
      <c r="D355" s="28">
        <f>Data!L358/Data!L357</f>
        <v>1.0011355452660433</v>
      </c>
      <c r="E355" s="28">
        <f>Data!P358/Data!P357</f>
        <v>0.9960486034408097</v>
      </c>
      <c r="F355" s="105">
        <f t="shared" si="14"/>
        <v>0.23053581831852568</v>
      </c>
      <c r="G355">
        <v>146</v>
      </c>
      <c r="H355" s="14">
        <f>$N$2*B355+$O$2*C355+$P$2*D355+$Q$2*E355</f>
        <v>10039368.034350552</v>
      </c>
      <c r="J355" s="13">
        <f t="shared" si="15"/>
        <v>39368.034350551665</v>
      </c>
      <c r="K355" s="28">
        <f t="shared" si="16"/>
        <v>3.9368034350550918E-3</v>
      </c>
    </row>
    <row r="356" spans="1:11">
      <c r="A356" s="1">
        <v>355</v>
      </c>
      <c r="B356" s="28">
        <f>Data!D359/Data!D358</f>
        <v>0.98603755186325304</v>
      </c>
      <c r="C356" s="28">
        <f>Data!H359/Data!H358</f>
        <v>1.0044997872591481</v>
      </c>
      <c r="D356" s="28">
        <f>Data!L359/Data!L358</f>
        <v>1.0046199460227776</v>
      </c>
      <c r="E356" s="28">
        <f>Data!P359/Data!P358</f>
        <v>1.0433849910107154</v>
      </c>
      <c r="F356" s="105">
        <f t="shared" si="14"/>
        <v>0.23286446294800572</v>
      </c>
      <c r="G356">
        <v>145</v>
      </c>
      <c r="H356" s="14">
        <f>$N$2*B356+$O$2*C356+$P$2*D356+$Q$2*E356</f>
        <v>10049039.497274665</v>
      </c>
      <c r="J356" s="13">
        <f t="shared" si="15"/>
        <v>49039.497274665162</v>
      </c>
      <c r="K356" s="28">
        <f t="shared" si="16"/>
        <v>4.90394972746655E-3</v>
      </c>
    </row>
    <row r="357" spans="1:11">
      <c r="A357" s="1">
        <v>356</v>
      </c>
      <c r="B357" s="28">
        <f>Data!D360/Data!D359</f>
        <v>0.99767552343140242</v>
      </c>
      <c r="C357" s="28">
        <f>Data!H360/Data!H359</f>
        <v>0.97990973838396067</v>
      </c>
      <c r="D357" s="28">
        <f>Data!L360/Data!L359</f>
        <v>0.98673960671926819</v>
      </c>
      <c r="E357" s="28">
        <f>Data!P360/Data!P359</f>
        <v>1.0048236410991647</v>
      </c>
      <c r="F357" s="105">
        <f t="shared" si="14"/>
        <v>0.23521662924040984</v>
      </c>
      <c r="G357">
        <v>144</v>
      </c>
      <c r="H357" s="14">
        <f>$N$2*B357+$O$2*C357+$P$2*D357+$Q$2*E357</f>
        <v>9926818.1977950893</v>
      </c>
      <c r="J357" s="13">
        <f t="shared" si="15"/>
        <v>-73181.802204910666</v>
      </c>
      <c r="K357" s="28">
        <f t="shared" si="16"/>
        <v>-7.3181802204910218E-3</v>
      </c>
    </row>
    <row r="358" spans="1:11">
      <c r="A358" s="1">
        <v>357</v>
      </c>
      <c r="B358" s="28">
        <f>Data!D361/Data!D360</f>
        <v>0.99910999246044574</v>
      </c>
      <c r="C358" s="28">
        <f>Data!H361/Data!H360</f>
        <v>1.0249395380309148</v>
      </c>
      <c r="D358" s="28">
        <f>Data!L361/Data!L360</f>
        <v>1.0276731131455534</v>
      </c>
      <c r="E358" s="28">
        <f>Data!P361/Data!P360</f>
        <v>1.0106870247893462</v>
      </c>
      <c r="F358" s="105">
        <f t="shared" si="14"/>
        <v>0.23759255478829278</v>
      </c>
      <c r="G358">
        <v>143</v>
      </c>
      <c r="H358" s="14">
        <f>$N$2*B358+$O$2*C358+$P$2*D358+$Q$2*E358</f>
        <v>10120305.746658772</v>
      </c>
      <c r="J358" s="13">
        <f t="shared" si="15"/>
        <v>120305.74665877223</v>
      </c>
      <c r="K358" s="28">
        <f t="shared" si="16"/>
        <v>1.2030574665877314E-2</v>
      </c>
    </row>
    <row r="359" spans="1:11">
      <c r="A359" s="1">
        <v>358</v>
      </c>
      <c r="B359" s="28">
        <f>Data!D362/Data!D361</f>
        <v>1.0072982406085003</v>
      </c>
      <c r="C359" s="28">
        <f>Data!H362/Data!H361</f>
        <v>0.98229940238732949</v>
      </c>
      <c r="D359" s="28">
        <f>Data!L362/Data!L361</f>
        <v>0.97856177621445728</v>
      </c>
      <c r="E359" s="28">
        <f>Data!P362/Data!P361</f>
        <v>0.96308211992776493</v>
      </c>
      <c r="F359" s="105">
        <f t="shared" si="14"/>
        <v>0.23999247958413411</v>
      </c>
      <c r="G359">
        <v>142</v>
      </c>
      <c r="H359" s="14">
        <f>$N$2*B359+$O$2*C359+$P$2*D359+$Q$2*E359</f>
        <v>9880817.1856659781</v>
      </c>
      <c r="J359" s="13">
        <f t="shared" si="15"/>
        <v>-119182.81433402188</v>
      </c>
      <c r="K359" s="28">
        <f t="shared" si="16"/>
        <v>-1.1918281433402234E-2</v>
      </c>
    </row>
    <row r="360" spans="1:11">
      <c r="A360" s="1">
        <v>359</v>
      </c>
      <c r="B360" s="28">
        <f>Data!D363/Data!D362</f>
        <v>0.9884962574211853</v>
      </c>
      <c r="C360" s="28">
        <f>Data!H363/Data!H362</f>
        <v>1.0166118600960818</v>
      </c>
      <c r="D360" s="28">
        <f>Data!L363/Data!L362</f>
        <v>1.0194213899661981</v>
      </c>
      <c r="E360" s="28">
        <f>Data!P363/Data!P362</f>
        <v>1.0333662337384988</v>
      </c>
      <c r="F360" s="105">
        <f t="shared" si="14"/>
        <v>0.24241664604457991</v>
      </c>
      <c r="G360">
        <v>141</v>
      </c>
      <c r="H360" s="14">
        <f>$N$2*B360+$O$2*C360+$P$2*D360+$Q$2*E360</f>
        <v>10089974.467416182</v>
      </c>
      <c r="J360" s="13">
        <f t="shared" si="15"/>
        <v>89974.46741618216</v>
      </c>
      <c r="K360" s="28">
        <f t="shared" si="16"/>
        <v>8.9974467416182868E-3</v>
      </c>
    </row>
    <row r="361" spans="1:11">
      <c r="A361" s="1">
        <v>360</v>
      </c>
      <c r="B361" s="28">
        <f>Data!D364/Data!D363</f>
        <v>1.0078734645034719</v>
      </c>
      <c r="C361" s="28">
        <f>Data!H364/Data!H363</f>
        <v>0.99607725460974328</v>
      </c>
      <c r="D361" s="28">
        <f>Data!L364/Data!L363</f>
        <v>0.99455884203661948</v>
      </c>
      <c r="E361" s="28">
        <f>Data!P364/Data!P363</f>
        <v>0.9913503259405998</v>
      </c>
      <c r="F361" s="105">
        <f t="shared" si="14"/>
        <v>0.24486529903492921</v>
      </c>
      <c r="G361">
        <v>140</v>
      </c>
      <c r="H361" s="14">
        <f>$N$2*B361+$O$2*C361+$P$2*D361+$Q$2*E361</f>
        <v>9996985.1157609373</v>
      </c>
      <c r="J361" s="13">
        <f t="shared" si="15"/>
        <v>-3014.8842390626669</v>
      </c>
      <c r="K361" s="28">
        <f t="shared" si="16"/>
        <v>-3.0148842390631536E-4</v>
      </c>
    </row>
    <row r="362" spans="1:11">
      <c r="A362" s="1">
        <v>361</v>
      </c>
      <c r="B362" s="28">
        <f>Data!D365/Data!D364</f>
        <v>1.0152814550012841</v>
      </c>
      <c r="C362" s="28">
        <f>Data!H365/Data!H364</f>
        <v>1.0194201282255122</v>
      </c>
      <c r="D362" s="28">
        <f>Data!L365/Data!L364</f>
        <v>1.0206893390480842</v>
      </c>
      <c r="E362" s="28">
        <f>Data!P365/Data!P364</f>
        <v>1.0198988472579131</v>
      </c>
      <c r="F362" s="105">
        <f t="shared" si="14"/>
        <v>0.2473386858938679</v>
      </c>
      <c r="G362">
        <v>139</v>
      </c>
      <c r="H362" s="14">
        <f>$N$2*B362+$O$2*C362+$P$2*D362+$Q$2*E362</f>
        <v>10179873.238245584</v>
      </c>
      <c r="J362" s="13">
        <f t="shared" si="15"/>
        <v>179873.23824558407</v>
      </c>
      <c r="K362" s="28">
        <f t="shared" si="16"/>
        <v>1.7987323824558477E-2</v>
      </c>
    </row>
    <row r="363" spans="1:11">
      <c r="A363" s="1">
        <v>362</v>
      </c>
      <c r="B363" s="28">
        <f>Data!D366/Data!D365</f>
        <v>1.0091247408557686</v>
      </c>
      <c r="C363" s="28">
        <f>Data!H366/Data!H365</f>
        <v>1.0168683052635603</v>
      </c>
      <c r="D363" s="28">
        <f>Data!L366/Data!L365</f>
        <v>1.0143986949474395</v>
      </c>
      <c r="E363" s="28">
        <f>Data!P366/Data!P365</f>
        <v>0.99760366686194735</v>
      </c>
      <c r="F363" s="105">
        <f t="shared" si="14"/>
        <v>0.24983705645845242</v>
      </c>
      <c r="G363">
        <v>138</v>
      </c>
      <c r="H363" s="14">
        <f>$N$2*B363+$O$2*C363+$P$2*D363+$Q$2*E363</f>
        <v>10096709.90788509</v>
      </c>
      <c r="J363" s="13">
        <f t="shared" si="15"/>
        <v>96709.907885089517</v>
      </c>
      <c r="K363" s="28">
        <f t="shared" si="16"/>
        <v>9.6709907885088597E-3</v>
      </c>
    </row>
    <row r="364" spans="1:11">
      <c r="A364" s="1">
        <v>363</v>
      </c>
      <c r="B364" s="28">
        <f>Data!D367/Data!D366</f>
        <v>1.0007378840386854</v>
      </c>
      <c r="C364" s="28">
        <f>Data!H367/Data!H366</f>
        <v>1.0064594990651292</v>
      </c>
      <c r="D364" s="28">
        <f>Data!L367/Data!L366</f>
        <v>1.0136257651828693</v>
      </c>
      <c r="E364" s="28">
        <f>Data!P367/Data!P366</f>
        <v>1.0257096528109204</v>
      </c>
      <c r="F364" s="105">
        <f t="shared" si="14"/>
        <v>0.25236066308934585</v>
      </c>
      <c r="G364">
        <v>137</v>
      </c>
      <c r="H364" s="14">
        <f>$N$2*B364+$O$2*C364+$P$2*D364+$Q$2*E364</f>
        <v>10087375.104154838</v>
      </c>
      <c r="J364" s="13">
        <f t="shared" si="15"/>
        <v>87375.104154838249</v>
      </c>
      <c r="K364" s="28">
        <f t="shared" si="16"/>
        <v>8.7375104154838734E-3</v>
      </c>
    </row>
    <row r="365" spans="1:11">
      <c r="A365" s="1">
        <v>364</v>
      </c>
      <c r="B365" s="28">
        <f>Data!D368/Data!D367</f>
        <v>0.99116925103274856</v>
      </c>
      <c r="C365" s="28">
        <f>Data!H368/Data!H367</f>
        <v>0.9823089131302819</v>
      </c>
      <c r="D365" s="28">
        <f>Data!L368/Data!L367</f>
        <v>0.98450254915335089</v>
      </c>
      <c r="E365" s="28">
        <f>Data!P368/Data!P367</f>
        <v>0.99949782324643954</v>
      </c>
      <c r="F365" s="105">
        <f t="shared" si="14"/>
        <v>0.254909760696309</v>
      </c>
      <c r="G365">
        <v>136</v>
      </c>
      <c r="H365" s="14">
        <f>$N$2*B365+$O$2*C365+$P$2*D365+$Q$2*E365</f>
        <v>9895101.9391680714</v>
      </c>
      <c r="J365" s="13">
        <f t="shared" si="15"/>
        <v>-104898.06083192863</v>
      </c>
      <c r="K365" s="28">
        <f t="shared" si="16"/>
        <v>-1.0489806083192832E-2</v>
      </c>
    </row>
    <row r="366" spans="1:11">
      <c r="A366" s="1">
        <v>365</v>
      </c>
      <c r="B366" s="28">
        <f>Data!D369/Data!D368</f>
        <v>0.97490180556946404</v>
      </c>
      <c r="C366" s="28">
        <f>Data!H369/Data!H368</f>
        <v>0.98615702907276015</v>
      </c>
      <c r="D366" s="28">
        <f>Data!L369/Data!L368</f>
        <v>0.98467287260828373</v>
      </c>
      <c r="E366" s="28">
        <f>Data!P369/Data!P368</f>
        <v>0.9925125384663761</v>
      </c>
      <c r="F366" s="105">
        <f t="shared" si="14"/>
        <v>0.25748460676394846</v>
      </c>
      <c r="G366">
        <v>135</v>
      </c>
      <c r="H366" s="14">
        <f>$N$2*B366+$O$2*C366+$P$2*D366+$Q$2*E366</f>
        <v>9827776.2590371724</v>
      </c>
      <c r="J366" s="13">
        <f t="shared" si="15"/>
        <v>-172223.74096282758</v>
      </c>
      <c r="K366" s="28">
        <f t="shared" si="16"/>
        <v>-1.72223740962828E-2</v>
      </c>
    </row>
    <row r="367" spans="1:11">
      <c r="A367" s="1">
        <v>366</v>
      </c>
      <c r="B367" s="28">
        <f>Data!D370/Data!D369</f>
        <v>0.99938938840196667</v>
      </c>
      <c r="C367" s="28">
        <f>Data!H370/Data!H369</f>
        <v>0.98550411434567209</v>
      </c>
      <c r="D367" s="28">
        <f>Data!L370/Data!L369</f>
        <v>0.99133478622501781</v>
      </c>
      <c r="E367" s="28">
        <f>Data!P370/Data!P369</f>
        <v>0.96165409759179032</v>
      </c>
      <c r="F367" s="105">
        <f t="shared" si="14"/>
        <v>0.2600854613777257</v>
      </c>
      <c r="G367">
        <v>134</v>
      </c>
      <c r="H367" s="14">
        <f>$N$2*B367+$O$2*C367+$P$2*D367+$Q$2*E367</f>
        <v>9868712.8780534826</v>
      </c>
      <c r="J367" s="13">
        <f t="shared" si="15"/>
        <v>-131287.12194651738</v>
      </c>
      <c r="K367" s="28">
        <f t="shared" si="16"/>
        <v>-1.3128712194651726E-2</v>
      </c>
    </row>
    <row r="368" spans="1:11">
      <c r="A368" s="1">
        <v>367</v>
      </c>
      <c r="B368" s="28">
        <f>Data!D371/Data!D370</f>
        <v>0.99632104022383738</v>
      </c>
      <c r="C368" s="28">
        <f>Data!H371/Data!H370</f>
        <v>0.99305219522781862</v>
      </c>
      <c r="D368" s="28">
        <f>Data!L371/Data!L370</f>
        <v>0.98817864909556274</v>
      </c>
      <c r="E368" s="28">
        <f>Data!P371/Data!P370</f>
        <v>1.0058448855568483</v>
      </c>
      <c r="F368" s="105">
        <f t="shared" si="14"/>
        <v>0.262712587250228</v>
      </c>
      <c r="G368">
        <v>133</v>
      </c>
      <c r="H368" s="14">
        <f>$N$2*B368+$O$2*C368+$P$2*D368+$Q$2*E368</f>
        <v>9964309.1667880639</v>
      </c>
      <c r="J368" s="13">
        <f t="shared" si="15"/>
        <v>-35690.833211936057</v>
      </c>
      <c r="K368" s="28">
        <f t="shared" si="16"/>
        <v>-3.5690833211936557E-3</v>
      </c>
    </row>
    <row r="369" spans="1:11">
      <c r="A369" s="1">
        <v>368</v>
      </c>
      <c r="B369" s="28">
        <f>Data!D372/Data!D371</f>
        <v>1.0033724148094778</v>
      </c>
      <c r="C369" s="28">
        <f>Data!H372/Data!H371</f>
        <v>1.0167155087429038</v>
      </c>
      <c r="D369" s="28">
        <f>Data!L372/Data!L371</f>
        <v>1.0195479015050399</v>
      </c>
      <c r="E369" s="28">
        <f>Data!P372/Data!P371</f>
        <v>0.98720687779957073</v>
      </c>
      <c r="F369" s="105">
        <f t="shared" si="14"/>
        <v>0.26536624974770506</v>
      </c>
      <c r="G369">
        <v>132</v>
      </c>
      <c r="H369" s="14">
        <f>$N$2*B369+$O$2*C369+$P$2*D369+$Q$2*E369</f>
        <v>10057597.842570804</v>
      </c>
      <c r="J369" s="13">
        <f t="shared" si="15"/>
        <v>57597.84257080406</v>
      </c>
      <c r="K369" s="28">
        <f t="shared" si="16"/>
        <v>5.759784257080458E-3</v>
      </c>
    </row>
    <row r="370" spans="1:11">
      <c r="A370" s="1">
        <v>369</v>
      </c>
      <c r="B370" s="28">
        <f>Data!D373/Data!D372</f>
        <v>0.98248876580070643</v>
      </c>
      <c r="C370" s="28">
        <f>Data!H373/Data!H372</f>
        <v>0.99487367716869046</v>
      </c>
      <c r="D370" s="28">
        <f>Data!L373/Data!L372</f>
        <v>0.9892634367749954</v>
      </c>
      <c r="E370" s="28">
        <f>Data!P373/Data!P372</f>
        <v>1.0273578707340545</v>
      </c>
      <c r="F370" s="105">
        <f t="shared" si="14"/>
        <v>0.26804671691687382</v>
      </c>
      <c r="G370">
        <v>131</v>
      </c>
      <c r="H370" s="14">
        <f>$N$2*B370+$O$2*C370+$P$2*D370+$Q$2*E370</f>
        <v>9958555.2729520015</v>
      </c>
      <c r="J370" s="13">
        <f t="shared" si="15"/>
        <v>-41444.727047998458</v>
      </c>
      <c r="K370" s="28">
        <f t="shared" si="16"/>
        <v>-4.1444727047998953E-3</v>
      </c>
    </row>
    <row r="371" spans="1:11">
      <c r="A371" s="1">
        <v>370</v>
      </c>
      <c r="B371" s="28">
        <f>Data!D374/Data!D373</f>
        <v>0.98781600928209146</v>
      </c>
      <c r="C371" s="28">
        <f>Data!H374/Data!H373</f>
        <v>0.99077970728889431</v>
      </c>
      <c r="D371" s="28">
        <f>Data!L374/Data!L373</f>
        <v>0.98721704561637857</v>
      </c>
      <c r="E371" s="28">
        <f>Data!P374/Data!P373</f>
        <v>0.96829720018574461</v>
      </c>
      <c r="F371" s="105">
        <f t="shared" si="14"/>
        <v>0.27075425951199378</v>
      </c>
      <c r="G371">
        <v>130</v>
      </c>
      <c r="H371" s="14">
        <f>$N$2*B371+$O$2*C371+$P$2*D371+$Q$2*E371</f>
        <v>9847414.6049829163</v>
      </c>
      <c r="J371" s="13">
        <f t="shared" si="15"/>
        <v>-152585.39501708373</v>
      </c>
      <c r="K371" s="28">
        <f t="shared" si="16"/>
        <v>-1.5258539501708412E-2</v>
      </c>
    </row>
    <row r="372" spans="1:11">
      <c r="A372" s="1">
        <v>371</v>
      </c>
      <c r="B372" s="28">
        <f>Data!D375/Data!D374</f>
        <v>0.98709063377303419</v>
      </c>
      <c r="C372" s="28">
        <f>Data!H375/Data!H374</f>
        <v>0.9888045607525352</v>
      </c>
      <c r="D372" s="28">
        <f>Data!L375/Data!L374</f>
        <v>0.98966039871873945</v>
      </c>
      <c r="E372" s="28">
        <f>Data!P375/Data!P374</f>
        <v>0.99155929978143453</v>
      </c>
      <c r="F372" s="105">
        <f t="shared" si="14"/>
        <v>0.27348915102221594</v>
      </c>
      <c r="G372">
        <v>129</v>
      </c>
      <c r="H372" s="14">
        <f>$N$2*B372+$O$2*C372+$P$2*D372+$Q$2*E372</f>
        <v>9887555.2156313509</v>
      </c>
      <c r="J372" s="13">
        <f t="shared" si="15"/>
        <v>-112444.78436864913</v>
      </c>
      <c r="K372" s="28">
        <f t="shared" si="16"/>
        <v>-1.1244478436864935E-2</v>
      </c>
    </row>
    <row r="373" spans="1:11">
      <c r="A373" s="1">
        <v>372</v>
      </c>
      <c r="B373" s="28">
        <f>Data!D376/Data!D375</f>
        <v>1.0354901768716753</v>
      </c>
      <c r="C373" s="28">
        <f>Data!H376/Data!H375</f>
        <v>1.00442327333009</v>
      </c>
      <c r="D373" s="28">
        <f>Data!L376/Data!L375</f>
        <v>1.0104953156979459</v>
      </c>
      <c r="E373" s="28">
        <f>Data!P376/Data!P375</f>
        <v>0.99965914611527329</v>
      </c>
      <c r="F373" s="105">
        <f t="shared" si="14"/>
        <v>0.276251667699208</v>
      </c>
      <c r="G373">
        <v>128</v>
      </c>
      <c r="H373" s="14">
        <f>$N$2*B373+$O$2*C373+$P$2*D373+$Q$2*E373</f>
        <v>10165044.135405462</v>
      </c>
      <c r="J373" s="13">
        <f t="shared" si="15"/>
        <v>165044.13540546224</v>
      </c>
      <c r="K373" s="28">
        <f t="shared" si="16"/>
        <v>1.6504413540546325E-2</v>
      </c>
    </row>
    <row r="374" spans="1:11">
      <c r="A374" s="1">
        <v>373</v>
      </c>
      <c r="B374" s="28">
        <f>Data!D377/Data!D376</f>
        <v>0.99616922531486474</v>
      </c>
      <c r="C374" s="28">
        <f>Data!H377/Data!H376</f>
        <v>1.0238776876584028</v>
      </c>
      <c r="D374" s="28">
        <f>Data!L377/Data!L376</f>
        <v>1.0260075081663591</v>
      </c>
      <c r="E374" s="28">
        <f>Data!P377/Data!P376</f>
        <v>1.0207877015577944</v>
      </c>
      <c r="F374" s="105">
        <f t="shared" si="14"/>
        <v>0.27904208858505863</v>
      </c>
      <c r="G374">
        <v>127</v>
      </c>
      <c r="H374" s="14">
        <f>$N$2*B374+$O$2*C374+$P$2*D374+$Q$2*E374</f>
        <v>10123892.875516614</v>
      </c>
      <c r="J374" s="13">
        <f t="shared" si="15"/>
        <v>123892.87551661395</v>
      </c>
      <c r="K374" s="28">
        <f t="shared" si="16"/>
        <v>1.2389287551661354E-2</v>
      </c>
    </row>
    <row r="375" spans="1:11">
      <c r="A375" s="1">
        <v>374</v>
      </c>
      <c r="B375" s="28">
        <f>Data!D378/Data!D377</f>
        <v>1.002931403506454</v>
      </c>
      <c r="C375" s="28">
        <f>Data!H378/Data!H377</f>
        <v>0.99033416216493675</v>
      </c>
      <c r="D375" s="28">
        <f>Data!L378/Data!L377</f>
        <v>0.99143883908063668</v>
      </c>
      <c r="E375" s="28">
        <f>Data!P378/Data!P377</f>
        <v>0.98414099576161396</v>
      </c>
      <c r="F375" s="105">
        <f t="shared" si="14"/>
        <v>0.28186069554046328</v>
      </c>
      <c r="G375">
        <v>126</v>
      </c>
      <c r="H375" s="14">
        <f>$N$2*B375+$O$2*C375+$P$2*D375+$Q$2*E375</f>
        <v>9942448.9311244916</v>
      </c>
      <c r="J375" s="13">
        <f t="shared" si="15"/>
        <v>-57551.068875508383</v>
      </c>
      <c r="K375" s="28">
        <f t="shared" si="16"/>
        <v>-5.755106887550876E-3</v>
      </c>
    </row>
    <row r="376" spans="1:11">
      <c r="A376" s="1">
        <v>375</v>
      </c>
      <c r="B376" s="28">
        <f>Data!D379/Data!D378</f>
        <v>0.98397380480728225</v>
      </c>
      <c r="C376" s="28">
        <f>Data!H379/Data!H378</f>
        <v>0.98841113520420831</v>
      </c>
      <c r="D376" s="28">
        <f>Data!L379/Data!L378</f>
        <v>0.99302234394200517</v>
      </c>
      <c r="E376" s="28">
        <f>Data!P379/Data!P378</f>
        <v>0.98830416978300717</v>
      </c>
      <c r="F376" s="105">
        <f t="shared" si="14"/>
        <v>0.28470777327319513</v>
      </c>
      <c r="G376">
        <v>125</v>
      </c>
      <c r="H376" s="14">
        <f>$N$2*B376+$O$2*C376+$P$2*D376+$Q$2*E376</f>
        <v>9870759.3083497733</v>
      </c>
      <c r="J376" s="13">
        <f t="shared" si="15"/>
        <v>-129240.69165022671</v>
      </c>
      <c r="K376" s="28">
        <f t="shared" si="16"/>
        <v>-1.2924069165022645E-2</v>
      </c>
    </row>
    <row r="377" spans="1:11">
      <c r="A377" s="1">
        <v>376</v>
      </c>
      <c r="B377" s="28">
        <f>Data!D380/Data!D379</f>
        <v>1.0017705497992233</v>
      </c>
      <c r="C377" s="28">
        <f>Data!H380/Data!H379</f>
        <v>0.94800592778205817</v>
      </c>
      <c r="D377" s="28">
        <f>Data!L380/Data!L379</f>
        <v>0.97480265235238406</v>
      </c>
      <c r="E377" s="28">
        <f>Data!P380/Data!P379</f>
        <v>0.99569507302169513</v>
      </c>
      <c r="F377" s="105">
        <f t="shared" si="14"/>
        <v>0.28758360936686383</v>
      </c>
      <c r="G377">
        <v>124</v>
      </c>
      <c r="H377" s="14">
        <f>$N$2*B377+$O$2*C377+$P$2*D377+$Q$2*E377</f>
        <v>9817292.7809388433</v>
      </c>
      <c r="J377" s="13">
        <f t="shared" si="15"/>
        <v>-182707.21906115673</v>
      </c>
      <c r="K377" s="28">
        <f t="shared" si="16"/>
        <v>-1.8270721906115672E-2</v>
      </c>
    </row>
    <row r="378" spans="1:11">
      <c r="A378" s="1">
        <v>377</v>
      </c>
      <c r="B378" s="28">
        <f>Data!D381/Data!D380</f>
        <v>1.0351153709620162</v>
      </c>
      <c r="C378" s="28">
        <f>Data!H381/Data!H380</f>
        <v>1.0460100201940501</v>
      </c>
      <c r="D378" s="28">
        <f>Data!L381/Data!L380</f>
        <v>1.0355077134227739</v>
      </c>
      <c r="E378" s="28">
        <f>Data!P381/Data!P380</f>
        <v>1.001245040584378</v>
      </c>
      <c r="F378" s="105">
        <f t="shared" si="14"/>
        <v>0.29048849430996354</v>
      </c>
      <c r="G378">
        <v>123</v>
      </c>
      <c r="H378" s="14">
        <f>$N$2*B378+$O$2*C378+$P$2*D378+$Q$2*E378</f>
        <v>10316489.339021744</v>
      </c>
      <c r="J378" s="13">
        <f t="shared" si="15"/>
        <v>316489.33902174421</v>
      </c>
      <c r="K378" s="28">
        <f t="shared" si="16"/>
        <v>3.1648933902174381E-2</v>
      </c>
    </row>
    <row r="379" spans="1:11">
      <c r="A379" s="1">
        <v>378</v>
      </c>
      <c r="B379" s="28">
        <f>Data!D382/Data!D381</f>
        <v>0.97635697259506837</v>
      </c>
      <c r="C379" s="28">
        <f>Data!H382/Data!H381</f>
        <v>0.97183869440964699</v>
      </c>
      <c r="D379" s="28">
        <f>Data!L382/Data!L381</f>
        <v>0.98532252312518476</v>
      </c>
      <c r="E379" s="28">
        <f>Data!P382/Data!P381</f>
        <v>1.0133146612713031</v>
      </c>
      <c r="F379" s="105">
        <f t="shared" si="14"/>
        <v>0.29342272152521565</v>
      </c>
      <c r="G379">
        <v>122</v>
      </c>
      <c r="H379" s="14">
        <f>$N$2*B379+$O$2*C379+$P$2*D379+$Q$2*E379</f>
        <v>9832895.8192770053</v>
      </c>
      <c r="J379" s="13">
        <f t="shared" si="15"/>
        <v>-167104.18072299473</v>
      </c>
      <c r="K379" s="28">
        <f t="shared" si="16"/>
        <v>-1.6710418072299449E-2</v>
      </c>
    </row>
    <row r="380" spans="1:11">
      <c r="A380" s="1">
        <v>379</v>
      </c>
      <c r="B380" s="28">
        <f>Data!D383/Data!D382</f>
        <v>1.035781170710582</v>
      </c>
      <c r="C380" s="28">
        <f>Data!H383/Data!H382</f>
        <v>1.0330571950853948</v>
      </c>
      <c r="D380" s="28">
        <f>Data!L383/Data!L382</f>
        <v>1.0268103674753484</v>
      </c>
      <c r="E380" s="28">
        <f>Data!P383/Data!P382</f>
        <v>1.0319576023851287</v>
      </c>
      <c r="F380" s="105">
        <f t="shared" si="14"/>
        <v>0.2963865873992077</v>
      </c>
      <c r="G380">
        <v>121</v>
      </c>
      <c r="H380" s="14">
        <f>$N$2*B380+$O$2*C380+$P$2*D380+$Q$2*E380</f>
        <v>10333021.840344118</v>
      </c>
      <c r="J380" s="13">
        <f t="shared" si="15"/>
        <v>333021.84034411795</v>
      </c>
      <c r="K380" s="28">
        <f t="shared" si="16"/>
        <v>3.3302184034411875E-2</v>
      </c>
    </row>
    <row r="381" spans="1:11">
      <c r="A381" s="1">
        <v>380</v>
      </c>
      <c r="B381" s="28">
        <f>Data!D384/Data!D383</f>
        <v>0.99124363659575832</v>
      </c>
      <c r="C381" s="28">
        <f>Data!H384/Data!H383</f>
        <v>0.99604988031606323</v>
      </c>
      <c r="D381" s="28">
        <f>Data!L384/Data!L383</f>
        <v>1.0072598853773875</v>
      </c>
      <c r="E381" s="28">
        <f>Data!P384/Data!P383</f>
        <v>1.0065265570090456</v>
      </c>
      <c r="F381" s="105">
        <f t="shared" si="14"/>
        <v>0.29938039131233107</v>
      </c>
      <c r="G381">
        <v>120</v>
      </c>
      <c r="H381" s="14">
        <f>$N$2*B381+$O$2*C381+$P$2*D381+$Q$2*E381</f>
        <v>9973437.1867267024</v>
      </c>
      <c r="J381" s="13">
        <f t="shared" si="15"/>
        <v>-26562.813273297623</v>
      </c>
      <c r="K381" s="28">
        <f t="shared" si="16"/>
        <v>-2.656281327329757E-3</v>
      </c>
    </row>
    <row r="382" spans="1:11">
      <c r="A382" s="1">
        <v>381</v>
      </c>
      <c r="B382" s="28">
        <f>Data!D385/Data!D384</f>
        <v>0.99030818990152014</v>
      </c>
      <c r="C382" s="28">
        <f>Data!H385/Data!H384</f>
        <v>1.0139727727883301</v>
      </c>
      <c r="D382" s="28">
        <f>Data!L385/Data!L384</f>
        <v>1.0115538630778984</v>
      </c>
      <c r="E382" s="28">
        <f>Data!P385/Data!P384</f>
        <v>0.98452005547395227</v>
      </c>
      <c r="F382" s="105">
        <f t="shared" si="14"/>
        <v>0.30240443566902125</v>
      </c>
      <c r="G382">
        <v>119</v>
      </c>
      <c r="H382" s="14">
        <f>$N$2*B382+$O$2*C382+$P$2*D382+$Q$2*E382</f>
        <v>9983745.0519968737</v>
      </c>
      <c r="J382" s="13">
        <f t="shared" si="15"/>
        <v>-16254.948003126308</v>
      </c>
      <c r="K382" s="28">
        <f t="shared" si="16"/>
        <v>-1.6254948003125991E-3</v>
      </c>
    </row>
    <row r="383" spans="1:11">
      <c r="A383" s="1">
        <v>382</v>
      </c>
      <c r="B383" s="28">
        <f>Data!D386/Data!D385</f>
        <v>0.99300465110229985</v>
      </c>
      <c r="C383" s="28">
        <f>Data!H386/Data!H385</f>
        <v>0.98544118184615892</v>
      </c>
      <c r="D383" s="28">
        <f>Data!L386/Data!L385</f>
        <v>0.99248872293486634</v>
      </c>
      <c r="E383" s="28">
        <f>Data!P386/Data!P385</f>
        <v>1.018759875297482</v>
      </c>
      <c r="F383" s="105">
        <f t="shared" si="14"/>
        <v>0.30545902592830432</v>
      </c>
      <c r="G383">
        <v>118</v>
      </c>
      <c r="H383" s="14">
        <f>$N$2*B383+$O$2*C383+$P$2*D383+$Q$2*E383</f>
        <v>9958350.6234775055</v>
      </c>
      <c r="J383" s="13">
        <f t="shared" si="15"/>
        <v>-41649.37652249448</v>
      </c>
      <c r="K383" s="28">
        <f t="shared" si="16"/>
        <v>-4.1649376522494563E-3</v>
      </c>
    </row>
    <row r="384" spans="1:11">
      <c r="A384" s="1">
        <v>383</v>
      </c>
      <c r="B384" s="28">
        <f>Data!D387/Data!D386</f>
        <v>1.0038055400936445</v>
      </c>
      <c r="C384" s="28">
        <f>Data!H387/Data!H386</f>
        <v>1.0009110038307509</v>
      </c>
      <c r="D384" s="28">
        <f>Data!L387/Data!L386</f>
        <v>1.0079334420227644</v>
      </c>
      <c r="E384" s="28">
        <f>Data!P387/Data!P386</f>
        <v>0.97895879832367261</v>
      </c>
      <c r="F384" s="105">
        <f t="shared" si="14"/>
        <v>0.30854447063465085</v>
      </c>
      <c r="G384">
        <v>117</v>
      </c>
      <c r="H384" s="14">
        <f>$N$2*B384+$O$2*C384+$P$2*D384+$Q$2*E384</f>
        <v>9983806.21053694</v>
      </c>
      <c r="J384" s="13">
        <f t="shared" si="15"/>
        <v>-16193.789463059977</v>
      </c>
      <c r="K384" s="28">
        <f t="shared" si="16"/>
        <v>-1.6193789463060382E-3</v>
      </c>
    </row>
    <row r="385" spans="1:11">
      <c r="A385" s="1">
        <v>384</v>
      </c>
      <c r="B385" s="28">
        <f>Data!D388/Data!D387</f>
        <v>1.0319231437287621</v>
      </c>
      <c r="C385" s="28">
        <f>Data!H388/Data!H387</f>
        <v>1.0201966901965611</v>
      </c>
      <c r="D385" s="28">
        <f>Data!L388/Data!L387</f>
        <v>1.0174805456928828</v>
      </c>
      <c r="E385" s="28">
        <f>Data!P388/Data!P387</f>
        <v>0.98723629987985284</v>
      </c>
      <c r="F385" s="105">
        <f t="shared" si="14"/>
        <v>0.31166108144914229</v>
      </c>
      <c r="G385">
        <v>116</v>
      </c>
      <c r="H385" s="14">
        <f>$N$2*B385+$O$2*C385+$P$2*D385+$Q$2*E385</f>
        <v>10180235.79095732</v>
      </c>
      <c r="J385" s="13">
        <f t="shared" si="15"/>
        <v>180235.79095732048</v>
      </c>
      <c r="K385" s="28">
        <f t="shared" si="16"/>
        <v>1.8023579095732156E-2</v>
      </c>
    </row>
    <row r="386" spans="1:11">
      <c r="A386" s="1">
        <v>385</v>
      </c>
      <c r="B386" s="28">
        <f>Data!D389/Data!D388</f>
        <v>0.99640914277766712</v>
      </c>
      <c r="C386" s="28">
        <f>Data!H389/Data!H388</f>
        <v>1.0137834259585259</v>
      </c>
      <c r="D386" s="28">
        <f>Data!L389/Data!L388</f>
        <v>1.0103926549028803</v>
      </c>
      <c r="E386" s="28">
        <f>Data!P389/Data!P388</f>
        <v>1.0336853518339542</v>
      </c>
      <c r="F386" s="105">
        <f t="shared" ref="F386:F449" si="17">F$503^G386</f>
        <v>0.31480917318095175</v>
      </c>
      <c r="G386">
        <v>115</v>
      </c>
      <c r="H386" s="14">
        <f>$N$2*B386+$O$2*C386+$P$2*D386+$Q$2*E386</f>
        <v>10104750.207557034</v>
      </c>
      <c r="J386" s="13">
        <f t="shared" si="15"/>
        <v>104750.20755703375</v>
      </c>
      <c r="K386" s="28">
        <f t="shared" si="16"/>
        <v>1.047502075570339E-2</v>
      </c>
    </row>
    <row r="387" spans="1:11">
      <c r="A387" s="1">
        <v>386</v>
      </c>
      <c r="B387" s="28">
        <f>Data!D390/Data!D389</f>
        <v>1.0013569758551883</v>
      </c>
      <c r="C387" s="28">
        <f>Data!H390/Data!H389</f>
        <v>1.0028281376730201</v>
      </c>
      <c r="D387" s="28">
        <f>Data!L390/Data!L389</f>
        <v>0.99664942440013504</v>
      </c>
      <c r="E387" s="28">
        <f>Data!P390/Data!P389</f>
        <v>1.0193738985350258</v>
      </c>
      <c r="F387" s="105">
        <f t="shared" si="17"/>
        <v>0.31798906381914321</v>
      </c>
      <c r="G387">
        <v>114</v>
      </c>
      <c r="H387" s="14">
        <f>$N$2*B387+$O$2*C387+$P$2*D387+$Q$2*E387</f>
        <v>10049309.537909999</v>
      </c>
      <c r="J387" s="13">
        <f t="shared" ref="J387:J450" si="18">H387-SUM($N$2:$Q$2)</f>
        <v>49309.53790999949</v>
      </c>
      <c r="K387" s="28">
        <f t="shared" ref="K387:K450" si="19">(H387/$R$2)-1</f>
        <v>4.9309537910000589E-3</v>
      </c>
    </row>
    <row r="388" spans="1:11">
      <c r="A388" s="1">
        <v>387</v>
      </c>
      <c r="B388" s="28">
        <f>Data!D391/Data!D390</f>
        <v>0.99868446376256037</v>
      </c>
      <c r="C388" s="28">
        <f>Data!H391/Data!H390</f>
        <v>1.009016238636639</v>
      </c>
      <c r="D388" s="28">
        <f>Data!L391/Data!L390</f>
        <v>1.0096070806320683</v>
      </c>
      <c r="E388" s="28">
        <f>Data!P391/Data!P390</f>
        <v>0.9996216698485757</v>
      </c>
      <c r="F388" s="105">
        <f t="shared" si="17"/>
        <v>0.32120107456479113</v>
      </c>
      <c r="G388">
        <v>113</v>
      </c>
      <c r="H388" s="14">
        <f>$N$2*B388+$O$2*C388+$P$2*D388+$Q$2*E388</f>
        <v>10030636.991289377</v>
      </c>
      <c r="J388" s="13">
        <f t="shared" si="18"/>
        <v>30636.991289377213</v>
      </c>
      <c r="K388" s="28">
        <f t="shared" si="19"/>
        <v>3.0636991289376692E-3</v>
      </c>
    </row>
    <row r="389" spans="1:11">
      <c r="A389" s="1">
        <v>388</v>
      </c>
      <c r="B389" s="28">
        <f>Data!D392/Data!D391</f>
        <v>1.0002387104244288</v>
      </c>
      <c r="C389" s="28">
        <f>Data!H392/Data!H391</f>
        <v>1.0090001548215275</v>
      </c>
      <c r="D389" s="28">
        <f>Data!L392/Data!L391</f>
        <v>1.0068602072753423</v>
      </c>
      <c r="E389" s="28">
        <f>Data!P392/Data!P391</f>
        <v>1.0023375806216388</v>
      </c>
      <c r="F389" s="105">
        <f t="shared" si="17"/>
        <v>0.3244455298634254</v>
      </c>
      <c r="G389">
        <v>112</v>
      </c>
      <c r="H389" s="14">
        <f>$N$2*B389+$O$2*C389+$P$2*D389+$Q$2*E389</f>
        <v>10039490.674680918</v>
      </c>
      <c r="J389" s="13">
        <f t="shared" si="18"/>
        <v>39490.674680918455</v>
      </c>
      <c r="K389" s="28">
        <f t="shared" si="19"/>
        <v>3.9490674680917603E-3</v>
      </c>
    </row>
    <row r="390" spans="1:11">
      <c r="A390" s="1">
        <v>389</v>
      </c>
      <c r="B390" s="28">
        <f>Data!D393/Data!D392</f>
        <v>0.99714646582775879</v>
      </c>
      <c r="C390" s="28">
        <f>Data!H393/Data!H392</f>
        <v>0.98519814841391484</v>
      </c>
      <c r="D390" s="28">
        <f>Data!L393/Data!L392</f>
        <v>0.99339042440063074</v>
      </c>
      <c r="E390" s="28">
        <f>Data!P393/Data!P392</f>
        <v>0.9846650515608617</v>
      </c>
      <c r="F390" s="105">
        <f t="shared" si="17"/>
        <v>0.32772275743780344</v>
      </c>
      <c r="G390">
        <v>111</v>
      </c>
      <c r="H390" s="14">
        <f>$N$2*B390+$O$2*C390+$P$2*D390+$Q$2*E390</f>
        <v>9906900.8360751327</v>
      </c>
      <c r="J390" s="13">
        <f t="shared" si="18"/>
        <v>-93099.163924867287</v>
      </c>
      <c r="K390" s="28">
        <f t="shared" si="19"/>
        <v>-9.3099163924866835E-3</v>
      </c>
    </row>
    <row r="391" spans="1:11">
      <c r="A391" s="1">
        <v>390</v>
      </c>
      <c r="B391" s="28">
        <f>Data!D394/Data!D393</f>
        <v>0.99608951340760976</v>
      </c>
      <c r="C391" s="28">
        <f>Data!H394/Data!H393</f>
        <v>1.0019427923380095</v>
      </c>
      <c r="D391" s="28">
        <f>Data!L394/Data!L393</f>
        <v>0.99670580269703346</v>
      </c>
      <c r="E391" s="28">
        <f>Data!P394/Data!P393</f>
        <v>0.99234992482436091</v>
      </c>
      <c r="F391" s="105">
        <f t="shared" si="17"/>
        <v>0.33103308832101358</v>
      </c>
      <c r="G391">
        <v>110</v>
      </c>
      <c r="H391" s="14">
        <f>$N$2*B391+$O$2*C391+$P$2*D391+$Q$2*E391</f>
        <v>9971592.0829902235</v>
      </c>
      <c r="J391" s="13">
        <f t="shared" si="18"/>
        <v>-28407.917009776458</v>
      </c>
      <c r="K391" s="28">
        <f t="shared" si="19"/>
        <v>-2.8407917009776185E-3</v>
      </c>
    </row>
    <row r="392" spans="1:11">
      <c r="A392" s="1">
        <v>391</v>
      </c>
      <c r="B392" s="28">
        <f>Data!D395/Data!D394</f>
        <v>1.004368074103994</v>
      </c>
      <c r="C392" s="28">
        <f>Data!H395/Data!H394</f>
        <v>0.9991810911818757</v>
      </c>
      <c r="D392" s="28">
        <f>Data!L395/Data!L394</f>
        <v>0.99759723365192243</v>
      </c>
      <c r="E392" s="28">
        <f>Data!P395/Data!P394</f>
        <v>1.0000037501988857</v>
      </c>
      <c r="F392" s="105">
        <f t="shared" si="17"/>
        <v>0.33437685688991264</v>
      </c>
      <c r="G392">
        <v>109</v>
      </c>
      <c r="H392" s="14">
        <f>$N$2*B392+$O$2*C392+$P$2*D392+$Q$2*E392</f>
        <v>10012620.304011296</v>
      </c>
      <c r="J392" s="13">
        <f t="shared" si="18"/>
        <v>12620.304011296481</v>
      </c>
      <c r="K392" s="28">
        <f t="shared" si="19"/>
        <v>1.2620304011297101E-3</v>
      </c>
    </row>
    <row r="393" spans="1:11">
      <c r="A393" s="1">
        <v>392</v>
      </c>
      <c r="B393" s="28">
        <f>Data!D396/Data!D395</f>
        <v>0.9796089327752866</v>
      </c>
      <c r="C393" s="28">
        <f>Data!H396/Data!H395</f>
        <v>0.98473583567086675</v>
      </c>
      <c r="D393" s="28">
        <f>Data!L396/Data!L395</f>
        <v>0.98922063794531723</v>
      </c>
      <c r="E393" s="28">
        <f>Data!P396/Data!P395</f>
        <v>1.0281131653989917</v>
      </c>
      <c r="F393" s="105">
        <f t="shared" si="17"/>
        <v>0.33775440089890174</v>
      </c>
      <c r="G393">
        <v>108</v>
      </c>
      <c r="H393" s="14">
        <f>$N$2*B393+$O$2*C393+$P$2*D393+$Q$2*E393</f>
        <v>9918090.2068570461</v>
      </c>
      <c r="J393" s="13">
        <f t="shared" si="18"/>
        <v>-81909.793142953888</v>
      </c>
      <c r="K393" s="28">
        <f t="shared" si="19"/>
        <v>-8.1909793142953546E-3</v>
      </c>
    </row>
    <row r="394" spans="1:11">
      <c r="A394" s="1">
        <v>393</v>
      </c>
      <c r="B394" s="28">
        <f>Data!D397/Data!D396</f>
        <v>0.9981047298996707</v>
      </c>
      <c r="C394" s="28">
        <f>Data!H397/Data!H396</f>
        <v>0.99533250696739461</v>
      </c>
      <c r="D394" s="28">
        <f>Data!L397/Data!L396</f>
        <v>0.99470609653842657</v>
      </c>
      <c r="E394" s="28">
        <f>Data!P397/Data!P396</f>
        <v>0.97316934832678592</v>
      </c>
      <c r="F394" s="105">
        <f t="shared" si="17"/>
        <v>0.34116606151404211</v>
      </c>
      <c r="G394">
        <v>107</v>
      </c>
      <c r="H394" s="14">
        <f>$N$2*B394+$O$2*C394+$P$2*D394+$Q$2*E394</f>
        <v>9919461.2336928658</v>
      </c>
      <c r="J394" s="13">
        <f t="shared" si="18"/>
        <v>-80538.766307134181</v>
      </c>
      <c r="K394" s="28">
        <f t="shared" si="19"/>
        <v>-8.0538766307134413E-3</v>
      </c>
    </row>
    <row r="395" spans="1:11">
      <c r="A395" s="1">
        <v>394</v>
      </c>
      <c r="B395" s="28">
        <f>Data!D398/Data!D397</f>
        <v>1.0049105596948804</v>
      </c>
      <c r="C395" s="28">
        <f>Data!H398/Data!H397</f>
        <v>1.0019857394729257</v>
      </c>
      <c r="D395" s="28">
        <f>Data!L398/Data!L397</f>
        <v>1.0005995594099077</v>
      </c>
      <c r="E395" s="28">
        <f>Data!P398/Data!P397</f>
        <v>0.99940541776599157</v>
      </c>
      <c r="F395" s="105">
        <f t="shared" si="17"/>
        <v>0.34461218334751731</v>
      </c>
      <c r="G395">
        <v>106</v>
      </c>
      <c r="H395" s="14">
        <f>$N$2*B395+$O$2*C395+$P$2*D395+$Q$2*E395</f>
        <v>10025009.85214019</v>
      </c>
      <c r="J395" s="13">
        <f t="shared" si="18"/>
        <v>25009.85214019008</v>
      </c>
      <c r="K395" s="28">
        <f t="shared" si="19"/>
        <v>2.5009852140189803E-3</v>
      </c>
    </row>
    <row r="396" spans="1:11">
      <c r="A396" s="1">
        <v>395</v>
      </c>
      <c r="B396" s="28">
        <f>Data!D399/Data!D398</f>
        <v>1.0207725478808038</v>
      </c>
      <c r="C396" s="28">
        <f>Data!H399/Data!H398</f>
        <v>1.0305719940025779</v>
      </c>
      <c r="D396" s="28">
        <f>Data!L399/Data!L398</f>
        <v>1.0249612211746646</v>
      </c>
      <c r="E396" s="28">
        <f>Data!P399/Data!P398</f>
        <v>1.0123736166524611</v>
      </c>
      <c r="F396" s="105">
        <f t="shared" si="17"/>
        <v>0.34809311449244174</v>
      </c>
      <c r="G396">
        <v>105</v>
      </c>
      <c r="H396" s="14">
        <f>$N$2*B396+$O$2*C396+$P$2*D396+$Q$2*E396</f>
        <v>10224514.628010536</v>
      </c>
      <c r="J396" s="13">
        <f t="shared" si="18"/>
        <v>224514.62801053561</v>
      </c>
      <c r="K396" s="28">
        <f t="shared" si="19"/>
        <v>2.2451462801053479E-2</v>
      </c>
    </row>
    <row r="397" spans="1:11">
      <c r="A397" s="1">
        <v>396</v>
      </c>
      <c r="B397" s="28">
        <f>Data!D400/Data!D399</f>
        <v>1.0000966775415694</v>
      </c>
      <c r="C397" s="28">
        <f>Data!H400/Data!H399</f>
        <v>0.9939731068109966</v>
      </c>
      <c r="D397" s="28">
        <f>Data!L400/Data!L399</f>
        <v>0.99858327538162828</v>
      </c>
      <c r="E397" s="28">
        <f>Data!P400/Data!P399</f>
        <v>1.00862885240251</v>
      </c>
      <c r="F397" s="105">
        <f t="shared" si="17"/>
        <v>0.35160920655802197</v>
      </c>
      <c r="G397">
        <v>104</v>
      </c>
      <c r="H397" s="14">
        <f>$N$2*B397+$O$2*C397+$P$2*D397+$Q$2*E397</f>
        <v>9998147.010785915</v>
      </c>
      <c r="J397" s="13">
        <f t="shared" si="18"/>
        <v>-1852.9892140850425</v>
      </c>
      <c r="K397" s="28">
        <f t="shared" si="19"/>
        <v>-1.8529892140850546E-4</v>
      </c>
    </row>
    <row r="398" spans="1:11">
      <c r="A398" s="1">
        <v>397</v>
      </c>
      <c r="B398" s="28">
        <f>Data!D401/Data!D400</f>
        <v>1.0181347950832338</v>
      </c>
      <c r="C398" s="28">
        <f>Data!H401/Data!H400</f>
        <v>1.0186926078897101</v>
      </c>
      <c r="D398" s="28">
        <f>Data!L401/Data!L400</f>
        <v>1.0095569232486679</v>
      </c>
      <c r="E398" s="28">
        <f>Data!P401/Data!P400</f>
        <v>0.98570846984312488</v>
      </c>
      <c r="F398" s="105">
        <f t="shared" si="17"/>
        <v>0.35516081470507271</v>
      </c>
      <c r="G398">
        <v>103</v>
      </c>
      <c r="H398" s="14">
        <f>$N$2*B398+$O$2*C398+$P$2*D398+$Q$2*E398</f>
        <v>10109590.866936982</v>
      </c>
      <c r="J398" s="13">
        <f t="shared" si="18"/>
        <v>109590.86693698168</v>
      </c>
      <c r="K398" s="28">
        <f t="shared" si="19"/>
        <v>1.0959086693698161E-2</v>
      </c>
    </row>
    <row r="399" spans="1:11">
      <c r="A399" s="1">
        <v>398</v>
      </c>
      <c r="B399" s="28">
        <f>Data!D402/Data!D401</f>
        <v>0.99810574223151971</v>
      </c>
      <c r="C399" s="28">
        <f>Data!H402/Data!H401</f>
        <v>0.99121535773793368</v>
      </c>
      <c r="D399" s="28">
        <f>Data!L402/Data!L401</f>
        <v>1.0013105193912346</v>
      </c>
      <c r="E399" s="28">
        <f>Data!P402/Data!P401</f>
        <v>1.0294391643319385</v>
      </c>
      <c r="F399" s="105">
        <f t="shared" si="17"/>
        <v>0.35874829768189165</v>
      </c>
      <c r="G399">
        <v>102</v>
      </c>
      <c r="H399" s="14">
        <f>$N$2*B399+$O$2*C399+$P$2*D399+$Q$2*E399</f>
        <v>10026257.890194992</v>
      </c>
      <c r="J399" s="13">
        <f t="shared" si="18"/>
        <v>26257.890194991603</v>
      </c>
      <c r="K399" s="28">
        <f t="shared" si="19"/>
        <v>2.6257890194991695E-3</v>
      </c>
    </row>
    <row r="400" spans="1:11">
      <c r="A400" s="1">
        <v>399</v>
      </c>
      <c r="B400" s="28">
        <f>Data!D403/Data!D402</f>
        <v>0.99182925250798826</v>
      </c>
      <c r="C400" s="28">
        <f>Data!H403/Data!H402</f>
        <v>1.0038721928764944</v>
      </c>
      <c r="D400" s="28">
        <f>Data!L403/Data!L402</f>
        <v>0.99580769067983188</v>
      </c>
      <c r="E400" s="28">
        <f>Data!P403/Data!P402</f>
        <v>0.98856592332747206</v>
      </c>
      <c r="F400" s="105">
        <f t="shared" si="17"/>
        <v>0.36237201786049661</v>
      </c>
      <c r="G400">
        <v>101</v>
      </c>
      <c r="H400" s="14">
        <f>$N$2*B400+$O$2*C400+$P$2*D400+$Q$2*E400</f>
        <v>9951873.1259962115</v>
      </c>
      <c r="J400" s="13">
        <f t="shared" si="18"/>
        <v>-48126.874003788456</v>
      </c>
      <c r="K400" s="28">
        <f t="shared" si="19"/>
        <v>-4.8126874003788789E-3</v>
      </c>
    </row>
    <row r="401" spans="1:11">
      <c r="A401" s="1">
        <v>400</v>
      </c>
      <c r="B401" s="28">
        <f>Data!D404/Data!D403</f>
        <v>1.0033796558710024</v>
      </c>
      <c r="C401" s="28">
        <f>Data!H404/Data!H403</f>
        <v>1.0009258670949568</v>
      </c>
      <c r="D401" s="28">
        <f>Data!L404/Data!L403</f>
        <v>1.0086556067683501</v>
      </c>
      <c r="E401" s="28">
        <f>Data!P404/Data!P403</f>
        <v>0.99815390963981709</v>
      </c>
      <c r="F401" s="105">
        <f t="shared" si="17"/>
        <v>0.36603234127322892</v>
      </c>
      <c r="G401">
        <v>100</v>
      </c>
      <c r="H401" s="14">
        <f>$N$2*B401+$O$2*C401+$P$2*D401+$Q$2*E401</f>
        <v>10021259.650816865</v>
      </c>
      <c r="J401" s="13">
        <f t="shared" si="18"/>
        <v>21259.650816865265</v>
      </c>
      <c r="K401" s="28">
        <f t="shared" si="19"/>
        <v>2.1259650816864983E-3</v>
      </c>
    </row>
    <row r="402" spans="1:11">
      <c r="A402" s="1">
        <v>401</v>
      </c>
      <c r="B402" s="28">
        <f>Data!D405/Data!D404</f>
        <v>1.0067169570061474</v>
      </c>
      <c r="C402" s="28">
        <f>Data!H405/Data!H404</f>
        <v>0.99082519460781004</v>
      </c>
      <c r="D402" s="28">
        <f>Data!L405/Data!L404</f>
        <v>0.98583249052487576</v>
      </c>
      <c r="E402" s="28">
        <f>Data!P405/Data!P404</f>
        <v>0.99334566676288871</v>
      </c>
      <c r="F402" s="105">
        <f t="shared" si="17"/>
        <v>0.36972963764972616</v>
      </c>
      <c r="G402">
        <v>99</v>
      </c>
      <c r="H402" s="14">
        <f>$N$2*B402+$O$2*C402+$P$2*D402+$Q$2*E402</f>
        <v>9971867.2358986735</v>
      </c>
      <c r="J402" s="13">
        <f t="shared" si="18"/>
        <v>-28132.764101326466</v>
      </c>
      <c r="K402" s="28">
        <f t="shared" si="19"/>
        <v>-2.8132764101326257E-3</v>
      </c>
    </row>
    <row r="403" spans="1:11">
      <c r="A403" s="1">
        <v>402</v>
      </c>
      <c r="B403" s="28">
        <f>Data!D406/Data!D405</f>
        <v>1.0033395724942504</v>
      </c>
      <c r="C403" s="28">
        <f>Data!H406/Data!H405</f>
        <v>1.0147892877501949</v>
      </c>
      <c r="D403" s="28">
        <f>Data!L406/Data!L405</f>
        <v>1.0071827327342919</v>
      </c>
      <c r="E403" s="28">
        <f>Data!P406/Data!P405</f>
        <v>1.0227426317989365</v>
      </c>
      <c r="F403" s="105">
        <f t="shared" si="17"/>
        <v>0.37346428045426888</v>
      </c>
      <c r="G403">
        <v>98</v>
      </c>
      <c r="H403" s="14">
        <f>$N$2*B403+$O$2*C403+$P$2*D403+$Q$2*E403</f>
        <v>10110394.149559751</v>
      </c>
      <c r="J403" s="13">
        <f t="shared" si="18"/>
        <v>110394.14955975115</v>
      </c>
      <c r="K403" s="28">
        <f t="shared" si="19"/>
        <v>1.1039414955975158E-2</v>
      </c>
    </row>
    <row r="404" spans="1:11">
      <c r="A404" s="1">
        <v>403</v>
      </c>
      <c r="B404" s="28">
        <f>Data!D407/Data!D406</f>
        <v>0.99844010096293312</v>
      </c>
      <c r="C404" s="28">
        <f>Data!H407/Data!H406</f>
        <v>1.0029530935915438</v>
      </c>
      <c r="D404" s="28">
        <f>Data!L407/Data!L406</f>
        <v>1.0058356922314309</v>
      </c>
      <c r="E404" s="28">
        <f>Data!P407/Data!P406</f>
        <v>0.99877589426429025</v>
      </c>
      <c r="F404" s="105">
        <f t="shared" si="17"/>
        <v>0.37723664692350389</v>
      </c>
      <c r="G404">
        <v>97</v>
      </c>
      <c r="H404" s="14">
        <f>$N$2*B404+$O$2*C404+$P$2*D404+$Q$2*E404</f>
        <v>10006007.165386375</v>
      </c>
      <c r="J404" s="13">
        <f t="shared" si="18"/>
        <v>6007.1653863750398</v>
      </c>
      <c r="K404" s="28">
        <f t="shared" si="19"/>
        <v>6.007165386374691E-4</v>
      </c>
    </row>
    <row r="405" spans="1:11">
      <c r="A405" s="1">
        <v>404</v>
      </c>
      <c r="B405" s="28">
        <f>Data!D408/Data!D407</f>
        <v>0.99598966729465688</v>
      </c>
      <c r="C405" s="28">
        <f>Data!H408/Data!H407</f>
        <v>0.99222580294869389</v>
      </c>
      <c r="D405" s="28">
        <f>Data!L408/Data!L407</f>
        <v>0.99226512163525205</v>
      </c>
      <c r="E405" s="28">
        <f>Data!P408/Data!P407</f>
        <v>0.99661514252486927</v>
      </c>
      <c r="F405" s="105">
        <f t="shared" si="17"/>
        <v>0.38104711810454939</v>
      </c>
      <c r="G405">
        <v>96</v>
      </c>
      <c r="H405" s="14">
        <f>$N$2*B405+$O$2*C405+$P$2*D405+$Q$2*E405</f>
        <v>9946131.4847097006</v>
      </c>
      <c r="J405" s="13">
        <f t="shared" si="18"/>
        <v>-53868.51529029943</v>
      </c>
      <c r="K405" s="28">
        <f t="shared" si="19"/>
        <v>-5.3868515290299568E-3</v>
      </c>
    </row>
    <row r="406" spans="1:11">
      <c r="A406" s="1">
        <v>405</v>
      </c>
      <c r="B406" s="28">
        <f>Data!D409/Data!D408</f>
        <v>1.0185700145006331</v>
      </c>
      <c r="C406" s="28">
        <f>Data!H409/Data!H408</f>
        <v>1.0183275131747813</v>
      </c>
      <c r="D406" s="28">
        <f>Data!L409/Data!L408</f>
        <v>1.0038583618674783</v>
      </c>
      <c r="E406" s="28">
        <f>Data!P409/Data!P408</f>
        <v>1.0065862352017938</v>
      </c>
      <c r="F406" s="105">
        <f t="shared" si="17"/>
        <v>0.38489607889348426</v>
      </c>
      <c r="G406">
        <v>95</v>
      </c>
      <c r="H406" s="14">
        <f>$N$2*B406+$O$2*C406+$P$2*D406+$Q$2*E406</f>
        <v>10146293.429797942</v>
      </c>
      <c r="J406" s="13">
        <f t="shared" si="18"/>
        <v>146293.42979794182</v>
      </c>
      <c r="K406" s="28">
        <f t="shared" si="19"/>
        <v>1.4629342979794124E-2</v>
      </c>
    </row>
    <row r="407" spans="1:11">
      <c r="A407" s="1">
        <v>406</v>
      </c>
      <c r="B407" s="28">
        <f>Data!D410/Data!D409</f>
        <v>0.98132591015607051</v>
      </c>
      <c r="C407" s="28">
        <f>Data!H410/Data!H409</f>
        <v>0.99528356731690582</v>
      </c>
      <c r="D407" s="28">
        <f>Data!L410/Data!L409</f>
        <v>1.0004880610418689</v>
      </c>
      <c r="E407" s="28">
        <f>Data!P410/Data!P409</f>
        <v>1.0035975192563256</v>
      </c>
      <c r="F407" s="105">
        <f t="shared" si="17"/>
        <v>0.38878391807422652</v>
      </c>
      <c r="G407">
        <v>94</v>
      </c>
      <c r="H407" s="14">
        <f>$N$2*B407+$O$2*C407+$P$2*D407+$Q$2*E407</f>
        <v>9918837.4421295188</v>
      </c>
      <c r="J407" s="13">
        <f t="shared" si="18"/>
        <v>-81162.557870481163</v>
      </c>
      <c r="K407" s="28">
        <f t="shared" si="19"/>
        <v>-8.11625578704811E-3</v>
      </c>
    </row>
    <row r="408" spans="1:11">
      <c r="A408" s="1">
        <v>407</v>
      </c>
      <c r="B408" s="28">
        <f>Data!D411/Data!D410</f>
        <v>1.0040915067873126</v>
      </c>
      <c r="C408" s="28">
        <f>Data!H411/Data!H410</f>
        <v>1.0040801932577346</v>
      </c>
      <c r="D408" s="28">
        <f>Data!L411/Data!L410</f>
        <v>0.99764857825541176</v>
      </c>
      <c r="E408" s="28">
        <f>Data!P411/Data!P410</f>
        <v>1.0051214918471316</v>
      </c>
      <c r="F408" s="105">
        <f t="shared" si="17"/>
        <v>0.39271102835780453</v>
      </c>
      <c r="G408">
        <v>93</v>
      </c>
      <c r="H408" s="14">
        <f>$N$2*B408+$O$2*C408+$P$2*D408+$Q$2*E408</f>
        <v>10036498.168872129</v>
      </c>
      <c r="J408" s="13">
        <f t="shared" si="18"/>
        <v>36498.168872129172</v>
      </c>
      <c r="K408" s="28">
        <f t="shared" si="19"/>
        <v>3.6498168872129977E-3</v>
      </c>
    </row>
    <row r="409" spans="1:11">
      <c r="A409" s="1">
        <v>408</v>
      </c>
      <c r="B409" s="28">
        <f>Data!D412/Data!D411</f>
        <v>0.9906037097082564</v>
      </c>
      <c r="C409" s="28">
        <f>Data!H412/Data!H411</f>
        <v>0.9843001154938148</v>
      </c>
      <c r="D409" s="28">
        <f>Data!L412/Data!L411</f>
        <v>0.98196202860850634</v>
      </c>
      <c r="E409" s="28">
        <f>Data!P412/Data!P411</f>
        <v>0.98305055529443242</v>
      </c>
      <c r="F409" s="105">
        <f t="shared" si="17"/>
        <v>0.39667780642202483</v>
      </c>
      <c r="G409">
        <v>92</v>
      </c>
      <c r="H409" s="14">
        <f>$N$2*B409+$O$2*C409+$P$2*D409+$Q$2*E409</f>
        <v>9863378.3245118409</v>
      </c>
      <c r="J409" s="13">
        <f t="shared" si="18"/>
        <v>-136621.67548815906</v>
      </c>
      <c r="K409" s="28">
        <f t="shared" si="19"/>
        <v>-1.3662167548815884E-2</v>
      </c>
    </row>
    <row r="410" spans="1:11">
      <c r="A410" s="1">
        <v>409</v>
      </c>
      <c r="B410" s="28">
        <f>Data!D413/Data!D412</f>
        <v>1.0102127118723854</v>
      </c>
      <c r="C410" s="28">
        <f>Data!H413/Data!H412</f>
        <v>1.0103415647771723</v>
      </c>
      <c r="D410" s="28">
        <f>Data!L413/Data!L412</f>
        <v>1.0076644953630167</v>
      </c>
      <c r="E410" s="28">
        <f>Data!P413/Data!P412</f>
        <v>1.0021742358362558</v>
      </c>
      <c r="F410" s="105">
        <f t="shared" si="17"/>
        <v>0.40068465295154027</v>
      </c>
      <c r="G410">
        <v>91</v>
      </c>
      <c r="H410" s="14">
        <f>$N$2*B410+$O$2*C410+$P$2*D410+$Q$2*E410</f>
        <v>10083888.508856587</v>
      </c>
      <c r="J410" s="13">
        <f t="shared" si="18"/>
        <v>83888.508856587112</v>
      </c>
      <c r="K410" s="28">
        <f t="shared" si="19"/>
        <v>8.3888508856586608E-3</v>
      </c>
    </row>
    <row r="411" spans="1:11">
      <c r="A411" s="1">
        <v>410</v>
      </c>
      <c r="B411" s="28">
        <f>Data!D414/Data!D413</f>
        <v>0.99659289921986949</v>
      </c>
      <c r="C411" s="28">
        <f>Data!H414/Data!H413</f>
        <v>0.99111649303565641</v>
      </c>
      <c r="D411" s="28">
        <f>Data!L414/Data!L413</f>
        <v>1.0035800569868751</v>
      </c>
      <c r="E411" s="28">
        <f>Data!P414/Data!P413</f>
        <v>1.0077250322681959</v>
      </c>
      <c r="F411" s="105">
        <f t="shared" si="17"/>
        <v>0.4047319726783235</v>
      </c>
      <c r="G411">
        <v>90</v>
      </c>
      <c r="H411" s="14">
        <f>$N$2*B411+$O$2*C411+$P$2*D411+$Q$2*E411</f>
        <v>9978751.1975097135</v>
      </c>
      <c r="J411" s="13">
        <f t="shared" si="18"/>
        <v>-21248.802490286529</v>
      </c>
      <c r="K411" s="28">
        <f t="shared" si="19"/>
        <v>-2.1248802490286822E-3</v>
      </c>
    </row>
    <row r="412" spans="1:11">
      <c r="A412" s="1">
        <v>411</v>
      </c>
      <c r="B412" s="28">
        <f>Data!D415/Data!D414</f>
        <v>1.0051589051899208</v>
      </c>
      <c r="C412" s="28">
        <f>Data!H415/Data!H414</f>
        <v>0.99819243135695412</v>
      </c>
      <c r="D412" s="28">
        <f>Data!L415/Data!L414</f>
        <v>1.0092849977846812</v>
      </c>
      <c r="E412" s="28">
        <f>Data!P415/Data!P414</f>
        <v>1.0040257693380157</v>
      </c>
      <c r="F412" s="105">
        <f t="shared" si="17"/>
        <v>0.40882017442254898</v>
      </c>
      <c r="G412">
        <v>89</v>
      </c>
      <c r="H412" s="14">
        <f>$N$2*B412+$O$2*C412+$P$2*D412+$Q$2*E412</f>
        <v>10032549.451291258</v>
      </c>
      <c r="J412" s="13">
        <f t="shared" si="18"/>
        <v>32549.451291257516</v>
      </c>
      <c r="K412" s="28">
        <f t="shared" si="19"/>
        <v>3.2549451291257192E-3</v>
      </c>
    </row>
    <row r="413" spans="1:11">
      <c r="A413" s="1">
        <v>412</v>
      </c>
      <c r="B413" s="28">
        <f>Data!D416/Data!D415</f>
        <v>1.0073094450620932</v>
      </c>
      <c r="C413" s="28">
        <f>Data!H416/Data!H415</f>
        <v>1.0081938308646863</v>
      </c>
      <c r="D413" s="28">
        <f>Data!L416/Data!L415</f>
        <v>1.0018426377402272</v>
      </c>
      <c r="E413" s="28">
        <f>Data!P416/Data!P415</f>
        <v>1.0137676751344906</v>
      </c>
      <c r="F413" s="105">
        <f t="shared" si="17"/>
        <v>0.41294967113388786</v>
      </c>
      <c r="G413">
        <v>88</v>
      </c>
      <c r="H413" s="14">
        <f>$N$2*B413+$O$2*C413+$P$2*D413+$Q$2*E413</f>
        <v>10083197.26085164</v>
      </c>
      <c r="J413" s="13">
        <f t="shared" si="18"/>
        <v>83197.260851640254</v>
      </c>
      <c r="K413" s="28">
        <f t="shared" si="19"/>
        <v>8.3197260851639587E-3</v>
      </c>
    </row>
    <row r="414" spans="1:11">
      <c r="A414" s="1">
        <v>413</v>
      </c>
      <c r="B414" s="28">
        <f>Data!D417/Data!D416</f>
        <v>0.99954897611420601</v>
      </c>
      <c r="C414" s="28">
        <f>Data!H417/Data!H416</f>
        <v>1.0121795905105675</v>
      </c>
      <c r="D414" s="28">
        <f>Data!L417/Data!L416</f>
        <v>1.008900031218837</v>
      </c>
      <c r="E414" s="28">
        <f>Data!P417/Data!P416</f>
        <v>1.0047343758568441</v>
      </c>
      <c r="F414" s="105">
        <f t="shared" si="17"/>
        <v>0.41712087993322011</v>
      </c>
      <c r="G414">
        <v>87</v>
      </c>
      <c r="H414" s="14">
        <f>$N$2*B414+$O$2*C414+$P$2*D414+$Q$2*E414</f>
        <v>10053103.458921053</v>
      </c>
      <c r="J414" s="13">
        <f t="shared" si="18"/>
        <v>53103.458921052516</v>
      </c>
      <c r="K414" s="28">
        <f t="shared" si="19"/>
        <v>5.3103458921053281E-3</v>
      </c>
    </row>
    <row r="415" spans="1:11">
      <c r="A415" s="1">
        <v>414</v>
      </c>
      <c r="B415" s="28">
        <f>Data!D418/Data!D417</f>
        <v>1.0031847722302647</v>
      </c>
      <c r="C415" s="28">
        <f>Data!H418/Data!H417</f>
        <v>1.0089157154700159</v>
      </c>
      <c r="D415" s="28">
        <f>Data!L418/Data!L417</f>
        <v>1.0101016312877287</v>
      </c>
      <c r="E415" s="28">
        <f>Data!P418/Data!P417</f>
        <v>0.99968346434363875</v>
      </c>
      <c r="F415" s="105">
        <f t="shared" si="17"/>
        <v>0.42133422215476773</v>
      </c>
      <c r="G415">
        <v>86</v>
      </c>
      <c r="H415" s="14">
        <f>$N$2*B415+$O$2*C415+$P$2*D415+$Q$2*E415</f>
        <v>10048954.795306113</v>
      </c>
      <c r="J415" s="13">
        <f t="shared" si="18"/>
        <v>48954.795306112617</v>
      </c>
      <c r="K415" s="28">
        <f t="shared" si="19"/>
        <v>4.895479530611313E-3</v>
      </c>
    </row>
    <row r="416" spans="1:11">
      <c r="A416" s="1">
        <v>415</v>
      </c>
      <c r="B416" s="28">
        <f>Data!D419/Data!D418</f>
        <v>0.98468855156829516</v>
      </c>
      <c r="C416" s="28">
        <f>Data!H419/Data!H418</f>
        <v>0.98081856073788998</v>
      </c>
      <c r="D416" s="28">
        <f>Data!L419/Data!L418</f>
        <v>0.99087776768143032</v>
      </c>
      <c r="E416" s="28">
        <f>Data!P419/Data!P418</f>
        <v>0.99844097224607153</v>
      </c>
      <c r="F416" s="105">
        <f t="shared" si="17"/>
        <v>0.42559012338865432</v>
      </c>
      <c r="G416">
        <v>85</v>
      </c>
      <c r="H416" s="14">
        <f>$N$2*B416+$O$2*C416+$P$2*D416+$Q$2*E416</f>
        <v>9868969.6006604247</v>
      </c>
      <c r="J416" s="13">
        <f t="shared" si="18"/>
        <v>-131030.39933957532</v>
      </c>
      <c r="K416" s="28">
        <f t="shared" si="19"/>
        <v>-1.3103039933957561E-2</v>
      </c>
    </row>
    <row r="417" spans="1:11">
      <c r="A417" s="1">
        <v>416</v>
      </c>
      <c r="B417" s="28">
        <f>Data!D420/Data!D419</f>
        <v>0.98226707658153456</v>
      </c>
      <c r="C417" s="28">
        <f>Data!H420/Data!H419</f>
        <v>0.99886311184212262</v>
      </c>
      <c r="D417" s="28">
        <f>Data!L420/Data!L419</f>
        <v>1.0029051452917863</v>
      </c>
      <c r="E417" s="28">
        <f>Data!P420/Data!P419</f>
        <v>0.98891789384063411</v>
      </c>
      <c r="F417" s="105">
        <f t="shared" si="17"/>
        <v>0.42988901352389325</v>
      </c>
      <c r="G417">
        <v>84</v>
      </c>
      <c r="H417" s="14">
        <f>$N$2*B417+$O$2*C417+$P$2*D417+$Q$2*E417</f>
        <v>9906398.5748255607</v>
      </c>
      <c r="J417" s="13">
        <f t="shared" si="18"/>
        <v>-93601.425174439326</v>
      </c>
      <c r="K417" s="28">
        <f t="shared" si="19"/>
        <v>-9.3601425174438813E-3</v>
      </c>
    </row>
    <row r="418" spans="1:11">
      <c r="A418" s="1">
        <v>417</v>
      </c>
      <c r="B418" s="28">
        <f>Data!D421/Data!D420</f>
        <v>1.0019387057888978</v>
      </c>
      <c r="C418" s="28">
        <f>Data!H421/Data!H420</f>
        <v>1.0059697766707236</v>
      </c>
      <c r="D418" s="28">
        <f>Data!L421/Data!L420</f>
        <v>0.99693558459882736</v>
      </c>
      <c r="E418" s="28">
        <f>Data!P421/Data!P420</f>
        <v>0.99717932362669282</v>
      </c>
      <c r="F418" s="105">
        <f t="shared" si="17"/>
        <v>0.43423132679181131</v>
      </c>
      <c r="G418">
        <v>83</v>
      </c>
      <c r="H418" s="14">
        <f>$N$2*B418+$O$2*C418+$P$2*D418+$Q$2*E418</f>
        <v>10016958.385019975</v>
      </c>
      <c r="J418" s="13">
        <f t="shared" si="18"/>
        <v>16958.385019974783</v>
      </c>
      <c r="K418" s="28">
        <f t="shared" si="19"/>
        <v>1.6958385019973932E-3</v>
      </c>
    </row>
    <row r="419" spans="1:11">
      <c r="A419" s="1">
        <v>418</v>
      </c>
      <c r="B419" s="28">
        <f>Data!D422/Data!D421</f>
        <v>0.98843700348972952</v>
      </c>
      <c r="C419" s="28">
        <f>Data!H422/Data!H421</f>
        <v>0.98509298114715227</v>
      </c>
      <c r="D419" s="28">
        <f>Data!L422/Data!L421</f>
        <v>0.98436327723345551</v>
      </c>
      <c r="E419" s="28">
        <f>Data!P422/Data!P421</f>
        <v>1.0080381690634528</v>
      </c>
      <c r="F419" s="105">
        <f t="shared" si="17"/>
        <v>0.43861750180991049</v>
      </c>
      <c r="G419">
        <v>82</v>
      </c>
      <c r="H419" s="14">
        <f>$N$2*B419+$O$2*C419+$P$2*D419+$Q$2*E419</f>
        <v>9909466.5727607347</v>
      </c>
      <c r="J419" s="13">
        <f t="shared" si="18"/>
        <v>-90533.427239265293</v>
      </c>
      <c r="K419" s="28">
        <f t="shared" si="19"/>
        <v>-9.0533427239265496E-3</v>
      </c>
    </row>
    <row r="420" spans="1:11">
      <c r="A420" s="1">
        <v>419</v>
      </c>
      <c r="B420" s="28">
        <f>Data!D423/Data!D422</f>
        <v>1.0055065735121955</v>
      </c>
      <c r="C420" s="28">
        <f>Data!H423/Data!H422</f>
        <v>0.99165314859022713</v>
      </c>
      <c r="D420" s="28">
        <f>Data!L423/Data!L422</f>
        <v>0.99151446907427332</v>
      </c>
      <c r="E420" s="28">
        <f>Data!P423/Data!P422</f>
        <v>0.98456226220375742</v>
      </c>
      <c r="F420" s="105">
        <f t="shared" si="17"/>
        <v>0.4430479816261722</v>
      </c>
      <c r="G420">
        <v>81</v>
      </c>
      <c r="H420" s="14">
        <f>$N$2*B420+$O$2*C420+$P$2*D420+$Q$2*E420</f>
        <v>9957624.7333012521</v>
      </c>
      <c r="J420" s="13">
        <f t="shared" si="18"/>
        <v>-42375.266698747873</v>
      </c>
      <c r="K420" s="28">
        <f t="shared" si="19"/>
        <v>-4.2375266698747582E-3</v>
      </c>
    </row>
    <row r="421" spans="1:11">
      <c r="A421" s="1">
        <v>420</v>
      </c>
      <c r="B421" s="28">
        <f>Data!D424/Data!D423</f>
        <v>1.0036403192451597</v>
      </c>
      <c r="C421" s="28">
        <f>Data!H424/Data!H423</f>
        <v>1.004876139716059</v>
      </c>
      <c r="D421" s="28">
        <f>Data!L424/Data!L423</f>
        <v>1.0071393036637997</v>
      </c>
      <c r="E421" s="28">
        <f>Data!P424/Data!P423</f>
        <v>0.98064244512359855</v>
      </c>
      <c r="F421" s="105">
        <f t="shared" si="17"/>
        <v>0.44752321376381032</v>
      </c>
      <c r="G421">
        <v>80</v>
      </c>
      <c r="H421" s="14">
        <f>$N$2*B421+$O$2*C421+$P$2*D421+$Q$2*E421</f>
        <v>9997613.8900398128</v>
      </c>
      <c r="J421" s="13">
        <f t="shared" si="18"/>
        <v>-2386.1099601872265</v>
      </c>
      <c r="K421" s="28">
        <f t="shared" si="19"/>
        <v>-2.3861099601873992E-4</v>
      </c>
    </row>
    <row r="422" spans="1:11">
      <c r="A422" s="1">
        <v>421</v>
      </c>
      <c r="B422" s="28">
        <f>Data!D425/Data!D424</f>
        <v>1.0041440269715094</v>
      </c>
      <c r="C422" s="28">
        <f>Data!H425/Data!H424</f>
        <v>0.99783482721748462</v>
      </c>
      <c r="D422" s="28">
        <f>Data!L425/Data!L424</f>
        <v>0.99489994849138597</v>
      </c>
      <c r="E422" s="28">
        <f>Data!P425/Data!P424</f>
        <v>1.0238224860238494</v>
      </c>
      <c r="F422" s="105">
        <f t="shared" si="17"/>
        <v>0.45204365026647508</v>
      </c>
      <c r="G422">
        <v>79</v>
      </c>
      <c r="H422" s="14">
        <f>$N$2*B422+$O$2*C422+$P$2*D422+$Q$2*E422</f>
        <v>10052625.510077577</v>
      </c>
      <c r="J422" s="13">
        <f t="shared" si="18"/>
        <v>52625.510077577084</v>
      </c>
      <c r="K422" s="28">
        <f t="shared" si="19"/>
        <v>5.2625510077577431E-3</v>
      </c>
    </row>
    <row r="423" spans="1:11">
      <c r="A423" s="1">
        <v>422</v>
      </c>
      <c r="B423" s="28">
        <f>Data!D426/Data!D425</f>
        <v>0.99937530740410974</v>
      </c>
      <c r="C423" s="28">
        <f>Data!H426/Data!H425</f>
        <v>0.99724073726213525</v>
      </c>
      <c r="D423" s="28">
        <f>Data!L426/Data!L425</f>
        <v>1.0081829738687798</v>
      </c>
      <c r="E423" s="28">
        <f>Data!P426/Data!P425</f>
        <v>1.0136174147240815</v>
      </c>
      <c r="F423" s="105">
        <f t="shared" si="17"/>
        <v>0.45660974774391422</v>
      </c>
      <c r="G423">
        <v>78</v>
      </c>
      <c r="H423" s="14">
        <f>$N$2*B423+$O$2*C423+$P$2*D423+$Q$2*E423</f>
        <v>10024641.244719788</v>
      </c>
      <c r="J423" s="13">
        <f t="shared" si="18"/>
        <v>24641.244719788432</v>
      </c>
      <c r="K423" s="28">
        <f t="shared" si="19"/>
        <v>2.4641244719787458E-3</v>
      </c>
    </row>
    <row r="424" spans="1:11">
      <c r="A424" s="1">
        <v>423</v>
      </c>
      <c r="B424" s="28">
        <f>Data!D427/Data!D426</f>
        <v>0.98935776274061737</v>
      </c>
      <c r="C424" s="28">
        <f>Data!H427/Data!H426</f>
        <v>0.98614029959742211</v>
      </c>
      <c r="D424" s="28">
        <f>Data!L427/Data!L426</f>
        <v>0.98346688162954421</v>
      </c>
      <c r="E424" s="28">
        <f>Data!P427/Data!P426</f>
        <v>1.0169110254345382</v>
      </c>
      <c r="F424" s="105">
        <f t="shared" si="17"/>
        <v>0.46122196741809512</v>
      </c>
      <c r="G424">
        <v>77</v>
      </c>
      <c r="H424" s="14">
        <f>$N$2*B424+$O$2*C424+$P$2*D424+$Q$2*E424</f>
        <v>9933140.8822533563</v>
      </c>
      <c r="J424" s="13">
        <f t="shared" si="18"/>
        <v>-66859.117746643722</v>
      </c>
      <c r="K424" s="28">
        <f t="shared" si="19"/>
        <v>-6.685911774664377E-3</v>
      </c>
    </row>
    <row r="425" spans="1:11">
      <c r="A425" s="1">
        <v>424</v>
      </c>
      <c r="B425" s="28">
        <f>Data!D428/Data!D427</f>
        <v>0.99192486776041244</v>
      </c>
      <c r="C425" s="28">
        <f>Data!H428/Data!H427</f>
        <v>1.009777207464017</v>
      </c>
      <c r="D425" s="28">
        <f>Data!L428/Data!L427</f>
        <v>1.0054557957686701</v>
      </c>
      <c r="E425" s="28">
        <f>Data!P428/Data!P427</f>
        <v>0.97736768985883715</v>
      </c>
      <c r="F425" s="105">
        <f t="shared" si="17"/>
        <v>0.46588077516979315</v>
      </c>
      <c r="G425">
        <v>76</v>
      </c>
      <c r="H425" s="14">
        <f>$N$2*B425+$O$2*C425+$P$2*D425+$Q$2*E425</f>
        <v>9957222.2689200453</v>
      </c>
      <c r="J425" s="13">
        <f t="shared" si="18"/>
        <v>-42777.731079954654</v>
      </c>
      <c r="K425" s="28">
        <f t="shared" si="19"/>
        <v>-4.2777731079954862E-3</v>
      </c>
    </row>
    <row r="426" spans="1:11">
      <c r="A426" s="1">
        <v>425</v>
      </c>
      <c r="B426" s="28">
        <f>Data!D429/Data!D428</f>
        <v>0.99900264858480103</v>
      </c>
      <c r="C426" s="28">
        <f>Data!H429/Data!H428</f>
        <v>0.97912416639171329</v>
      </c>
      <c r="D426" s="28">
        <f>Data!L429/Data!L428</f>
        <v>0.985465327327953</v>
      </c>
      <c r="E426" s="28">
        <f>Data!P429/Data!P428</f>
        <v>1.0181581148269117</v>
      </c>
      <c r="F426" s="105">
        <f t="shared" si="17"/>
        <v>0.47058664158564961</v>
      </c>
      <c r="G426">
        <v>75</v>
      </c>
      <c r="H426" s="14">
        <f>$N$2*B426+$O$2*C426+$P$2*D426+$Q$2*E426</f>
        <v>9955164.6504961196</v>
      </c>
      <c r="J426" s="13">
        <f t="shared" si="18"/>
        <v>-44835.349503880367</v>
      </c>
      <c r="K426" s="28">
        <f t="shared" si="19"/>
        <v>-4.4835349503880018E-3</v>
      </c>
    </row>
    <row r="427" spans="1:11">
      <c r="A427" s="1">
        <v>426</v>
      </c>
      <c r="B427" s="28">
        <f>Data!D430/Data!D429</f>
        <v>1.0172689032224742</v>
      </c>
      <c r="C427" s="28">
        <f>Data!H430/Data!H429</f>
        <v>1.0047350446688685</v>
      </c>
      <c r="D427" s="28">
        <f>Data!L430/Data!L429</f>
        <v>1.0039538713488987</v>
      </c>
      <c r="E427" s="28">
        <f>Data!P430/Data!P429</f>
        <v>0.98334561101748152</v>
      </c>
      <c r="F427" s="105">
        <f t="shared" si="17"/>
        <v>0.47534004200570668</v>
      </c>
      <c r="G427">
        <v>74</v>
      </c>
      <c r="H427" s="14">
        <f>$N$2*B427+$O$2*C427+$P$2*D427+$Q$2*E427</f>
        <v>10053925.840280363</v>
      </c>
      <c r="J427" s="13">
        <f t="shared" si="18"/>
        <v>53925.840280363336</v>
      </c>
      <c r="K427" s="28">
        <f t="shared" si="19"/>
        <v>5.3925840280364401E-3</v>
      </c>
    </row>
    <row r="428" spans="1:11">
      <c r="A428" s="1">
        <v>427</v>
      </c>
      <c r="B428" s="28">
        <f>Data!D431/Data!D430</f>
        <v>0.96869042282685869</v>
      </c>
      <c r="C428" s="28">
        <f>Data!H431/Data!H430</f>
        <v>0.99284937471751611</v>
      </c>
      <c r="D428" s="28">
        <f>Data!L431/Data!L430</f>
        <v>0.98983813052503811</v>
      </c>
      <c r="E428" s="28">
        <f>Data!P431/Data!P430</f>
        <v>1.0179208149390655</v>
      </c>
      <c r="F428" s="105">
        <f t="shared" si="17"/>
        <v>0.48014145657142088</v>
      </c>
      <c r="G428">
        <v>73</v>
      </c>
      <c r="H428" s="14">
        <f>$N$2*B428+$O$2*C428+$P$2*D428+$Q$2*E428</f>
        <v>9878989.5758631527</v>
      </c>
      <c r="J428" s="13">
        <f t="shared" si="18"/>
        <v>-121010.42413684726</v>
      </c>
      <c r="K428" s="28">
        <f t="shared" si="19"/>
        <v>-1.2101042413684704E-2</v>
      </c>
    </row>
    <row r="429" spans="1:11">
      <c r="A429" s="1">
        <v>428</v>
      </c>
      <c r="B429" s="28">
        <f>Data!D432/Data!D431</f>
        <v>1.0057748646375333</v>
      </c>
      <c r="C429" s="28">
        <f>Data!H432/Data!H431</f>
        <v>0.99849160668341574</v>
      </c>
      <c r="D429" s="28">
        <f>Data!L432/Data!L431</f>
        <v>1.0003744128400833</v>
      </c>
      <c r="E429" s="28">
        <f>Data!P432/Data!P431</f>
        <v>0.97181852891993126</v>
      </c>
      <c r="F429" s="105">
        <f t="shared" si="17"/>
        <v>0.4849913702741625</v>
      </c>
      <c r="G429">
        <v>72</v>
      </c>
      <c r="H429" s="14">
        <f>$N$2*B429+$O$2*C429+$P$2*D429+$Q$2*E429</f>
        <v>9962585.7492803261</v>
      </c>
      <c r="J429" s="13">
        <f t="shared" si="18"/>
        <v>-37414.250719673932</v>
      </c>
      <c r="K429" s="28">
        <f t="shared" si="19"/>
        <v>-3.7414250719673969E-3</v>
      </c>
    </row>
    <row r="430" spans="1:11">
      <c r="A430" s="1">
        <v>429</v>
      </c>
      <c r="B430" s="28">
        <f>Data!D433/Data!D432</f>
        <v>1.0007687096101732</v>
      </c>
      <c r="C430" s="28">
        <f>Data!H433/Data!H432</f>
        <v>0.97945409277522111</v>
      </c>
      <c r="D430" s="28">
        <f>Data!L433/Data!L432</f>
        <v>0.97635633199112781</v>
      </c>
      <c r="E430" s="28">
        <f>Data!P433/Data!P432</f>
        <v>0.97837209762432376</v>
      </c>
      <c r="F430" s="105">
        <f t="shared" si="17"/>
        <v>0.48989027300420462</v>
      </c>
      <c r="G430">
        <v>71</v>
      </c>
      <c r="H430" s="14">
        <f>$N$2*B430+$O$2*C430+$P$2*D430+$Q$2*E430</f>
        <v>9874537.6440061312</v>
      </c>
      <c r="J430" s="13">
        <f t="shared" si="18"/>
        <v>-125462.35599386878</v>
      </c>
      <c r="K430" s="28">
        <f t="shared" si="19"/>
        <v>-1.2546235599386835E-2</v>
      </c>
    </row>
    <row r="431" spans="1:11">
      <c r="A431" s="1">
        <v>430</v>
      </c>
      <c r="B431" s="28">
        <f>Data!D434/Data!D433</f>
        <v>0.98323889156501021</v>
      </c>
      <c r="C431" s="28">
        <f>Data!H434/Data!H433</f>
        <v>0.98758506472771557</v>
      </c>
      <c r="D431" s="28">
        <f>Data!L434/Data!L433</f>
        <v>0.98261122400047929</v>
      </c>
      <c r="E431" s="28">
        <f>Data!P434/Data!P433</f>
        <v>1.0155552926496998</v>
      </c>
      <c r="F431" s="105">
        <f t="shared" si="17"/>
        <v>0.49483865960020668</v>
      </c>
      <c r="G431">
        <v>70</v>
      </c>
      <c r="H431" s="14">
        <f>$N$2*B431+$O$2*C431+$P$2*D431+$Q$2*E431</f>
        <v>9909432.569743067</v>
      </c>
      <c r="J431" s="13">
        <f t="shared" si="18"/>
        <v>-90567.430256932974</v>
      </c>
      <c r="K431" s="28">
        <f t="shared" si="19"/>
        <v>-9.0567430256932591E-3</v>
      </c>
    </row>
    <row r="432" spans="1:11">
      <c r="A432" s="1">
        <v>431</v>
      </c>
      <c r="B432" s="28">
        <f>Data!D435/Data!D434</f>
        <v>1.0047841029744855</v>
      </c>
      <c r="C432" s="28">
        <f>Data!H435/Data!H434</f>
        <v>1.0026211191951646</v>
      </c>
      <c r="D432" s="28">
        <f>Data!L435/Data!L434</f>
        <v>0.99471597880899354</v>
      </c>
      <c r="E432" s="28">
        <f>Data!P435/Data!P434</f>
        <v>0.96778867599390717</v>
      </c>
      <c r="F432" s="105">
        <f t="shared" si="17"/>
        <v>0.49983702989919865</v>
      </c>
      <c r="G432">
        <v>69</v>
      </c>
      <c r="H432" s="14">
        <f>$N$2*B432+$O$2*C432+$P$2*D432+$Q$2*E432</f>
        <v>9957293.1002802439</v>
      </c>
      <c r="J432" s="13">
        <f t="shared" si="18"/>
        <v>-42706.899719756097</v>
      </c>
      <c r="K432" s="28">
        <f t="shared" si="19"/>
        <v>-4.2706899719756608E-3</v>
      </c>
    </row>
    <row r="433" spans="1:11">
      <c r="A433" s="1">
        <v>432</v>
      </c>
      <c r="B433" s="28">
        <f>Data!D436/Data!D435</f>
        <v>1.0136530830419106</v>
      </c>
      <c r="C433" s="28">
        <f>Data!H436/Data!H435</f>
        <v>1.0015061459747927</v>
      </c>
      <c r="D433" s="28">
        <f>Data!L436/Data!L435</f>
        <v>0.99737330276136893</v>
      </c>
      <c r="E433" s="28">
        <f>Data!P436/Data!P435</f>
        <v>1.0062226303823874</v>
      </c>
      <c r="F433" s="105">
        <f t="shared" si="17"/>
        <v>0.50488588878706941</v>
      </c>
      <c r="G433">
        <v>68</v>
      </c>
      <c r="H433" s="14">
        <f>$N$2*B433+$O$2*C433+$P$2*D433+$Q$2*E433</f>
        <v>10068949.333618162</v>
      </c>
      <c r="J433" s="13">
        <f t="shared" si="18"/>
        <v>68949.3336181622</v>
      </c>
      <c r="K433" s="28">
        <f t="shared" si="19"/>
        <v>6.8949333618162356E-3</v>
      </c>
    </row>
    <row r="434" spans="1:11">
      <c r="A434" s="1">
        <v>433</v>
      </c>
      <c r="B434" s="28">
        <f>Data!D437/Data!D436</f>
        <v>0.99689047601636416</v>
      </c>
      <c r="C434" s="28">
        <f>Data!H437/Data!H436</f>
        <v>1.0083437289999222</v>
      </c>
      <c r="D434" s="28">
        <f>Data!L437/Data!L436</f>
        <v>1.0022907351282293</v>
      </c>
      <c r="E434" s="28">
        <f>Data!P437/Data!P436</f>
        <v>1.0247730951868961</v>
      </c>
      <c r="F434" s="105">
        <f t="shared" si="17"/>
        <v>0.50998574624956505</v>
      </c>
      <c r="G434">
        <v>67</v>
      </c>
      <c r="H434" s="14">
        <f>$N$2*B434+$O$2*C434+$P$2*D434+$Q$2*E434</f>
        <v>10064430.016567245</v>
      </c>
      <c r="J434" s="13">
        <f t="shared" si="18"/>
        <v>64430.016567245126</v>
      </c>
      <c r="K434" s="28">
        <f t="shared" si="19"/>
        <v>6.4430016567245119E-3</v>
      </c>
    </row>
    <row r="435" spans="1:11">
      <c r="A435" s="1">
        <v>434</v>
      </c>
      <c r="B435" s="28">
        <f>Data!D438/Data!D437</f>
        <v>0.99113380954399188</v>
      </c>
      <c r="C435" s="28">
        <f>Data!H438/Data!H437</f>
        <v>1.0059472433846341</v>
      </c>
      <c r="D435" s="28">
        <f>Data!L438/Data!L437</f>
        <v>1.008945997464985</v>
      </c>
      <c r="E435" s="28">
        <f>Data!P438/Data!P437</f>
        <v>1.0008760857725205</v>
      </c>
      <c r="F435" s="105">
        <f t="shared" si="17"/>
        <v>0.51513711742380308</v>
      </c>
      <c r="G435">
        <v>66</v>
      </c>
      <c r="H435" s="14">
        <f>$N$2*B435+$O$2*C435+$P$2*D435+$Q$2*E435</f>
        <v>9993075.1373398956</v>
      </c>
      <c r="J435" s="13">
        <f t="shared" si="18"/>
        <v>-6924.8626601044089</v>
      </c>
      <c r="K435" s="28">
        <f t="shared" si="19"/>
        <v>-6.9248626601048358E-4</v>
      </c>
    </row>
    <row r="436" spans="1:11">
      <c r="A436" s="1">
        <v>435</v>
      </c>
      <c r="B436" s="28">
        <f>Data!D439/Data!D438</f>
        <v>0.98920750310436423</v>
      </c>
      <c r="C436" s="28">
        <f>Data!H439/Data!H438</f>
        <v>0.98500491083046315</v>
      </c>
      <c r="D436" s="28">
        <f>Data!L439/Data!L438</f>
        <v>0.98634394164178263</v>
      </c>
      <c r="E436" s="28">
        <f>Data!P439/Data!P438</f>
        <v>1.0095200460854807</v>
      </c>
      <c r="F436" s="105">
        <f t="shared" si="17"/>
        <v>0.52034052265030617</v>
      </c>
      <c r="G436">
        <v>65</v>
      </c>
      <c r="H436" s="14">
        <f>$N$2*B436+$O$2*C436+$P$2*D436+$Q$2*E436</f>
        <v>9917228.7787215915</v>
      </c>
      <c r="J436" s="13">
        <f t="shared" si="18"/>
        <v>-82771.221278408542</v>
      </c>
      <c r="K436" s="28">
        <f t="shared" si="19"/>
        <v>-8.2771221278408191E-3</v>
      </c>
    </row>
    <row r="437" spans="1:11">
      <c r="A437" s="1">
        <v>436</v>
      </c>
      <c r="B437" s="28">
        <f>Data!D440/Data!D439</f>
        <v>1.0028289824807592</v>
      </c>
      <c r="C437" s="28">
        <f>Data!H440/Data!H439</f>
        <v>0.99800557957901515</v>
      </c>
      <c r="D437" s="28">
        <f>Data!L440/Data!L439</f>
        <v>0.99238257097487659</v>
      </c>
      <c r="E437" s="28">
        <f>Data!P440/Data!P439</f>
        <v>0.97695129869142994</v>
      </c>
      <c r="F437" s="105">
        <f t="shared" si="17"/>
        <v>0.52559648752556176</v>
      </c>
      <c r="G437">
        <v>64</v>
      </c>
      <c r="H437" s="14">
        <f>$N$2*B437+$O$2*C437+$P$2*D437+$Q$2*E437</f>
        <v>9951617.8370178193</v>
      </c>
      <c r="J437" s="13">
        <f t="shared" si="18"/>
        <v>-48382.162982180715</v>
      </c>
      <c r="K437" s="28">
        <f t="shared" si="19"/>
        <v>-4.8382162982181232E-3</v>
      </c>
    </row>
    <row r="438" spans="1:11">
      <c r="A438" s="1">
        <v>437</v>
      </c>
      <c r="B438" s="28">
        <f>Data!D441/Data!D440</f>
        <v>0.98172939105983625</v>
      </c>
      <c r="C438" s="28">
        <f>Data!H441/Data!H440</f>
        <v>0.98690214870380466</v>
      </c>
      <c r="D438" s="28">
        <f>Data!L441/Data!L440</f>
        <v>0.99117246145718618</v>
      </c>
      <c r="E438" s="28">
        <f>Data!P441/Data!P440</f>
        <v>0.99210962796869639</v>
      </c>
      <c r="F438" s="105">
        <f t="shared" si="17"/>
        <v>0.53090554295511294</v>
      </c>
      <c r="G438">
        <v>63</v>
      </c>
      <c r="H438" s="14">
        <f>$N$2*B438+$O$2*C438+$P$2*D438+$Q$2*E438</f>
        <v>9863015.7277453393</v>
      </c>
      <c r="J438" s="13">
        <f t="shared" si="18"/>
        <v>-136984.27225466073</v>
      </c>
      <c r="K438" s="28">
        <f t="shared" si="19"/>
        <v>-1.3698427225466103E-2</v>
      </c>
    </row>
    <row r="439" spans="1:11">
      <c r="A439" s="1">
        <v>438</v>
      </c>
      <c r="B439" s="28">
        <f>Data!D442/Data!D441</f>
        <v>0.9999721347092595</v>
      </c>
      <c r="C439" s="28">
        <f>Data!H442/Data!H441</f>
        <v>0.99998732040141081</v>
      </c>
      <c r="D439" s="28">
        <f>Data!L442/Data!L441</f>
        <v>0.99101565959423465</v>
      </c>
      <c r="E439" s="28">
        <f>Data!P442/Data!P441</f>
        <v>0.98905007991730731</v>
      </c>
      <c r="F439" s="105">
        <f t="shared" si="17"/>
        <v>0.53626822520718487</v>
      </c>
      <c r="G439">
        <v>62</v>
      </c>
      <c r="H439" s="14">
        <f>$N$2*B439+$O$2*C439+$P$2*D439+$Q$2*E439</f>
        <v>9968966.3194701206</v>
      </c>
      <c r="J439" s="13">
        <f t="shared" si="18"/>
        <v>-31033.680529879406</v>
      </c>
      <c r="K439" s="28">
        <f t="shared" si="19"/>
        <v>-3.1033680529879426E-3</v>
      </c>
    </row>
    <row r="440" spans="1:11">
      <c r="A440" s="1">
        <v>439</v>
      </c>
      <c r="B440" s="28">
        <f>Data!D443/Data!D442</f>
        <v>0.99705041900432001</v>
      </c>
      <c r="C440" s="28">
        <f>Data!H443/Data!H442</f>
        <v>1.0002022178469687</v>
      </c>
      <c r="D440" s="28">
        <f>Data!L443/Data!L442</f>
        <v>0.9986217843515901</v>
      </c>
      <c r="E440" s="28">
        <f>Data!P443/Data!P442</f>
        <v>1.0013777555299281</v>
      </c>
      <c r="F440" s="105">
        <f t="shared" si="17"/>
        <v>0.54168507596685322</v>
      </c>
      <c r="G440">
        <v>61</v>
      </c>
      <c r="H440" s="14">
        <f>$N$2*B440+$O$2*C440+$P$2*D440+$Q$2*E440</f>
        <v>9990185.6249696333</v>
      </c>
      <c r="J440" s="13">
        <f t="shared" si="18"/>
        <v>-9814.3750303667039</v>
      </c>
      <c r="K440" s="28">
        <f t="shared" si="19"/>
        <v>-9.814375030366973E-4</v>
      </c>
    </row>
    <row r="441" spans="1:11">
      <c r="A441" s="1">
        <v>440</v>
      </c>
      <c r="B441" s="28">
        <f>Data!D444/Data!D443</f>
        <v>1.0003726467148228</v>
      </c>
      <c r="C441" s="28">
        <f>Data!H444/Data!H443</f>
        <v>1.0039911224803069</v>
      </c>
      <c r="D441" s="28">
        <f>Data!L444/Data!L443</f>
        <v>1.0120832480398978</v>
      </c>
      <c r="E441" s="28">
        <f>Data!P444/Data!P443</f>
        <v>0.99433536954502788</v>
      </c>
      <c r="F441" s="105">
        <f t="shared" si="17"/>
        <v>0.54715664239076089</v>
      </c>
      <c r="G441">
        <v>60</v>
      </c>
      <c r="H441" s="14">
        <f>$N$2*B441+$O$2*C441+$P$2*D441+$Q$2*E441</f>
        <v>10014217.941430165</v>
      </c>
      <c r="J441" s="13">
        <f t="shared" si="18"/>
        <v>14217.941430164501</v>
      </c>
      <c r="K441" s="28">
        <f t="shared" si="19"/>
        <v>1.4217941430163528E-3</v>
      </c>
    </row>
    <row r="442" spans="1:11">
      <c r="A442" s="1">
        <v>441</v>
      </c>
      <c r="B442" s="28">
        <f>Data!D445/Data!D444</f>
        <v>0.96965669163880619</v>
      </c>
      <c r="C442" s="28">
        <f>Data!H445/Data!H444</f>
        <v>0.98428958749533491</v>
      </c>
      <c r="D442" s="28">
        <f>Data!L445/Data!L444</f>
        <v>0.98725342397546634</v>
      </c>
      <c r="E442" s="28">
        <f>Data!P445/Data!P444</f>
        <v>1.0085880865310966</v>
      </c>
      <c r="F442" s="105">
        <f t="shared" si="17"/>
        <v>0.55268347716238486</v>
      </c>
      <c r="G442">
        <v>59</v>
      </c>
      <c r="H442" s="14">
        <f>$N$2*B442+$O$2*C442+$P$2*D442+$Q$2*E442</f>
        <v>9835925.1260788888</v>
      </c>
      <c r="J442" s="13">
        <f t="shared" si="18"/>
        <v>-164074.87392111123</v>
      </c>
      <c r="K442" s="28">
        <f t="shared" si="19"/>
        <v>-1.6407487392111175E-2</v>
      </c>
    </row>
    <row r="443" spans="1:11">
      <c r="A443" s="1">
        <v>442</v>
      </c>
      <c r="B443" s="28">
        <f>Data!D446/Data!D445</f>
        <v>0.9906656701666402</v>
      </c>
      <c r="C443" s="28">
        <f>Data!H446/Data!H445</f>
        <v>1.00332945148518</v>
      </c>
      <c r="D443" s="28">
        <f>Data!L446/Data!L445</f>
        <v>0.99363393808433742</v>
      </c>
      <c r="E443" s="28">
        <f>Data!P446/Data!P445</f>
        <v>0.98958415546484513</v>
      </c>
      <c r="F443" s="105">
        <f t="shared" si="17"/>
        <v>0.55826613854786344</v>
      </c>
      <c r="G443">
        <v>58</v>
      </c>
      <c r="H443" s="14">
        <f>$N$2*B443+$O$2*C443+$P$2*D443+$Q$2*E443</f>
        <v>9945453.2841361277</v>
      </c>
      <c r="J443" s="13">
        <f t="shared" si="18"/>
        <v>-54546.715863872319</v>
      </c>
      <c r="K443" s="28">
        <f t="shared" si="19"/>
        <v>-5.4546715863872386E-3</v>
      </c>
    </row>
    <row r="444" spans="1:11">
      <c r="A444" s="1">
        <v>443</v>
      </c>
      <c r="B444" s="28">
        <f>Data!D447/Data!D446</f>
        <v>1.0003084648936105</v>
      </c>
      <c r="C444" s="28">
        <f>Data!H447/Data!H446</f>
        <v>1.01669602935001</v>
      </c>
      <c r="D444" s="28">
        <f>Data!L447/Data!L446</f>
        <v>1.0088525427688957</v>
      </c>
      <c r="E444" s="28">
        <f>Data!P447/Data!P446</f>
        <v>0.99657069129011888</v>
      </c>
      <c r="F444" s="105">
        <f t="shared" si="17"/>
        <v>0.56390519045238729</v>
      </c>
      <c r="G444">
        <v>57</v>
      </c>
      <c r="H444" s="14">
        <f>$N$2*B444+$O$2*C444+$P$2*D444+$Q$2*E444</f>
        <v>10053315.872973606</v>
      </c>
      <c r="J444" s="13">
        <f t="shared" si="18"/>
        <v>53315.87297360599</v>
      </c>
      <c r="K444" s="28">
        <f t="shared" si="19"/>
        <v>5.3315872973604961E-3</v>
      </c>
    </row>
    <row r="445" spans="1:11">
      <c r="A445" s="1">
        <v>444</v>
      </c>
      <c r="B445" s="28">
        <f>Data!D448/Data!D447</f>
        <v>1.0028414071881875</v>
      </c>
      <c r="C445" s="28">
        <f>Data!H448/Data!H447</f>
        <v>0.97468487784865165</v>
      </c>
      <c r="D445" s="28">
        <f>Data!L448/Data!L447</f>
        <v>0.97873121514585681</v>
      </c>
      <c r="E445" s="28">
        <f>Data!P448/Data!P447</f>
        <v>0.99865147336548643</v>
      </c>
      <c r="F445" s="105">
        <f t="shared" si="17"/>
        <v>0.56960120247715895</v>
      </c>
      <c r="G445">
        <v>56</v>
      </c>
      <c r="H445" s="14">
        <f>$N$2*B445+$O$2*C445+$P$2*D445+$Q$2*E445</f>
        <v>9911454.4241755344</v>
      </c>
      <c r="J445" s="13">
        <f t="shared" si="18"/>
        <v>-88545.575824465603</v>
      </c>
      <c r="K445" s="28">
        <f t="shared" si="19"/>
        <v>-8.8545575824465761E-3</v>
      </c>
    </row>
    <row r="446" spans="1:11">
      <c r="A446" s="1">
        <v>445</v>
      </c>
      <c r="B446" s="28">
        <f>Data!D449/Data!D448</f>
        <v>0.98535000957630559</v>
      </c>
      <c r="C446" s="28">
        <f>Data!H449/Data!H448</f>
        <v>0.99061659766459831</v>
      </c>
      <c r="D446" s="28">
        <f>Data!L449/Data!L448</f>
        <v>0.99676231648210267</v>
      </c>
      <c r="E446" s="28">
        <f>Data!P449/Data!P448</f>
        <v>0.98593563807261975</v>
      </c>
      <c r="F446" s="105">
        <f t="shared" si="17"/>
        <v>0.57535474997692826</v>
      </c>
      <c r="G446">
        <v>55</v>
      </c>
      <c r="H446" s="14">
        <f>$N$2*B446+$O$2*C446+$P$2*D446+$Q$2*E446</f>
        <v>9881883.4239263609</v>
      </c>
      <c r="J446" s="13">
        <f t="shared" si="18"/>
        <v>-118116.57607363909</v>
      </c>
      <c r="K446" s="28">
        <f t="shared" si="19"/>
        <v>-1.1811657607363912E-2</v>
      </c>
    </row>
    <row r="447" spans="1:11">
      <c r="A447" s="1">
        <v>446</v>
      </c>
      <c r="B447" s="28">
        <f>Data!D450/Data!D449</f>
        <v>1.0065106268016346</v>
      </c>
      <c r="C447" s="28">
        <f>Data!H450/Data!H449</f>
        <v>1.0044568672511998</v>
      </c>
      <c r="D447" s="28">
        <f>Data!L450/Data!L449</f>
        <v>1.0013667309766892</v>
      </c>
      <c r="E447" s="28">
        <f>Data!P450/Data!P449</f>
        <v>0.99308704172134177</v>
      </c>
      <c r="F447" s="105">
        <f t="shared" si="17"/>
        <v>0.58116641411810932</v>
      </c>
      <c r="G447">
        <v>54</v>
      </c>
      <c r="H447" s="14">
        <f>$N$2*B447+$O$2*C447+$P$2*D447+$Q$2*E447</f>
        <v>10026953.923379511</v>
      </c>
      <c r="J447" s="13">
        <f t="shared" si="18"/>
        <v>26953.923379510641</v>
      </c>
      <c r="K447" s="28">
        <f t="shared" si="19"/>
        <v>2.6953923379511302E-3</v>
      </c>
    </row>
    <row r="448" spans="1:11">
      <c r="A448" s="1">
        <v>447</v>
      </c>
      <c r="B448" s="28">
        <f>Data!D451/Data!D450</f>
        <v>0.99498871863741323</v>
      </c>
      <c r="C448" s="28">
        <f>Data!H451/Data!H450</f>
        <v>0.99989020813552543</v>
      </c>
      <c r="D448" s="28">
        <f>Data!L451/Data!L450</f>
        <v>0.99654589323107146</v>
      </c>
      <c r="E448" s="28">
        <f>Data!P451/Data!P450</f>
        <v>0.99926611240520469</v>
      </c>
      <c r="F448" s="105">
        <f t="shared" si="17"/>
        <v>0.58703678193748421</v>
      </c>
      <c r="G448">
        <v>53</v>
      </c>
      <c r="H448" s="14">
        <f>$N$2*B448+$O$2*C448+$P$2*D448+$Q$2*E448</f>
        <v>9974703.6169977114</v>
      </c>
      <c r="J448" s="13">
        <f t="shared" si="18"/>
        <v>-25296.38300228864</v>
      </c>
      <c r="K448" s="28">
        <f t="shared" si="19"/>
        <v>-2.529638300228898E-3</v>
      </c>
    </row>
    <row r="449" spans="1:11">
      <c r="A449" s="1">
        <v>448</v>
      </c>
      <c r="B449" s="28">
        <f>Data!D452/Data!D451</f>
        <v>1.0135550696405613</v>
      </c>
      <c r="C449" s="28">
        <f>Data!H452/Data!H451</f>
        <v>0.98805548376413277</v>
      </c>
      <c r="D449" s="28">
        <f>Data!L452/Data!L451</f>
        <v>0.98550224882486359</v>
      </c>
      <c r="E449" s="28">
        <f>Data!P452/Data!P451</f>
        <v>0.9783492778785472</v>
      </c>
      <c r="F449" s="105">
        <f t="shared" si="17"/>
        <v>0.5929664464014992</v>
      </c>
      <c r="G449">
        <v>52</v>
      </c>
      <c r="H449" s="14">
        <f>$N$2*B449+$O$2*C449+$P$2*D449+$Q$2*E449</f>
        <v>9960587.5344366021</v>
      </c>
      <c r="J449" s="13">
        <f t="shared" si="18"/>
        <v>-39412.465563397855</v>
      </c>
      <c r="K449" s="28">
        <f t="shared" si="19"/>
        <v>-3.9412465563397614E-3</v>
      </c>
    </row>
    <row r="450" spans="1:11">
      <c r="A450" s="1">
        <v>449</v>
      </c>
      <c r="B450" s="28">
        <f>Data!D453/Data!D452</f>
        <v>0.97920189455394813</v>
      </c>
      <c r="C450" s="28">
        <f>Data!H453/Data!H452</f>
        <v>1.0198822755693995</v>
      </c>
      <c r="D450" s="28">
        <f>Data!L453/Data!L452</f>
        <v>1.0184934663336782</v>
      </c>
      <c r="E450" s="28">
        <f>Data!P453/Data!P452</f>
        <v>1.0023015344500368</v>
      </c>
      <c r="F450" s="105">
        <f t="shared" ref="F450:F500" si="20">F$503^G450</f>
        <v>0.59895600646616076</v>
      </c>
      <c r="G450">
        <v>51</v>
      </c>
      <c r="H450" s="14">
        <f>$N$2*B450+$O$2*C450+$P$2*D450+$Q$2*E450</f>
        <v>9999550.9401577413</v>
      </c>
      <c r="J450" s="13">
        <f t="shared" si="18"/>
        <v>-449.05984225869179</v>
      </c>
      <c r="K450" s="28">
        <f t="shared" si="19"/>
        <v>-4.490598422590697E-5</v>
      </c>
    </row>
    <row r="451" spans="1:11">
      <c r="A451" s="1">
        <v>450</v>
      </c>
      <c r="B451" s="28">
        <f>Data!D454/Data!D453</f>
        <v>1.0073182721772891</v>
      </c>
      <c r="C451" s="28">
        <f>Data!H454/Data!H453</f>
        <v>0.97749573503618348</v>
      </c>
      <c r="D451" s="28">
        <f>Data!L454/Data!L453</f>
        <v>0.97878607122322947</v>
      </c>
      <c r="E451" s="28">
        <f>Data!P454/Data!P453</f>
        <v>1.0033095978176441</v>
      </c>
      <c r="F451" s="105">
        <f t="shared" si="20"/>
        <v>0.60500606713753613</v>
      </c>
      <c r="G451">
        <v>50</v>
      </c>
      <c r="H451" s="14">
        <f>$N$2*B451+$O$2*C451+$P$2*D451+$Q$2*E451</f>
        <v>9947165.5606762245</v>
      </c>
      <c r="J451" s="13">
        <f t="shared" ref="J451:J501" si="21">H451-SUM($N$2:$Q$2)</f>
        <v>-52834.43932377547</v>
      </c>
      <c r="K451" s="28">
        <f t="shared" ref="K451:K501" si="22">(H451/$R$2)-1</f>
        <v>-5.2834439323775628E-3</v>
      </c>
    </row>
    <row r="452" spans="1:11">
      <c r="A452" s="1">
        <v>451</v>
      </c>
      <c r="B452" s="28">
        <f>Data!D455/Data!D454</f>
        <v>0.98855821790325427</v>
      </c>
      <c r="C452" s="28">
        <f>Data!H455/Data!H454</f>
        <v>0.97826156524013164</v>
      </c>
      <c r="D452" s="28">
        <f>Data!L455/Data!L454</f>
        <v>0.9761524981560088</v>
      </c>
      <c r="E452" s="28">
        <f>Data!P455/Data!P454</f>
        <v>1.005892926556385</v>
      </c>
      <c r="F452" s="105">
        <f t="shared" si="20"/>
        <v>0.61111723953286479</v>
      </c>
      <c r="G452">
        <v>49</v>
      </c>
      <c r="H452" s="14">
        <f>$N$2*B452+$O$2*C452+$P$2*D452+$Q$2*E452</f>
        <v>9876955.9186021909</v>
      </c>
      <c r="J452" s="13">
        <f t="shared" si="21"/>
        <v>-123044.08139780909</v>
      </c>
      <c r="K452" s="28">
        <f t="shared" si="22"/>
        <v>-1.2304408139780953E-2</v>
      </c>
    </row>
    <row r="453" spans="1:11">
      <c r="A453" s="1">
        <v>452</v>
      </c>
      <c r="B453" s="28">
        <f>Data!D456/Data!D455</f>
        <v>0.99591461316296326</v>
      </c>
      <c r="C453" s="28">
        <f>Data!H456/Data!H455</f>
        <v>1.0090967095240275</v>
      </c>
      <c r="D453" s="28">
        <f>Data!L456/Data!L455</f>
        <v>1.0094125732355217</v>
      </c>
      <c r="E453" s="28">
        <f>Data!P456/Data!P455</f>
        <v>0.99389252446953791</v>
      </c>
      <c r="F453" s="105">
        <f t="shared" si="20"/>
        <v>0.61729014094228774</v>
      </c>
      <c r="G453">
        <v>48</v>
      </c>
      <c r="H453" s="14">
        <f>$N$2*B453+$O$2*C453+$P$2*D453+$Q$2*E453</f>
        <v>10008146.203398533</v>
      </c>
      <c r="J453" s="13">
        <f t="shared" si="21"/>
        <v>8146.2033985331655</v>
      </c>
      <c r="K453" s="28">
        <f t="shared" si="22"/>
        <v>8.146203398533558E-4</v>
      </c>
    </row>
    <row r="454" spans="1:11">
      <c r="A454" s="1">
        <v>453</v>
      </c>
      <c r="B454" s="28">
        <f>Data!D457/Data!D456</f>
        <v>0.99161932088005722</v>
      </c>
      <c r="C454" s="28">
        <f>Data!H457/Data!H456</f>
        <v>0.9821740638769737</v>
      </c>
      <c r="D454" s="28">
        <f>Data!L457/Data!L456</f>
        <v>0.98505243696046618</v>
      </c>
      <c r="E454" s="28">
        <f>Data!P457/Data!P456</f>
        <v>0.99989138344860662</v>
      </c>
      <c r="F454" s="105">
        <f t="shared" si="20"/>
        <v>0.62352539489119974</v>
      </c>
      <c r="G454">
        <v>47</v>
      </c>
      <c r="H454" s="14">
        <f>$N$2*B454+$O$2*C454+$P$2*D454+$Q$2*E454</f>
        <v>9897834.6790088285</v>
      </c>
      <c r="J454" s="13">
        <f t="shared" si="21"/>
        <v>-102165.32099117152</v>
      </c>
      <c r="K454" s="28">
        <f t="shared" si="22"/>
        <v>-1.0216532099117104E-2</v>
      </c>
    </row>
    <row r="455" spans="1:11">
      <c r="A455" s="1">
        <v>454</v>
      </c>
      <c r="B455" s="28">
        <f>Data!D458/Data!D457</f>
        <v>1.0252441496222591</v>
      </c>
      <c r="C455" s="28">
        <f>Data!H458/Data!H457</f>
        <v>0.99160976603473783</v>
      </c>
      <c r="D455" s="28">
        <f>Data!L458/Data!L457</f>
        <v>1.0030198169872941</v>
      </c>
      <c r="E455" s="28">
        <f>Data!P458/Data!P457</f>
        <v>0.99628911023600442</v>
      </c>
      <c r="F455" s="105">
        <f t="shared" si="20"/>
        <v>0.62982363120323204</v>
      </c>
      <c r="G455">
        <v>46</v>
      </c>
      <c r="H455" s="14">
        <f>$N$2*B455+$O$2*C455+$P$2*D455+$Q$2*E455</f>
        <v>10071403.934052553</v>
      </c>
      <c r="J455" s="13">
        <f t="shared" si="21"/>
        <v>71403.934052553028</v>
      </c>
      <c r="K455" s="28">
        <f t="shared" si="22"/>
        <v>7.1403934052554074E-3</v>
      </c>
    </row>
    <row r="456" spans="1:11">
      <c r="A456" s="1">
        <v>455</v>
      </c>
      <c r="B456" s="28">
        <f>Data!D459/Data!D458</f>
        <v>1.018451359873586</v>
      </c>
      <c r="C456" s="28">
        <f>Data!H459/Data!H458</f>
        <v>1.0317961632118087</v>
      </c>
      <c r="D456" s="28">
        <f>Data!L459/Data!L458</f>
        <v>1.0316892499227908</v>
      </c>
      <c r="E456" s="28">
        <f>Data!P459/Data!P458</f>
        <v>1.0023135900655089</v>
      </c>
      <c r="F456" s="105">
        <f t="shared" si="20"/>
        <v>0.63618548606387071</v>
      </c>
      <c r="G456">
        <v>45</v>
      </c>
      <c r="H456" s="14">
        <f>$N$2*B456+$O$2*C456+$P$2*D456+$Q$2*E456</f>
        <v>10205510.359183578</v>
      </c>
      <c r="J456" s="13">
        <f t="shared" si="21"/>
        <v>205510.35918357782</v>
      </c>
      <c r="K456" s="28">
        <f t="shared" si="22"/>
        <v>2.055103591835783E-2</v>
      </c>
    </row>
    <row r="457" spans="1:11">
      <c r="A457" s="1">
        <v>456</v>
      </c>
      <c r="B457" s="28">
        <f>Data!D460/Data!D459</f>
        <v>1.0043602238556923</v>
      </c>
      <c r="C457" s="28">
        <f>Data!H460/Data!H459</f>
        <v>1.0116722564892828</v>
      </c>
      <c r="D457" s="28">
        <f>Data!L460/Data!L459</f>
        <v>1.0154262382839119</v>
      </c>
      <c r="E457" s="28">
        <f>Data!P460/Data!P459</f>
        <v>0.98303771551723629</v>
      </c>
      <c r="F457" s="105">
        <f t="shared" si="20"/>
        <v>0.64261160208471801</v>
      </c>
      <c r="G457">
        <v>44</v>
      </c>
      <c r="H457" s="14">
        <f>$N$2*B457+$O$2*C457+$P$2*D457+$Q$2*E457</f>
        <v>10033959.334209001</v>
      </c>
      <c r="J457" s="13">
        <f t="shared" si="21"/>
        <v>33959.334209000692</v>
      </c>
      <c r="K457" s="28">
        <f t="shared" si="22"/>
        <v>3.3959334209001657E-3</v>
      </c>
    </row>
    <row r="458" spans="1:11">
      <c r="A458" s="1">
        <v>457</v>
      </c>
      <c r="B458" s="28">
        <f>Data!D461/Data!D460</f>
        <v>1.0092140525391486</v>
      </c>
      <c r="C458" s="28">
        <f>Data!H461/Data!H460</f>
        <v>0.99786215800473355</v>
      </c>
      <c r="D458" s="28">
        <f>Data!L461/Data!L460</f>
        <v>1.0053736728069389</v>
      </c>
      <c r="E458" s="28">
        <f>Data!P461/Data!P460</f>
        <v>1.028235891382649</v>
      </c>
      <c r="F458" s="105">
        <f t="shared" si="20"/>
        <v>0.64910262836840193</v>
      </c>
      <c r="G458">
        <v>43</v>
      </c>
      <c r="H458" s="14">
        <f>$N$2*B458+$O$2*C458+$P$2*D458+$Q$2*E458</f>
        <v>10092288.139743034</v>
      </c>
      <c r="J458" s="13">
        <f t="shared" si="21"/>
        <v>92288.139743033797</v>
      </c>
      <c r="K458" s="28">
        <f t="shared" si="22"/>
        <v>9.2288139743033071E-3</v>
      </c>
    </row>
    <row r="459" spans="1:11">
      <c r="A459" s="1">
        <v>458</v>
      </c>
      <c r="B459" s="28">
        <f>Data!D462/Data!D461</f>
        <v>1.0025753070458951</v>
      </c>
      <c r="C459" s="28">
        <f>Data!H462/Data!H461</f>
        <v>1.0160461137992116</v>
      </c>
      <c r="D459" s="28">
        <f>Data!L462/Data!L461</f>
        <v>1.0098741304385148</v>
      </c>
      <c r="E459" s="28">
        <f>Data!P462/Data!P461</f>
        <v>1.0009037208690226</v>
      </c>
      <c r="F459" s="105">
        <f t="shared" si="20"/>
        <v>0.65565922057414339</v>
      </c>
      <c r="G459">
        <v>42</v>
      </c>
      <c r="H459" s="14">
        <f>$N$2*B459+$O$2*C459+$P$2*D459+$Q$2*E459</f>
        <v>10070121.141757775</v>
      </c>
      <c r="J459" s="13">
        <f t="shared" si="21"/>
        <v>70121.141757775098</v>
      </c>
      <c r="K459" s="28">
        <f t="shared" si="22"/>
        <v>7.0121141757775174E-3</v>
      </c>
    </row>
    <row r="460" spans="1:11">
      <c r="A460" s="1">
        <v>459</v>
      </c>
      <c r="B460" s="28">
        <f>Data!D463/Data!D462</f>
        <v>0.97566276204869529</v>
      </c>
      <c r="C460" s="28">
        <f>Data!H463/Data!H462</f>
        <v>0.97712599851664661</v>
      </c>
      <c r="D460" s="28">
        <f>Data!L463/Data!L462</f>
        <v>0.98467499482196008</v>
      </c>
      <c r="E460" s="28">
        <f>Data!P463/Data!P462</f>
        <v>1.0237106268176455</v>
      </c>
      <c r="F460" s="105">
        <f t="shared" si="20"/>
        <v>0.66228204098398324</v>
      </c>
      <c r="G460">
        <v>41</v>
      </c>
      <c r="H460" s="14">
        <f>$N$2*B460+$O$2*C460+$P$2*D460+$Q$2*E460</f>
        <v>9866125.2922019716</v>
      </c>
      <c r="J460" s="13">
        <f t="shared" si="21"/>
        <v>-133874.70779802836</v>
      </c>
      <c r="K460" s="28">
        <f t="shared" si="22"/>
        <v>-1.3387470779802846E-2</v>
      </c>
    </row>
    <row r="461" spans="1:11">
      <c r="A461" s="1">
        <v>460</v>
      </c>
      <c r="B461" s="28">
        <f>Data!D464/Data!D463</f>
        <v>1.0018864632822522</v>
      </c>
      <c r="C461" s="28">
        <f>Data!H464/Data!H463</f>
        <v>1.0004563729432927</v>
      </c>
      <c r="D461" s="28">
        <f>Data!L464/Data!L463</f>
        <v>1.0067134469030519</v>
      </c>
      <c r="E461" s="28">
        <f>Data!P464/Data!P463</f>
        <v>0.97780556378502681</v>
      </c>
      <c r="F461" s="105">
        <f t="shared" si="20"/>
        <v>0.66897175856968005</v>
      </c>
      <c r="G461">
        <v>40</v>
      </c>
      <c r="H461" s="14">
        <f>$N$2*B461+$O$2*C461+$P$2*D461+$Q$2*E461</f>
        <v>9971239.5464319922</v>
      </c>
      <c r="J461" s="13">
        <f t="shared" si="21"/>
        <v>-28760.453568007797</v>
      </c>
      <c r="K461" s="28">
        <f t="shared" si="22"/>
        <v>-2.8760453568007494E-3</v>
      </c>
    </row>
    <row r="462" spans="1:11">
      <c r="A462" s="1">
        <v>461</v>
      </c>
      <c r="B462" s="28">
        <f>Data!D465/Data!D464</f>
        <v>0.97892740018415769</v>
      </c>
      <c r="C462" s="28">
        <f>Data!H465/Data!H464</f>
        <v>0.99442475338908942</v>
      </c>
      <c r="D462" s="28">
        <f>Data!L465/Data!L464</f>
        <v>0.99215153360345176</v>
      </c>
      <c r="E462" s="28">
        <f>Data!P465/Data!P464</f>
        <v>1.004031805262884</v>
      </c>
      <c r="F462" s="105">
        <f t="shared" si="20"/>
        <v>0.67572904906028297</v>
      </c>
      <c r="G462">
        <v>39</v>
      </c>
      <c r="H462" s="14">
        <f>$N$2*B462+$O$2*C462+$P$2*D462+$Q$2*E462</f>
        <v>9899199.0050331187</v>
      </c>
      <c r="J462" s="13">
        <f t="shared" si="21"/>
        <v>-100800.99496688135</v>
      </c>
      <c r="K462" s="28">
        <f t="shared" si="22"/>
        <v>-1.0080099496688089E-2</v>
      </c>
    </row>
    <row r="463" spans="1:11">
      <c r="A463" s="1">
        <v>462</v>
      </c>
      <c r="B463" s="28">
        <f>Data!D466/Data!D465</f>
        <v>1.0239401747179968</v>
      </c>
      <c r="C463" s="28">
        <f>Data!H466/Data!H465</f>
        <v>0.99601285977542209</v>
      </c>
      <c r="D463" s="28">
        <f>Data!L466/Data!L465</f>
        <v>0.99004702021215563</v>
      </c>
      <c r="E463" s="28">
        <f>Data!P466/Data!P465</f>
        <v>0.9802557266831351</v>
      </c>
      <c r="F463" s="105">
        <f t="shared" si="20"/>
        <v>0.68255459501038684</v>
      </c>
      <c r="G463">
        <v>38</v>
      </c>
      <c r="H463" s="14">
        <f>$N$2*B463+$O$2*C463+$P$2*D463+$Q$2*E463</f>
        <v>10034357.75177668</v>
      </c>
      <c r="J463" s="13">
        <f t="shared" si="21"/>
        <v>34357.75177668035</v>
      </c>
      <c r="K463" s="28">
        <f t="shared" si="22"/>
        <v>3.4357751776681322E-3</v>
      </c>
    </row>
    <row r="464" spans="1:11">
      <c r="A464" s="1">
        <v>463</v>
      </c>
      <c r="B464" s="28">
        <f>Data!D467/Data!D466</f>
        <v>1.0163306883227639</v>
      </c>
      <c r="C464" s="28">
        <f>Data!H467/Data!H466</f>
        <v>1.0183100969411631</v>
      </c>
      <c r="D464" s="28">
        <f>Data!L467/Data!L466</f>
        <v>1.0161531537957442</v>
      </c>
      <c r="E464" s="28">
        <f>Data!P467/Data!P466</f>
        <v>1.0157380840061598</v>
      </c>
      <c r="F464" s="105">
        <f t="shared" si="20"/>
        <v>0.6894490858690776</v>
      </c>
      <c r="G464">
        <v>37</v>
      </c>
      <c r="H464" s="14">
        <f>$N$2*B464+$O$2*C464+$P$2*D464+$Q$2*E464</f>
        <v>10167882.365922609</v>
      </c>
      <c r="J464" s="13">
        <f t="shared" si="21"/>
        <v>167882.36592260934</v>
      </c>
      <c r="K464" s="28">
        <f t="shared" si="22"/>
        <v>1.6788236592260919E-2</v>
      </c>
    </row>
    <row r="465" spans="1:11">
      <c r="A465" s="1">
        <v>464</v>
      </c>
      <c r="B465" s="28">
        <f>Data!D468/Data!D467</f>
        <v>0.98224486325169269</v>
      </c>
      <c r="C465" s="28">
        <f>Data!H468/Data!H467</f>
        <v>0.99923408860841545</v>
      </c>
      <c r="D465" s="28">
        <f>Data!L468/Data!L467</f>
        <v>1.0009421924005624</v>
      </c>
      <c r="E465" s="28">
        <f>Data!P468/Data!P467</f>
        <v>1.0018784919723744</v>
      </c>
      <c r="F465" s="105">
        <f t="shared" si="20"/>
        <v>0.69641321804957335</v>
      </c>
      <c r="G465">
        <v>36</v>
      </c>
      <c r="H465" s="14">
        <f>$N$2*B465+$O$2*C465+$P$2*D465+$Q$2*E465</f>
        <v>9931380.895177329</v>
      </c>
      <c r="J465" s="13">
        <f t="shared" si="21"/>
        <v>-68619.104822671041</v>
      </c>
      <c r="K465" s="28">
        <f t="shared" si="22"/>
        <v>-6.8619104822671417E-3</v>
      </c>
    </row>
    <row r="466" spans="1:11">
      <c r="A466" s="1">
        <v>465</v>
      </c>
      <c r="B466" s="28">
        <f>Data!D469/Data!D468</f>
        <v>0.99545615142177635</v>
      </c>
      <c r="C466" s="28">
        <f>Data!H469/Data!H468</f>
        <v>0.98588453144168176</v>
      </c>
      <c r="D466" s="28">
        <f>Data!L469/Data!L468</f>
        <v>0.97979130086967792</v>
      </c>
      <c r="E466" s="28">
        <f>Data!P469/Data!P468</f>
        <v>0.98381819910467472</v>
      </c>
      <c r="F466" s="105">
        <f t="shared" si="20"/>
        <v>0.70344769499956905</v>
      </c>
      <c r="G466">
        <v>35</v>
      </c>
      <c r="H466" s="14">
        <f>$N$2*B466+$O$2*C466+$P$2*D466+$Q$2*E466</f>
        <v>9886905.8990911786</v>
      </c>
      <c r="J466" s="13">
        <f t="shared" si="21"/>
        <v>-113094.10090882145</v>
      </c>
      <c r="K466" s="28">
        <f t="shared" si="22"/>
        <v>-1.1309410090882155E-2</v>
      </c>
    </row>
    <row r="467" spans="1:11">
      <c r="A467" s="1">
        <v>466</v>
      </c>
      <c r="B467" s="28">
        <f>Data!D470/Data!D469</f>
        <v>0.99627681365174214</v>
      </c>
      <c r="C467" s="28">
        <f>Data!H470/Data!H469</f>
        <v>0.98942961488082826</v>
      </c>
      <c r="D467" s="28">
        <f>Data!L470/Data!L469</f>
        <v>0.99512931702380714</v>
      </c>
      <c r="E467" s="28">
        <f>Data!P470/Data!P469</f>
        <v>0.98355746677414746</v>
      </c>
      <c r="F467" s="105">
        <f t="shared" si="20"/>
        <v>0.71055322727229198</v>
      </c>
      <c r="G467">
        <v>34</v>
      </c>
      <c r="H467" s="14">
        <f>$N$2*B467+$O$2*C467+$P$2*D467+$Q$2*E467</f>
        <v>9915640.3498215564</v>
      </c>
      <c r="J467" s="13">
        <f t="shared" si="21"/>
        <v>-84359.65017844364</v>
      </c>
      <c r="K467" s="28">
        <f t="shared" si="22"/>
        <v>-8.4359650178443824E-3</v>
      </c>
    </row>
    <row r="468" spans="1:11">
      <c r="A468" s="1">
        <v>467</v>
      </c>
      <c r="B468" s="28">
        <f>Data!D471/Data!D470</f>
        <v>1.0293881240501057</v>
      </c>
      <c r="C468" s="28">
        <f>Data!H471/Data!H470</f>
        <v>1.0196626495742154</v>
      </c>
      <c r="D468" s="28">
        <f>Data!L471/Data!L470</f>
        <v>1.0166038251297842</v>
      </c>
      <c r="E468" s="28">
        <f>Data!P471/Data!P470</f>
        <v>0.99792110374459597</v>
      </c>
      <c r="F468" s="105">
        <f t="shared" si="20"/>
        <v>0.71773053259827468</v>
      </c>
      <c r="G468">
        <v>33</v>
      </c>
      <c r="H468" s="14">
        <f>$N$2*B468+$O$2*C468+$P$2*D468+$Q$2*E468</f>
        <v>10188986.477542046</v>
      </c>
      <c r="J468" s="13">
        <f t="shared" si="21"/>
        <v>188986.47754204646</v>
      </c>
      <c r="K468" s="28">
        <f t="shared" si="22"/>
        <v>1.8898647754204578E-2</v>
      </c>
    </row>
    <row r="469" spans="1:11">
      <c r="A469" s="1">
        <v>468</v>
      </c>
      <c r="B469" s="28">
        <f>Data!D472/Data!D471</f>
        <v>1.0034694213125777</v>
      </c>
      <c r="C469" s="28">
        <f>Data!H472/Data!H471</f>
        <v>1.0036325978760821</v>
      </c>
      <c r="D469" s="28">
        <f>Data!L472/Data!L471</f>
        <v>1.0097515338970509</v>
      </c>
      <c r="E469" s="28">
        <f>Data!P472/Data!P471</f>
        <v>1.0160942005371498</v>
      </c>
      <c r="F469" s="105">
        <f t="shared" si="20"/>
        <v>0.72498033595785327</v>
      </c>
      <c r="G469">
        <v>32</v>
      </c>
      <c r="H469" s="14">
        <f>$N$2*B469+$O$2*C469+$P$2*D469+$Q$2*E469</f>
        <v>10066715.413849907</v>
      </c>
      <c r="J469" s="13">
        <f t="shared" si="21"/>
        <v>66715.413849906996</v>
      </c>
      <c r="K469" s="28">
        <f t="shared" si="22"/>
        <v>6.671541384990709E-3</v>
      </c>
    </row>
    <row r="470" spans="1:11">
      <c r="A470" s="1">
        <v>469</v>
      </c>
      <c r="B470" s="28">
        <f>Data!D473/Data!D472</f>
        <v>0.98072763804609964</v>
      </c>
      <c r="C470" s="28">
        <f>Data!H473/Data!H472</f>
        <v>0.99515683936427202</v>
      </c>
      <c r="D470" s="28">
        <f>Data!L473/Data!L472</f>
        <v>0.9991184562293095</v>
      </c>
      <c r="E470" s="28">
        <f>Data!P473/Data!P472</f>
        <v>0.98613387069867531</v>
      </c>
      <c r="F470" s="105">
        <f t="shared" si="20"/>
        <v>0.73230336965439724</v>
      </c>
      <c r="G470">
        <v>31</v>
      </c>
      <c r="H470" s="14">
        <f>$N$2*B470+$O$2*C470+$P$2*D470+$Q$2*E470</f>
        <v>9879767.2679038756</v>
      </c>
      <c r="J470" s="13">
        <f t="shared" si="21"/>
        <v>-120232.73209612444</v>
      </c>
      <c r="K470" s="28">
        <f t="shared" si="22"/>
        <v>-1.2023273209612495E-2</v>
      </c>
    </row>
    <row r="471" spans="1:11">
      <c r="A471" s="1">
        <v>470</v>
      </c>
      <c r="B471" s="28">
        <f>Data!D474/Data!D473</f>
        <v>1.0264962476260624</v>
      </c>
      <c r="C471" s="28">
        <f>Data!H474/Data!H473</f>
        <v>0.98744722453537426</v>
      </c>
      <c r="D471" s="28">
        <f>Data!L474/Data!L473</f>
        <v>0.9851530869570605</v>
      </c>
      <c r="E471" s="28">
        <f>Data!P474/Data!P473</f>
        <v>0.99793560419777072</v>
      </c>
      <c r="F471" s="105">
        <f t="shared" si="20"/>
        <v>0.7397003733882801</v>
      </c>
      <c r="G471">
        <v>30</v>
      </c>
      <c r="H471" s="14">
        <f>$N$2*B471+$O$2*C471+$P$2*D471+$Q$2*E471</f>
        <v>10049350.959462974</v>
      </c>
      <c r="J471" s="13">
        <f t="shared" si="21"/>
        <v>49350.959462974221</v>
      </c>
      <c r="K471" s="28">
        <f t="shared" si="22"/>
        <v>4.9350959462974853E-3</v>
      </c>
    </row>
    <row r="472" spans="1:11">
      <c r="A472" s="1">
        <v>471</v>
      </c>
      <c r="B472" s="28">
        <f>Data!D475/Data!D474</f>
        <v>1.0040931217147651</v>
      </c>
      <c r="C472" s="28">
        <f>Data!H475/Data!H474</f>
        <v>1.0104782668828252</v>
      </c>
      <c r="D472" s="28">
        <f>Data!L475/Data!L474</f>
        <v>1.008261550923923</v>
      </c>
      <c r="E472" s="28">
        <f>Data!P475/Data!P474</f>
        <v>1.0225326276278528</v>
      </c>
      <c r="F472" s="105">
        <f t="shared" si="20"/>
        <v>0.74717209433159593</v>
      </c>
      <c r="G472">
        <v>29</v>
      </c>
      <c r="H472" s="14">
        <f>$N$2*B472+$O$2*C472+$P$2*D472+$Q$2*E472</f>
        <v>10101134.093687166</v>
      </c>
      <c r="J472" s="13">
        <f t="shared" si="21"/>
        <v>101134.09368716553</v>
      </c>
      <c r="K472" s="28">
        <f t="shared" si="22"/>
        <v>1.0113409368716519E-2</v>
      </c>
    </row>
    <row r="473" spans="1:11">
      <c r="A473" s="1">
        <v>472</v>
      </c>
      <c r="B473" s="28">
        <f>Data!D476/Data!D475</f>
        <v>0.98812800502446452</v>
      </c>
      <c r="C473" s="28">
        <f>Data!H476/Data!H475</f>
        <v>0.99019372686421125</v>
      </c>
      <c r="D473" s="28">
        <f>Data!L476/Data!L475</f>
        <v>0.98965342095399211</v>
      </c>
      <c r="E473" s="28">
        <f>Data!P476/Data!P475</f>
        <v>0.99205569086446321</v>
      </c>
      <c r="F473" s="105">
        <f t="shared" si="20"/>
        <v>0.75471928720363235</v>
      </c>
      <c r="G473">
        <v>28</v>
      </c>
      <c r="H473" s="14">
        <f>$N$2*B473+$O$2*C473+$P$2*D473+$Q$2*E473</f>
        <v>9896858.0033734106</v>
      </c>
      <c r="J473" s="13">
        <f t="shared" si="21"/>
        <v>-103141.99662658945</v>
      </c>
      <c r="K473" s="28">
        <f t="shared" si="22"/>
        <v>-1.0314199662658896E-2</v>
      </c>
    </row>
    <row r="474" spans="1:11">
      <c r="A474" s="1">
        <v>473</v>
      </c>
      <c r="B474" s="28">
        <f>Data!D477/Data!D476</f>
        <v>0.99059392036225991</v>
      </c>
      <c r="C474" s="28">
        <f>Data!H477/Data!H476</f>
        <v>0.96573508194489788</v>
      </c>
      <c r="D474" s="28">
        <f>Data!L477/Data!L476</f>
        <v>0.97168344922151229</v>
      </c>
      <c r="E474" s="28">
        <f>Data!P477/Data!P476</f>
        <v>0.9887332785386449</v>
      </c>
      <c r="F474" s="105">
        <f t="shared" si="20"/>
        <v>0.76234271434710343</v>
      </c>
      <c r="G474">
        <v>27</v>
      </c>
      <c r="H474" s="14">
        <f>$N$2*B474+$O$2*C474+$P$2*D474+$Q$2*E474</f>
        <v>9808730.9335825369</v>
      </c>
      <c r="J474" s="13">
        <f t="shared" si="21"/>
        <v>-191269.06641746312</v>
      </c>
      <c r="K474" s="28">
        <f t="shared" si="22"/>
        <v>-1.9126906641746322E-2</v>
      </c>
    </row>
    <row r="475" spans="1:11">
      <c r="A475" s="1">
        <v>474</v>
      </c>
      <c r="B475" s="28">
        <f>Data!D478/Data!D477</f>
        <v>1.0071941635104953</v>
      </c>
      <c r="C475" s="28">
        <f>Data!H478/Data!H477</f>
        <v>1.0144201897956999</v>
      </c>
      <c r="D475" s="28">
        <f>Data!L478/Data!L477</f>
        <v>1.0060189539443023</v>
      </c>
      <c r="E475" s="28">
        <f>Data!P478/Data!P477</f>
        <v>0.98637829682332256</v>
      </c>
      <c r="F475" s="105">
        <f t="shared" si="20"/>
        <v>0.77004314580515498</v>
      </c>
      <c r="G475">
        <v>26</v>
      </c>
      <c r="H475" s="14">
        <f>$N$2*B475+$O$2*C475+$P$2*D475+$Q$2*E475</f>
        <v>10050812.771020029</v>
      </c>
      <c r="J475" s="13">
        <f t="shared" si="21"/>
        <v>50812.77102002874</v>
      </c>
      <c r="K475" s="28">
        <f t="shared" si="22"/>
        <v>5.0812771020027903E-3</v>
      </c>
    </row>
    <row r="476" spans="1:11">
      <c r="A476" s="1">
        <v>475</v>
      </c>
      <c r="B476" s="28">
        <f>Data!D479/Data!D478</f>
        <v>1.0037853189542292</v>
      </c>
      <c r="C476" s="28">
        <f>Data!H479/Data!H478</f>
        <v>0.98590115389328947</v>
      </c>
      <c r="D476" s="28">
        <f>Data!L479/Data!L478</f>
        <v>0.99319562514078252</v>
      </c>
      <c r="E476" s="28">
        <f>Data!P479/Data!P478</f>
        <v>0.99691728160611948</v>
      </c>
      <c r="F476" s="105">
        <f t="shared" si="20"/>
        <v>0.77782135939914643</v>
      </c>
      <c r="G476">
        <v>25</v>
      </c>
      <c r="H476" s="14">
        <f>$N$2*B476+$O$2*C476+$P$2*D476+$Q$2*E476</f>
        <v>9959874.9258498065</v>
      </c>
      <c r="J476" s="13">
        <f t="shared" si="21"/>
        <v>-40125.074150193483</v>
      </c>
      <c r="K476" s="28">
        <f t="shared" si="22"/>
        <v>-4.0125074150193507E-3</v>
      </c>
    </row>
    <row r="477" spans="1:11">
      <c r="A477" s="1">
        <v>476</v>
      </c>
      <c r="B477" s="28">
        <f>Data!D480/Data!D479</f>
        <v>0.98451873515210253</v>
      </c>
      <c r="C477" s="28">
        <f>Data!H480/Data!H479</f>
        <v>1.0005509779373314</v>
      </c>
      <c r="D477" s="28">
        <f>Data!L480/Data!L479</f>
        <v>1.0001017508968966</v>
      </c>
      <c r="E477" s="28">
        <f>Data!P480/Data!P479</f>
        <v>1.0128677654135427</v>
      </c>
      <c r="F477" s="105">
        <f t="shared" si="20"/>
        <v>0.78567814080721865</v>
      </c>
      <c r="G477">
        <v>24</v>
      </c>
      <c r="H477" s="14">
        <f>$N$2*B477+$O$2*C477+$P$2*D477+$Q$2*E477</f>
        <v>9965565.1561443862</v>
      </c>
      <c r="J477" s="13">
        <f t="shared" si="21"/>
        <v>-34434.843855613843</v>
      </c>
      <c r="K477" s="28">
        <f t="shared" si="22"/>
        <v>-3.4434843855614128E-3</v>
      </c>
    </row>
    <row r="478" spans="1:11">
      <c r="A478" s="1">
        <v>477</v>
      </c>
      <c r="B478" s="28">
        <f>Data!D481/Data!D480</f>
        <v>0.98860218182325021</v>
      </c>
      <c r="C478" s="28">
        <f>Data!H481/Data!H480</f>
        <v>0.97424852456929434</v>
      </c>
      <c r="D478" s="28">
        <f>Data!L481/Data!L480</f>
        <v>0.97391454851152204</v>
      </c>
      <c r="E478" s="28">
        <f>Data!P481/Data!P480</f>
        <v>0.98190210056180705</v>
      </c>
      <c r="F478" s="105">
        <f t="shared" si="20"/>
        <v>0.79361428364365527</v>
      </c>
      <c r="G478">
        <v>23</v>
      </c>
      <c r="H478" s="14">
        <f>$N$2*B478+$O$2*C478+$P$2*D478+$Q$2*E478</f>
        <v>9814873.0506360196</v>
      </c>
      <c r="J478" s="13">
        <f t="shared" si="21"/>
        <v>-185126.94936398044</v>
      </c>
      <c r="K478" s="28">
        <f t="shared" si="22"/>
        <v>-1.8512694936398066E-2</v>
      </c>
    </row>
    <row r="479" spans="1:11">
      <c r="A479" s="1">
        <v>478</v>
      </c>
      <c r="B479" s="28">
        <f>Data!D482/Data!D481</f>
        <v>1.0060694978653661</v>
      </c>
      <c r="C479" s="28">
        <f>Data!H482/Data!H481</f>
        <v>1.0077631707833983</v>
      </c>
      <c r="D479" s="28">
        <f>Data!L482/Data!L481</f>
        <v>1.0092672015022779</v>
      </c>
      <c r="E479" s="28">
        <f>Data!P482/Data!P481</f>
        <v>0.99750717045747217</v>
      </c>
      <c r="F479" s="105">
        <f t="shared" si="20"/>
        <v>0.80163058953904565</v>
      </c>
      <c r="G479">
        <v>22</v>
      </c>
      <c r="H479" s="14">
        <f>$N$2*B479+$O$2*C479+$P$2*D479+$Q$2*E479</f>
        <v>10051849.046228882</v>
      </c>
      <c r="J479" s="13">
        <f t="shared" si="21"/>
        <v>51849.046228881925</v>
      </c>
      <c r="K479" s="28">
        <f t="shared" si="22"/>
        <v>5.1849046228882312E-3</v>
      </c>
    </row>
    <row r="480" spans="1:11">
      <c r="A480" s="1">
        <v>479</v>
      </c>
      <c r="B480" s="28">
        <f>Data!D483/Data!D482</f>
        <v>1.0011193412177695</v>
      </c>
      <c r="C480" s="28">
        <f>Data!H483/Data!H482</f>
        <v>1.0091150330046967</v>
      </c>
      <c r="D480" s="28">
        <f>Data!L483/Data!L482</f>
        <v>0.99623893691291776</v>
      </c>
      <c r="E480" s="28">
        <f>Data!P483/Data!P482</f>
        <v>1.0072908394421485</v>
      </c>
      <c r="F480" s="105">
        <f t="shared" si="20"/>
        <v>0.80972786822125831</v>
      </c>
      <c r="G480">
        <v>21</v>
      </c>
      <c r="H480" s="14">
        <f>$N$2*B480+$O$2*C480+$P$2*D480+$Q$2*E480</f>
        <v>10042643.079682382</v>
      </c>
      <c r="J480" s="13">
        <f t="shared" si="21"/>
        <v>42643.079682381824</v>
      </c>
      <c r="K480" s="28">
        <f t="shared" si="22"/>
        <v>4.2643079682382901E-3</v>
      </c>
    </row>
    <row r="481" spans="1:11">
      <c r="A481" s="1">
        <v>480</v>
      </c>
      <c r="B481" s="28">
        <f>Data!D484/Data!D483</f>
        <v>1.0173093932657407</v>
      </c>
      <c r="C481" s="28">
        <f>Data!H484/Data!H483</f>
        <v>1.0154315834039089</v>
      </c>
      <c r="D481" s="28">
        <f>Data!L484/Data!L483</f>
        <v>1.0177211046864743</v>
      </c>
      <c r="E481" s="28">
        <f>Data!P484/Data!P483</f>
        <v>0.97815390721408513</v>
      </c>
      <c r="F481" s="105">
        <f t="shared" si="20"/>
        <v>0.81790693759723065</v>
      </c>
      <c r="G481">
        <v>20</v>
      </c>
      <c r="H481" s="14">
        <f>$N$2*B481+$O$2*C481+$P$2*D481+$Q$2*E481</f>
        <v>10089561.242389334</v>
      </c>
      <c r="J481" s="13">
        <f t="shared" si="21"/>
        <v>89561.242389334366</v>
      </c>
      <c r="K481" s="28">
        <f t="shared" si="22"/>
        <v>8.9561242389333273E-3</v>
      </c>
    </row>
    <row r="482" spans="1:11">
      <c r="A482" s="1">
        <v>481</v>
      </c>
      <c r="B482" s="28">
        <f>Data!D485/Data!D484</f>
        <v>0.98149390354022947</v>
      </c>
      <c r="C482" s="28">
        <f>Data!H485/Data!H484</f>
        <v>0.98318002048524289</v>
      </c>
      <c r="D482" s="28">
        <f>Data!L485/Data!L484</f>
        <v>0.98169755412536952</v>
      </c>
      <c r="E482" s="28">
        <f>Data!P485/Data!P484</f>
        <v>1.0097221024136473</v>
      </c>
      <c r="F482" s="105">
        <f t="shared" si="20"/>
        <v>0.82616862383558642</v>
      </c>
      <c r="G482">
        <v>19</v>
      </c>
      <c r="H482" s="14">
        <f>$N$2*B482+$O$2*C482+$P$2*D482+$Q$2*E482</f>
        <v>9876657.4345693104</v>
      </c>
      <c r="J482" s="13">
        <f t="shared" si="21"/>
        <v>-123342.5654306896</v>
      </c>
      <c r="K482" s="28">
        <f t="shared" si="22"/>
        <v>-1.2334256543068967E-2</v>
      </c>
    </row>
    <row r="483" spans="1:11">
      <c r="A483" s="1">
        <v>482</v>
      </c>
      <c r="B483" s="28">
        <f>Data!D486/Data!D485</f>
        <v>1.0078542908137917</v>
      </c>
      <c r="C483" s="28">
        <f>Data!H486/Data!H485</f>
        <v>1.0103273791357927</v>
      </c>
      <c r="D483" s="28">
        <f>Data!L486/Data!L485</f>
        <v>1.0050122475102408</v>
      </c>
      <c r="E483" s="28">
        <f>Data!P486/Data!P485</f>
        <v>0.99898537017766309</v>
      </c>
      <c r="F483" s="105">
        <f t="shared" si="20"/>
        <v>0.83451376145008738</v>
      </c>
      <c r="G483">
        <v>18</v>
      </c>
      <c r="H483" s="14">
        <f>$N$2*B483+$O$2*C483+$P$2*D483+$Q$2*E483</f>
        <v>10065382.288528113</v>
      </c>
      <c r="J483" s="13">
        <f t="shared" si="21"/>
        <v>65382.288528112695</v>
      </c>
      <c r="K483" s="28">
        <f t="shared" si="22"/>
        <v>6.5382288528113008E-3</v>
      </c>
    </row>
    <row r="484" spans="1:11">
      <c r="A484" s="1">
        <v>483</v>
      </c>
      <c r="B484" s="28">
        <f>Data!D487/Data!D486</f>
        <v>1.0184890080512863</v>
      </c>
      <c r="C484" s="28">
        <f>Data!H487/Data!H486</f>
        <v>1.0082076654759498</v>
      </c>
      <c r="D484" s="28">
        <f>Data!L487/Data!L486</f>
        <v>1.0211179912992314</v>
      </c>
      <c r="E484" s="28">
        <f>Data!P487/Data!P486</f>
        <v>1.0041272223273792</v>
      </c>
      <c r="F484" s="105">
        <f t="shared" si="20"/>
        <v>0.84294319338392665</v>
      </c>
      <c r="G484">
        <v>17</v>
      </c>
      <c r="H484" s="14">
        <f>$N$2*B484+$O$2*C484+$P$2*D484+$Q$2*E484</f>
        <v>10127951.464586984</v>
      </c>
      <c r="J484" s="13">
        <f t="shared" si="21"/>
        <v>127951.46458698437</v>
      </c>
      <c r="K484" s="28">
        <f t="shared" si="22"/>
        <v>1.2795146458698392E-2</v>
      </c>
    </row>
    <row r="485" spans="1:11">
      <c r="A485" s="1">
        <v>484</v>
      </c>
      <c r="B485" s="28">
        <f>Data!D488/Data!D487</f>
        <v>0.98534977695605186</v>
      </c>
      <c r="C485" s="28">
        <f>Data!H488/Data!H487</f>
        <v>1.0032942922839676</v>
      </c>
      <c r="D485" s="28">
        <f>Data!L488/Data!L487</f>
        <v>1.0047316031191376</v>
      </c>
      <c r="E485" s="28">
        <f>Data!P488/Data!P487</f>
        <v>1.0322545311417208</v>
      </c>
      <c r="F485" s="105">
        <f t="shared" si="20"/>
        <v>0.85145777109487542</v>
      </c>
      <c r="G485">
        <v>16</v>
      </c>
      <c r="H485" s="14">
        <f>$N$2*B485+$O$2*C485+$P$2*D485+$Q$2*E485</f>
        <v>10020522.65007869</v>
      </c>
      <c r="J485" s="13">
        <f t="shared" si="21"/>
        <v>20522.65007868968</v>
      </c>
      <c r="K485" s="28">
        <f t="shared" si="22"/>
        <v>2.0522650078689253E-3</v>
      </c>
    </row>
    <row r="486" spans="1:11">
      <c r="A486" s="1">
        <v>485</v>
      </c>
      <c r="B486" s="28">
        <f>Data!D489/Data!D488</f>
        <v>0.99769308401661538</v>
      </c>
      <c r="C486" s="28">
        <f>Data!H489/Data!H488</f>
        <v>0.97672924090069246</v>
      </c>
      <c r="D486" s="28">
        <f>Data!L489/Data!L488</f>
        <v>0.99877675245141118</v>
      </c>
      <c r="E486" s="28">
        <f>Data!P489/Data!P488</f>
        <v>0.96171666614339313</v>
      </c>
      <c r="F486" s="105">
        <f t="shared" si="20"/>
        <v>0.86005835464128833</v>
      </c>
      <c r="G486">
        <v>15</v>
      </c>
      <c r="H486" s="14">
        <f>$N$2*B486+$O$2*C486+$P$2*D486+$Q$2*E486</f>
        <v>9843170.1435067356</v>
      </c>
      <c r="J486" s="13">
        <f t="shared" si="21"/>
        <v>-156829.85649326444</v>
      </c>
      <c r="K486" s="28">
        <f t="shared" si="22"/>
        <v>-1.5682985649326464E-2</v>
      </c>
    </row>
    <row r="487" spans="1:11">
      <c r="A487" s="1">
        <v>486</v>
      </c>
      <c r="B487" s="28">
        <f>Data!D490/Data!D489</f>
        <v>1.0013857871722647</v>
      </c>
      <c r="C487" s="28">
        <f>Data!H490/Data!H489</f>
        <v>0.97304955979704899</v>
      </c>
      <c r="D487" s="28">
        <f>Data!L490/Data!L489</f>
        <v>0.9756365080444046</v>
      </c>
      <c r="E487" s="28">
        <f>Data!P490/Data!P489</f>
        <v>1.0101592217969226</v>
      </c>
      <c r="F487" s="105">
        <f t="shared" si="20"/>
        <v>0.86874581276897811</v>
      </c>
      <c r="G487">
        <v>14</v>
      </c>
      <c r="H487" s="14">
        <f>$N$2*B487+$O$2*C487+$P$2*D487+$Q$2*E487</f>
        <v>9920646.7797184549</v>
      </c>
      <c r="J487" s="13">
        <f t="shared" si="21"/>
        <v>-79353.220281545073</v>
      </c>
      <c r="K487" s="28">
        <f t="shared" si="22"/>
        <v>-7.9353220281545012E-3</v>
      </c>
    </row>
    <row r="488" spans="1:11">
      <c r="A488" s="1">
        <v>487</v>
      </c>
      <c r="B488" s="28">
        <f>Data!D491/Data!D490</f>
        <v>0.97011587738708804</v>
      </c>
      <c r="C488" s="28">
        <f>Data!H491/Data!H490</f>
        <v>0.97273016083164232</v>
      </c>
      <c r="D488" s="28">
        <f>Data!L491/Data!L490</f>
        <v>0.96252882638288761</v>
      </c>
      <c r="E488" s="28">
        <f>Data!P491/Data!P490</f>
        <v>0.99271611273701932</v>
      </c>
      <c r="F488" s="105">
        <f t="shared" si="20"/>
        <v>0.87752102299896773</v>
      </c>
      <c r="G488">
        <v>13</v>
      </c>
      <c r="H488" s="14">
        <f>$N$2*B488+$O$2*C488+$P$2*D488+$Q$2*E488</f>
        <v>9746615.0439002048</v>
      </c>
      <c r="J488" s="13">
        <f t="shared" si="21"/>
        <v>-253384.95609979518</v>
      </c>
      <c r="K488" s="28">
        <f t="shared" si="22"/>
        <v>-2.5338495609979472E-2</v>
      </c>
    </row>
    <row r="489" spans="1:11">
      <c r="A489" s="1">
        <v>488</v>
      </c>
      <c r="B489" s="28">
        <f>Data!D492/Data!D491</f>
        <v>1.0029253957060231</v>
      </c>
      <c r="C489" s="28">
        <f>Data!H492/Data!H491</f>
        <v>0.97432656466319567</v>
      </c>
      <c r="D489" s="28">
        <f>Data!L492/Data!L491</f>
        <v>0.96726880592968301</v>
      </c>
      <c r="E489" s="28">
        <f>Data!P492/Data!P491</f>
        <v>0.98747499185358523</v>
      </c>
      <c r="F489" s="105">
        <f t="shared" si="20"/>
        <v>0.88638487171612912</v>
      </c>
      <c r="G489">
        <v>12</v>
      </c>
      <c r="H489" s="14">
        <f>$N$2*B489+$O$2*C489+$P$2*D489+$Q$2*E489</f>
        <v>9876900.0664505325</v>
      </c>
      <c r="J489" s="13">
        <f t="shared" si="21"/>
        <v>-123099.93354946747</v>
      </c>
      <c r="K489" s="28">
        <f t="shared" si="22"/>
        <v>-1.2309993354946758E-2</v>
      </c>
    </row>
    <row r="490" spans="1:11">
      <c r="A490" s="1">
        <v>489</v>
      </c>
      <c r="B490" s="28">
        <f>Data!D493/Data!D492</f>
        <v>1.0258248848583367</v>
      </c>
      <c r="C490" s="28">
        <f>Data!H493/Data!H492</f>
        <v>1.037760900894295</v>
      </c>
      <c r="D490" s="28">
        <f>Data!L493/Data!L492</f>
        <v>1.0299378261954719</v>
      </c>
      <c r="E490" s="28">
        <f>Data!P493/Data!P492</f>
        <v>1.0192023116348563</v>
      </c>
      <c r="F490" s="105">
        <f t="shared" si="20"/>
        <v>0.89533825425871627</v>
      </c>
      <c r="G490">
        <v>11</v>
      </c>
      <c r="H490" s="14">
        <f>$N$2*B490+$O$2*C490+$P$2*D490+$Q$2*E490</f>
        <v>10284924.691581417</v>
      </c>
      <c r="J490" s="13">
        <f t="shared" si="21"/>
        <v>284924.69158141688</v>
      </c>
      <c r="K490" s="28">
        <f t="shared" si="22"/>
        <v>2.8492469158141631E-2</v>
      </c>
    </row>
    <row r="491" spans="1:11">
      <c r="A491" s="1">
        <v>490</v>
      </c>
      <c r="B491" s="28">
        <f>Data!D494/Data!D493</f>
        <v>0.97567402269532622</v>
      </c>
      <c r="C491" s="28">
        <f>Data!H494/Data!H493</f>
        <v>0.99425042520626561</v>
      </c>
      <c r="D491" s="28">
        <f>Data!L494/Data!L493</f>
        <v>0.98417439591951916</v>
      </c>
      <c r="E491" s="28">
        <f>Data!P494/Data!P493</f>
        <v>0.98693353137062789</v>
      </c>
      <c r="F491" s="105">
        <f t="shared" si="20"/>
        <v>0.9043820750088043</v>
      </c>
      <c r="G491">
        <v>10</v>
      </c>
      <c r="H491" s="14">
        <f>$N$2*B491+$O$2*C491+$P$2*D491+$Q$2*E491</f>
        <v>9843488.8250608779</v>
      </c>
      <c r="J491" s="13">
        <f t="shared" si="21"/>
        <v>-156511.17493912205</v>
      </c>
      <c r="K491" s="28">
        <f t="shared" si="22"/>
        <v>-1.5651117493912237E-2</v>
      </c>
    </row>
    <row r="492" spans="1:11">
      <c r="A492" s="1">
        <v>491</v>
      </c>
      <c r="B492" s="28">
        <f>Data!D495/Data!D494</f>
        <v>1.0034004913304835</v>
      </c>
      <c r="C492" s="28">
        <f>Data!H495/Data!H494</f>
        <v>0.98587915829484885</v>
      </c>
      <c r="D492" s="28">
        <f>Data!L495/Data!L494</f>
        <v>0.99227555758998587</v>
      </c>
      <c r="E492" s="28">
        <f>Data!P495/Data!P494</f>
        <v>0.99471811312953495</v>
      </c>
      <c r="F492" s="105">
        <f t="shared" si="20"/>
        <v>0.91351724748364072</v>
      </c>
      <c r="G492">
        <v>9</v>
      </c>
      <c r="H492" s="14">
        <f>$N$2*B492+$O$2*C492+$P$2*D492+$Q$2*E492</f>
        <v>9952951.2240555361</v>
      </c>
      <c r="J492" s="13">
        <f t="shared" si="21"/>
        <v>-47048.775944463909</v>
      </c>
      <c r="K492" s="28">
        <f t="shared" si="22"/>
        <v>-4.7048775944463772E-3</v>
      </c>
    </row>
    <row r="493" spans="1:11">
      <c r="A493" s="1">
        <v>492</v>
      </c>
      <c r="B493" s="28">
        <f>Data!D496/Data!D495</f>
        <v>1.0146234066796107</v>
      </c>
      <c r="C493" s="28">
        <f>Data!H496/Data!H495</f>
        <v>0.98855142015044206</v>
      </c>
      <c r="D493" s="28">
        <f>Data!L496/Data!L495</f>
        <v>0.98253346851495948</v>
      </c>
      <c r="E493" s="28">
        <f>Data!P496/Data!P495</f>
        <v>0.98979736555970088</v>
      </c>
      <c r="F493" s="105">
        <f t="shared" si="20"/>
        <v>0.92274469442791995</v>
      </c>
      <c r="G493">
        <v>8</v>
      </c>
      <c r="H493" s="14">
        <f>$N$2*B493+$O$2*C493+$P$2*D493+$Q$2*E493</f>
        <v>9986276.0868041292</v>
      </c>
      <c r="J493" s="13">
        <f t="shared" si="21"/>
        <v>-13723.913195870817</v>
      </c>
      <c r="K493" s="28">
        <f t="shared" si="22"/>
        <v>-1.3723913195871074E-3</v>
      </c>
    </row>
    <row r="494" spans="1:11">
      <c r="A494" s="1">
        <v>493</v>
      </c>
      <c r="B494" s="28">
        <f>Data!D497/Data!D496</f>
        <v>0.99897496088321291</v>
      </c>
      <c r="C494" s="28">
        <f>Data!H497/Data!H496</f>
        <v>1.0389608693655084</v>
      </c>
      <c r="D494" s="28">
        <f>Data!L497/Data!L496</f>
        <v>1.0381752456848927</v>
      </c>
      <c r="E494" s="28">
        <f>Data!P497/Data!P496</f>
        <v>1.0020323885157092</v>
      </c>
      <c r="F494" s="105">
        <f t="shared" si="20"/>
        <v>0.93206534790698992</v>
      </c>
      <c r="G494">
        <v>7</v>
      </c>
      <c r="H494" s="14">
        <f>$N$2*B494+$O$2*C494+$P$2*D494+$Q$2*E494</f>
        <v>10155022.474345688</v>
      </c>
      <c r="J494" s="13">
        <f t="shared" si="21"/>
        <v>155022.47434568778</v>
      </c>
      <c r="K494" s="28">
        <f t="shared" si="22"/>
        <v>1.5502247434568739E-2</v>
      </c>
    </row>
    <row r="495" spans="1:11">
      <c r="A495" s="1">
        <v>494</v>
      </c>
      <c r="B495" s="28">
        <f>Data!D498/Data!D497</f>
        <v>0.96822182474332408</v>
      </c>
      <c r="C495" s="28">
        <f>Data!H498/Data!H497</f>
        <v>0.921771022442056</v>
      </c>
      <c r="D495" s="28">
        <f>Data!L498/Data!L497</f>
        <v>0.93953019992246034</v>
      </c>
      <c r="E495" s="28">
        <f>Data!P498/Data!P497</f>
        <v>0.97221421637224004</v>
      </c>
      <c r="F495" s="105">
        <f t="shared" si="20"/>
        <v>0.94148014940099989</v>
      </c>
      <c r="G495">
        <v>6</v>
      </c>
      <c r="H495" s="14">
        <f>$N$2*B495+$O$2*C495+$P$2*D495+$Q$2*E495</f>
        <v>9522158.9989664052</v>
      </c>
      <c r="J495" s="13">
        <f t="shared" si="21"/>
        <v>-477841.00103359483</v>
      </c>
      <c r="K495" s="28">
        <f>(H495/$R$2)-1</f>
        <v>-4.7784100103359428E-2</v>
      </c>
    </row>
    <row r="496" spans="1:11">
      <c r="A496" s="1">
        <v>495</v>
      </c>
      <c r="B496" s="28">
        <f>Data!D499/Data!D498</f>
        <v>0.95936710486100929</v>
      </c>
      <c r="C496" s="28">
        <f>Data!H499/Data!H498</f>
        <v>0.98915456711044847</v>
      </c>
      <c r="D496" s="28">
        <f>Data!L499/Data!L498</f>
        <v>0.9837831881062703</v>
      </c>
      <c r="E496" s="28">
        <f>Data!P499/Data!P498</f>
        <v>1.0134175308802433</v>
      </c>
      <c r="F496" s="105">
        <f t="shared" si="20"/>
        <v>0.95099004989999991</v>
      </c>
      <c r="G496">
        <v>5</v>
      </c>
      <c r="H496" s="14">
        <f>$N$2*B496+$O$2*C496+$P$2*D496+$Q$2*E496</f>
        <v>9815550.3706421405</v>
      </c>
      <c r="J496" s="13">
        <f t="shared" si="21"/>
        <v>-184449.62935785949</v>
      </c>
      <c r="K496" s="28">
        <f t="shared" si="22"/>
        <v>-1.8444962935785902E-2</v>
      </c>
    </row>
    <row r="497" spans="1:12">
      <c r="A497" s="1">
        <v>496</v>
      </c>
      <c r="B497" s="28">
        <f>Data!D500/Data!D499</f>
        <v>1.0386468557899122</v>
      </c>
      <c r="C497" s="28">
        <f>Data!H500/Data!H499</f>
        <v>1.006572380067595</v>
      </c>
      <c r="D497" s="28">
        <f>Data!L500/Data!L499</f>
        <v>1.0022396020107147</v>
      </c>
      <c r="E497" s="28">
        <f>Data!P500/Data!P499</f>
        <v>0.97661820992644066</v>
      </c>
      <c r="F497" s="105">
        <f t="shared" si="20"/>
        <v>0.96059600999999994</v>
      </c>
      <c r="G497">
        <v>4</v>
      </c>
      <c r="H497" s="14">
        <f>$N$2*B497+$O$2*C497+$P$2*D497+$Q$2*E497</f>
        <v>10129780.585226031</v>
      </c>
      <c r="J497" s="13">
        <f t="shared" si="21"/>
        <v>129780.58522603102</v>
      </c>
      <c r="K497" s="28">
        <f t="shared" si="22"/>
        <v>1.2978058522603142E-2</v>
      </c>
    </row>
    <row r="498" spans="1:12">
      <c r="A498" s="1">
        <v>497</v>
      </c>
      <c r="B498" s="28">
        <f>Data!D501/Data!D500</f>
        <v>1.033462828809159</v>
      </c>
      <c r="C498" s="28">
        <f>Data!H501/Data!H500</f>
        <v>1.0963975864884081</v>
      </c>
      <c r="D498" s="28">
        <f>Data!L501/Data!L500</f>
        <v>1.0949331224618453</v>
      </c>
      <c r="E498" s="28">
        <f>Data!P501/Data!P500</f>
        <v>1.0189091071252716</v>
      </c>
      <c r="F498" s="105">
        <f t="shared" si="20"/>
        <v>0.97029899999999991</v>
      </c>
      <c r="G498">
        <v>3</v>
      </c>
      <c r="H498" s="14">
        <f>$N$2*B498+$O$2*C498+$P$2*D498+$Q$2*E498</f>
        <v>10555795.411414247</v>
      </c>
      <c r="J498" s="13">
        <f t="shared" si="21"/>
        <v>555795.41141424701</v>
      </c>
      <c r="K498" s="28">
        <f t="shared" si="22"/>
        <v>5.5579541141424604E-2</v>
      </c>
    </row>
    <row r="499" spans="1:12">
      <c r="A499" s="1">
        <v>498</v>
      </c>
      <c r="B499" s="28">
        <f>Data!D502/Data!D501</f>
        <v>0.96726944164433404</v>
      </c>
      <c r="C499" s="28">
        <f>Data!H502/Data!H501</f>
        <v>0.99201165767953148</v>
      </c>
      <c r="D499" s="28">
        <f>Data!L502/Data!L501</f>
        <v>0.99228681517299644</v>
      </c>
      <c r="E499" s="28">
        <f>Data!P502/Data!P501</f>
        <v>1.0144280345133883</v>
      </c>
      <c r="F499" s="105">
        <f t="shared" si="20"/>
        <v>0.98009999999999997</v>
      </c>
      <c r="G499">
        <v>2</v>
      </c>
      <c r="H499" s="14">
        <f>$N$2*B499+$O$2*C499+$P$2*D499+$Q$2*E499</f>
        <v>9866255.6238157041</v>
      </c>
      <c r="J499" s="13">
        <f t="shared" si="21"/>
        <v>-133744.37618429586</v>
      </c>
      <c r="K499" s="28">
        <f t="shared" si="22"/>
        <v>-1.3374437618429602E-2</v>
      </c>
    </row>
    <row r="500" spans="1:12">
      <c r="A500" s="1">
        <v>499</v>
      </c>
      <c r="B500" s="28">
        <f>Data!D503/Data!D502</f>
        <v>0.98270466943060308</v>
      </c>
      <c r="C500" s="28">
        <f>Data!H503/Data!H502</f>
        <v>0.97745701427992604</v>
      </c>
      <c r="D500" s="28">
        <f>Data!L503/Data!L502</f>
        <v>0.97605643528081387</v>
      </c>
      <c r="E500" s="28">
        <f>Data!P503/Data!P502</f>
        <v>1.0091091748624696</v>
      </c>
      <c r="F500" s="105">
        <f t="shared" si="20"/>
        <v>0.99</v>
      </c>
      <c r="G500">
        <v>1</v>
      </c>
      <c r="H500" s="14">
        <f>$N$2*B500+$O$2*C500+$P$2*D500+$Q$2*E500</f>
        <v>9857464.5055679437</v>
      </c>
      <c r="J500" s="13">
        <f t="shared" si="21"/>
        <v>-142535.49443205632</v>
      </c>
      <c r="K500" s="28">
        <f t="shared" si="22"/>
        <v>-1.4253549443205671E-2</v>
      </c>
    </row>
    <row r="501" spans="1:12">
      <c r="A501" s="1">
        <v>500</v>
      </c>
      <c r="B501" s="28">
        <f>Data!D504/Data!D503</f>
        <v>1.0181881670218573</v>
      </c>
      <c r="C501" s="28">
        <f>Data!H504/Data!H503</f>
        <v>1.0170913974401834</v>
      </c>
      <c r="D501" s="28">
        <f>Data!L504/Data!L503</f>
        <v>1.0275875503005756</v>
      </c>
      <c r="E501" s="28">
        <f>Data!P504/Data!P503</f>
        <v>0.98741227823935329</v>
      </c>
      <c r="F501" s="105">
        <f>F$503^G501</f>
        <v>1</v>
      </c>
      <c r="G501">
        <v>0</v>
      </c>
      <c r="H501" s="14">
        <f>$N$2*B501+$O$2*C501+$P$2*D501+$Q$2*E501</f>
        <v>10126438.967187263</v>
      </c>
      <c r="J501" s="13">
        <f t="shared" si="21"/>
        <v>126438.96718726307</v>
      </c>
      <c r="K501" s="28">
        <f t="shared" si="22"/>
        <v>1.2643896718726344E-2</v>
      </c>
    </row>
    <row r="503" spans="1:12">
      <c r="E503" s="104" t="s">
        <v>101</v>
      </c>
      <c r="F503" s="106">
        <v>0.99</v>
      </c>
      <c r="I503" s="17" t="s">
        <v>26</v>
      </c>
      <c r="J503"/>
      <c r="K503"/>
      <c r="L503" s="17">
        <f>AVERAGE(J2:J501)</f>
        <v>-870.09613562403251</v>
      </c>
    </row>
    <row r="504" spans="1:12">
      <c r="I504" s="17" t="s">
        <v>27</v>
      </c>
      <c r="J504"/>
      <c r="K504"/>
      <c r="L504" s="17">
        <f>STDEV(J2:J501)</f>
        <v>93698.40806965706</v>
      </c>
    </row>
    <row r="505" spans="1:12">
      <c r="I505" s="17" t="s">
        <v>28</v>
      </c>
      <c r="J505"/>
      <c r="K505"/>
      <c r="L505" s="17">
        <f>SKEW(J2:J501)</f>
        <v>8.2179573584354015E-2</v>
      </c>
    </row>
    <row r="506" spans="1:12">
      <c r="I506" s="17" t="s">
        <v>29</v>
      </c>
      <c r="J506"/>
      <c r="K506"/>
      <c r="L506" s="17">
        <f>KURT(J2:J501)</f>
        <v>4.2197047528558098</v>
      </c>
    </row>
    <row r="507" spans="1:12">
      <c r="J507"/>
      <c r="K507"/>
    </row>
    <row r="508" spans="1:12">
      <c r="I508" s="17" t="s">
        <v>30</v>
      </c>
      <c r="J508"/>
      <c r="K508"/>
      <c r="L508" s="17">
        <f>NORMINV(0.99, L503,L504)</f>
        <v>217104.99627823383</v>
      </c>
    </row>
    <row r="509" spans="1:12">
      <c r="I509" s="17" t="s">
        <v>31</v>
      </c>
      <c r="J509"/>
      <c r="K509"/>
      <c r="L509" s="19">
        <f>NORMDIST(L508, L503,L504,FALSE)</f>
        <v>2.8444605145953391E-7</v>
      </c>
    </row>
    <row r="510" spans="1:12">
      <c r="I510" s="17" t="s">
        <v>32</v>
      </c>
      <c r="J510"/>
      <c r="K510"/>
      <c r="L510" s="17">
        <f>(1/L509)*SQRT(0.01*0.99/500)</f>
        <v>15643.455303475805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2"/>
  <sheetViews>
    <sheetView showGridLines="0" zoomScale="149" zoomScaleNormal="100" workbookViewId="0">
      <selection activeCell="B3" sqref="B3"/>
    </sheetView>
  </sheetViews>
  <sheetFormatPr defaultColWidth="11.453125" defaultRowHeight="14.5"/>
  <cols>
    <col min="1" max="1" width="9.08984375" style="1" customWidth="1"/>
    <col min="2" max="2" width="34.90625" style="17" bestFit="1" customWidth="1"/>
    <col min="3" max="3" width="10.6328125" style="17" customWidth="1"/>
    <col min="4" max="4" width="26.08984375" customWidth="1"/>
    <col min="5" max="5" width="16.36328125" bestFit="1" customWidth="1"/>
    <col min="6" max="6" width="14.36328125" customWidth="1"/>
    <col min="7" max="7" width="22.36328125" bestFit="1" customWidth="1"/>
    <col min="8" max="8" width="13.90625" customWidth="1"/>
    <col min="9" max="257" width="9.08984375" customWidth="1"/>
  </cols>
  <sheetData>
    <row r="1" spans="1:6" ht="15" thickBot="1">
      <c r="A1" s="1" t="s">
        <v>12</v>
      </c>
      <c r="B1" s="16" t="s">
        <v>33</v>
      </c>
      <c r="C1" s="16"/>
    </row>
    <row r="2" spans="1:6">
      <c r="A2" s="1">
        <v>494</v>
      </c>
      <c r="B2" s="13">
        <v>-477841.00103359483</v>
      </c>
      <c r="C2" s="13"/>
      <c r="D2" s="92" t="s">
        <v>34</v>
      </c>
      <c r="E2" s="93">
        <v>0.99</v>
      </c>
    </row>
    <row r="3" spans="1:6">
      <c r="A3" s="1">
        <v>339</v>
      </c>
      <c r="B3" s="13">
        <v>-345435.07527311705</v>
      </c>
      <c r="C3" s="13"/>
      <c r="D3" s="54" t="s">
        <v>35</v>
      </c>
      <c r="E3" s="94">
        <f>COUNT(B2:B501)*(1-E2)</f>
        <v>5.0000000000000044</v>
      </c>
      <c r="F3" t="str">
        <f ca="1">_xlfn.FORMULATEXT(E3)</f>
        <v>=COUNT(B2:B501)*(1-E2)</v>
      </c>
    </row>
    <row r="4" spans="1:6" ht="16.5">
      <c r="A4" s="1">
        <v>349</v>
      </c>
      <c r="B4" s="13">
        <v>-282203.84520461224</v>
      </c>
      <c r="C4" s="13"/>
      <c r="D4" s="102" t="s">
        <v>36</v>
      </c>
      <c r="E4" s="103">
        <f>ABS(SMALL(B2:B501,E3))</f>
        <v>253384.95609979518</v>
      </c>
      <c r="F4" t="str">
        <f ca="1">_xlfn.FORMULATEXT(E4)</f>
        <v>=ABS(SMALL(B2:B501,E3))</v>
      </c>
    </row>
    <row r="5" spans="1:6" ht="16.5">
      <c r="A5" s="1">
        <v>329</v>
      </c>
      <c r="B5" s="13">
        <v>-277041.29403526522</v>
      </c>
      <c r="C5" s="13"/>
      <c r="D5" s="54" t="s">
        <v>37</v>
      </c>
      <c r="E5" s="57">
        <f>E4/Escenarios!$R$2</f>
        <v>2.5338495609979517E-2</v>
      </c>
      <c r="F5" t="str">
        <f ca="1">_xlfn.FORMULATEXT(E5)</f>
        <v>=E4/Escenarios!$R$2</v>
      </c>
    </row>
    <row r="6" spans="1:6" ht="16.5">
      <c r="A6" s="1">
        <v>487</v>
      </c>
      <c r="B6" s="90">
        <v>-253384.95609979518</v>
      </c>
      <c r="C6" s="90"/>
      <c r="D6" s="102" t="s">
        <v>38</v>
      </c>
      <c r="E6" s="103">
        <f>ABS(AVERAGE(B2:B5))</f>
        <v>345630.30388664734</v>
      </c>
      <c r="F6" t="str">
        <f ca="1">_xlfn.FORMULATEXT(E6)</f>
        <v>=ABS(AVERAGE(B2:B5))</v>
      </c>
    </row>
    <row r="7" spans="1:6" ht="16.5">
      <c r="A7" s="1">
        <v>227</v>
      </c>
      <c r="B7" s="13">
        <v>-217973.95897909813</v>
      </c>
      <c r="C7" s="13"/>
      <c r="D7" s="54" t="s">
        <v>39</v>
      </c>
      <c r="E7" s="57">
        <f>E6/Escenarios!$R$2</f>
        <v>3.4563030388664734E-2</v>
      </c>
      <c r="F7" t="str">
        <f ca="1">_xlfn.FORMULATEXT(E7)</f>
        <v>=E6/Escenarios!$R$2</v>
      </c>
    </row>
    <row r="8" spans="1:6">
      <c r="A8" s="1">
        <v>131</v>
      </c>
      <c r="B8" s="13">
        <v>-202255.53909110278</v>
      </c>
      <c r="C8" s="13"/>
      <c r="D8" s="54" t="s">
        <v>40</v>
      </c>
      <c r="E8" s="94">
        <v>10</v>
      </c>
    </row>
    <row r="9" spans="1:6" ht="16.5">
      <c r="A9" s="1">
        <v>238</v>
      </c>
      <c r="B9" s="13">
        <v>-201389.21638536826</v>
      </c>
      <c r="C9" s="13"/>
      <c r="D9" s="102" t="s">
        <v>41</v>
      </c>
      <c r="E9" s="103">
        <f>E4*SQRT(E8)</f>
        <v>801273.58609712787</v>
      </c>
      <c r="F9" t="str">
        <f ca="1">_xlfn.FORMULATEXT(E9)</f>
        <v>=E4*SQRT(E8)</v>
      </c>
    </row>
    <row r="10" spans="1:6" ht="17" thickBot="1">
      <c r="A10" s="1">
        <v>473</v>
      </c>
      <c r="B10" s="13">
        <v>-191269.06641746499</v>
      </c>
      <c r="C10" s="13"/>
      <c r="D10" s="58" t="s">
        <v>42</v>
      </c>
      <c r="E10" s="61">
        <f>E9/Escenarios!$R$2</f>
        <v>8.012735860971279E-2</v>
      </c>
      <c r="F10" t="str">
        <f ca="1">_xlfn.FORMULATEXT(E10)</f>
        <v>=E9/Escenarios!$R$2</v>
      </c>
    </row>
    <row r="11" spans="1:6" ht="15" thickBot="1">
      <c r="A11" s="1">
        <v>306</v>
      </c>
      <c r="B11" s="13">
        <v>-191049.65748705342</v>
      </c>
      <c r="C11" s="13"/>
    </row>
    <row r="12" spans="1:6">
      <c r="A12" s="1">
        <v>477</v>
      </c>
      <c r="B12" s="13">
        <v>-185126.94936398044</v>
      </c>
      <c r="C12" s="13"/>
      <c r="D12" s="95" t="s">
        <v>43</v>
      </c>
      <c r="E12" s="86"/>
    </row>
    <row r="13" spans="1:6" ht="16.5">
      <c r="A13" s="1">
        <v>495</v>
      </c>
      <c r="B13" s="13">
        <v>-184449.62935785949</v>
      </c>
      <c r="C13" s="13"/>
      <c r="D13" s="102" t="s">
        <v>44</v>
      </c>
      <c r="E13" s="103">
        <f>3*E9</f>
        <v>2403820.7582913837</v>
      </c>
      <c r="F13" t="str">
        <f ca="1">_xlfn.FORMULATEXT(E13)</f>
        <v>=3*E9</v>
      </c>
    </row>
    <row r="14" spans="1:6" ht="17" thickBot="1">
      <c r="A14" s="1">
        <v>376</v>
      </c>
      <c r="B14" s="13">
        <v>-182707.2190611586</v>
      </c>
      <c r="C14" s="13"/>
      <c r="D14" s="58" t="s">
        <v>45</v>
      </c>
      <c r="E14" s="61">
        <f>E13/Escenarios!$R$2</f>
        <v>0.24038207582913837</v>
      </c>
      <c r="F14" t="str">
        <f ca="1">_xlfn.FORMULATEXT(E14)</f>
        <v>=E13/Escenarios!$R$2</v>
      </c>
    </row>
    <row r="15" spans="1:6">
      <c r="A15" s="1">
        <v>237</v>
      </c>
      <c r="B15" s="13">
        <v>-180104.75010029599</v>
      </c>
      <c r="C15" s="13"/>
      <c r="D15" s="33"/>
    </row>
    <row r="16" spans="1:6">
      <c r="A16" s="1">
        <v>365</v>
      </c>
      <c r="B16" s="13">
        <v>-172223.74096282758</v>
      </c>
      <c r="C16" s="13"/>
      <c r="D16" s="91" t="s">
        <v>46</v>
      </c>
    </row>
    <row r="17" spans="1:3">
      <c r="A17" s="1">
        <v>283</v>
      </c>
      <c r="B17" s="13">
        <v>-172211.94565829448</v>
      </c>
      <c r="C17" s="13"/>
    </row>
    <row r="18" spans="1:3">
      <c r="A18" s="1">
        <v>378</v>
      </c>
      <c r="B18" s="13">
        <v>-167104.18072299473</v>
      </c>
      <c r="C18" s="13"/>
    </row>
    <row r="19" spans="1:3">
      <c r="A19" s="1">
        <v>320</v>
      </c>
      <c r="B19" s="13">
        <v>-167065.85266724415</v>
      </c>
      <c r="C19" s="13"/>
    </row>
    <row r="20" spans="1:3">
      <c r="A20" s="1">
        <v>242</v>
      </c>
      <c r="B20" s="13">
        <v>-166799.71104959399</v>
      </c>
      <c r="C20" s="13"/>
    </row>
    <row r="21" spans="1:3">
      <c r="A21" s="1">
        <v>322</v>
      </c>
      <c r="B21" s="13">
        <v>-166516.53978281282</v>
      </c>
      <c r="C21" s="13"/>
    </row>
    <row r="22" spans="1:3">
      <c r="A22" s="1">
        <v>441</v>
      </c>
      <c r="B22" s="13">
        <v>-164074.87392111123</v>
      </c>
      <c r="C22" s="13"/>
    </row>
    <row r="23" spans="1:3">
      <c r="A23" s="1">
        <v>304</v>
      </c>
      <c r="B23" s="13">
        <v>-160777.757460244</v>
      </c>
      <c r="C23" s="13"/>
    </row>
    <row r="24" spans="1:3">
      <c r="A24" s="1">
        <v>292</v>
      </c>
      <c r="B24" s="13">
        <v>-157596.9715213608</v>
      </c>
      <c r="C24" s="13"/>
    </row>
    <row r="25" spans="1:3">
      <c r="A25" s="1">
        <v>485</v>
      </c>
      <c r="B25" s="13">
        <v>-156829.85649326444</v>
      </c>
      <c r="C25" s="13"/>
    </row>
    <row r="26" spans="1:3">
      <c r="A26" s="1">
        <v>490</v>
      </c>
      <c r="B26" s="13">
        <v>-156511.17493912391</v>
      </c>
      <c r="C26" s="13"/>
    </row>
    <row r="27" spans="1:3">
      <c r="A27" s="1">
        <v>249</v>
      </c>
      <c r="B27" s="13">
        <v>-152981.55537234806</v>
      </c>
      <c r="C27" s="13"/>
    </row>
    <row r="28" spans="1:3">
      <c r="A28" s="1">
        <v>370</v>
      </c>
      <c r="B28" s="13">
        <v>-152585.39501708373</v>
      </c>
      <c r="C28" s="13"/>
    </row>
    <row r="29" spans="1:3">
      <c r="A29" s="1">
        <v>228</v>
      </c>
      <c r="B29" s="13">
        <v>-151056.67825214751</v>
      </c>
      <c r="C29" s="13"/>
    </row>
    <row r="30" spans="1:3">
      <c r="A30" s="1">
        <v>336</v>
      </c>
      <c r="B30" s="13">
        <v>-145721.47568348423</v>
      </c>
      <c r="C30" s="13"/>
    </row>
    <row r="31" spans="1:3">
      <c r="A31" s="1">
        <v>499</v>
      </c>
      <c r="B31" s="13">
        <v>-142535.49443205819</v>
      </c>
      <c r="C31" s="13"/>
    </row>
    <row r="32" spans="1:3">
      <c r="A32" s="1">
        <v>135</v>
      </c>
      <c r="B32" s="13">
        <v>-139737.33091412671</v>
      </c>
      <c r="C32" s="13"/>
    </row>
    <row r="33" spans="1:3">
      <c r="A33" s="1">
        <v>437</v>
      </c>
      <c r="B33" s="13">
        <v>-136984.27225466073</v>
      </c>
      <c r="C33" s="13"/>
    </row>
    <row r="34" spans="1:3">
      <c r="A34" s="1">
        <v>408</v>
      </c>
      <c r="B34" s="13">
        <v>-136621.67548815906</v>
      </c>
      <c r="C34" s="13"/>
    </row>
    <row r="35" spans="1:3">
      <c r="A35" s="1">
        <v>256</v>
      </c>
      <c r="B35" s="13">
        <v>-133916.24239557795</v>
      </c>
      <c r="C35" s="13"/>
    </row>
    <row r="36" spans="1:3">
      <c r="A36" s="1">
        <v>459</v>
      </c>
      <c r="B36" s="13">
        <v>-133874.7077980265</v>
      </c>
      <c r="C36" s="13"/>
    </row>
    <row r="37" spans="1:3">
      <c r="A37" s="1">
        <v>498</v>
      </c>
      <c r="B37" s="13">
        <v>-133744.37618429586</v>
      </c>
      <c r="C37" s="13"/>
    </row>
    <row r="38" spans="1:3">
      <c r="A38" s="1">
        <v>366</v>
      </c>
      <c r="B38" s="13">
        <v>-131287.12194651924</v>
      </c>
      <c r="C38" s="13"/>
    </row>
    <row r="39" spans="1:3">
      <c r="A39" s="1">
        <v>415</v>
      </c>
      <c r="B39" s="13">
        <v>-131030.39933957532</v>
      </c>
      <c r="C39" s="13"/>
    </row>
    <row r="40" spans="1:3">
      <c r="A40" s="1">
        <v>375</v>
      </c>
      <c r="B40" s="13">
        <v>-129240.69165022671</v>
      </c>
      <c r="C40" s="13"/>
    </row>
    <row r="41" spans="1:3">
      <c r="A41" s="1">
        <v>298</v>
      </c>
      <c r="B41" s="13">
        <v>-128274.38934693858</v>
      </c>
      <c r="C41" s="13"/>
    </row>
    <row r="42" spans="1:3">
      <c r="A42" s="1">
        <v>241</v>
      </c>
      <c r="B42" s="13">
        <v>-127921.12130559795</v>
      </c>
      <c r="C42" s="13"/>
    </row>
    <row r="43" spans="1:3">
      <c r="A43" s="1">
        <v>142</v>
      </c>
      <c r="B43" s="13">
        <v>-127692.98705638759</v>
      </c>
      <c r="C43" s="13"/>
    </row>
    <row r="44" spans="1:3">
      <c r="A44" s="1">
        <v>429</v>
      </c>
      <c r="B44" s="13">
        <v>-125462.35599386878</v>
      </c>
      <c r="C44" s="13"/>
    </row>
    <row r="45" spans="1:3">
      <c r="A45" s="1">
        <v>98</v>
      </c>
      <c r="B45" s="13">
        <v>-124431.21451282501</v>
      </c>
      <c r="C45" s="13"/>
    </row>
    <row r="46" spans="1:3">
      <c r="A46" s="1">
        <v>481</v>
      </c>
      <c r="B46" s="13">
        <v>-123342.5654306896</v>
      </c>
      <c r="C46" s="13"/>
    </row>
    <row r="47" spans="1:3">
      <c r="A47" s="1">
        <v>488</v>
      </c>
      <c r="B47" s="13">
        <v>-123099.93354946561</v>
      </c>
      <c r="C47" s="13"/>
    </row>
    <row r="48" spans="1:3">
      <c r="A48" s="1">
        <v>451</v>
      </c>
      <c r="B48" s="13">
        <v>-123044.08139781095</v>
      </c>
      <c r="C48" s="13"/>
    </row>
    <row r="49" spans="1:3">
      <c r="A49" s="1">
        <v>240</v>
      </c>
      <c r="B49" s="13">
        <v>-122937.48785324395</v>
      </c>
      <c r="C49" s="13"/>
    </row>
    <row r="50" spans="1:3">
      <c r="A50" s="1">
        <v>141</v>
      </c>
      <c r="B50" s="13">
        <v>-122608.22334953025</v>
      </c>
      <c r="C50" s="13"/>
    </row>
    <row r="51" spans="1:3">
      <c r="A51" s="1">
        <v>296</v>
      </c>
      <c r="B51" s="13">
        <v>-121031.98824976012</v>
      </c>
      <c r="C51" s="13"/>
    </row>
    <row r="52" spans="1:3">
      <c r="A52" s="1">
        <v>427</v>
      </c>
      <c r="B52" s="13">
        <v>-121010.42413684726</v>
      </c>
      <c r="C52" s="13"/>
    </row>
    <row r="53" spans="1:3">
      <c r="A53" s="1">
        <v>469</v>
      </c>
      <c r="B53" s="13">
        <v>-120232.7320961263</v>
      </c>
      <c r="C53" s="13"/>
    </row>
    <row r="54" spans="1:3">
      <c r="A54" s="1">
        <v>358</v>
      </c>
      <c r="B54" s="13">
        <v>-119182.81433402374</v>
      </c>
      <c r="C54" s="13"/>
    </row>
    <row r="55" spans="1:3">
      <c r="A55" s="1">
        <v>445</v>
      </c>
      <c r="B55" s="13">
        <v>-118116.57607364096</v>
      </c>
      <c r="C55" s="13"/>
    </row>
    <row r="56" spans="1:3">
      <c r="A56" s="1">
        <v>21</v>
      </c>
      <c r="B56" s="13">
        <v>-118089.34495997429</v>
      </c>
      <c r="C56" s="13"/>
    </row>
    <row r="57" spans="1:3">
      <c r="A57" s="1">
        <v>302</v>
      </c>
      <c r="B57" s="13">
        <v>-117995.25083352812</v>
      </c>
      <c r="C57" s="13"/>
    </row>
    <row r="58" spans="1:3">
      <c r="A58" s="1">
        <v>225</v>
      </c>
      <c r="B58" s="13">
        <v>-117818.08259283751</v>
      </c>
      <c r="C58" s="13"/>
    </row>
    <row r="59" spans="1:3">
      <c r="A59" s="1">
        <v>334</v>
      </c>
      <c r="B59" s="13">
        <v>-117381.4264004603</v>
      </c>
      <c r="C59" s="13"/>
    </row>
    <row r="60" spans="1:3">
      <c r="A60" s="1">
        <v>132</v>
      </c>
      <c r="B60" s="13">
        <v>-113970.7877460029</v>
      </c>
      <c r="C60" s="13"/>
    </row>
    <row r="61" spans="1:3">
      <c r="A61" s="1">
        <v>465</v>
      </c>
      <c r="B61" s="13">
        <v>-113094.10090882145</v>
      </c>
      <c r="C61" s="13"/>
    </row>
    <row r="62" spans="1:3">
      <c r="A62" s="1">
        <v>371</v>
      </c>
      <c r="B62" s="13">
        <v>-112444.78436864913</v>
      </c>
      <c r="C62" s="13"/>
    </row>
    <row r="63" spans="1:3">
      <c r="A63" s="1">
        <v>254</v>
      </c>
      <c r="B63" s="13">
        <v>-112422.75590582937</v>
      </c>
      <c r="C63" s="13"/>
    </row>
    <row r="64" spans="1:3">
      <c r="A64" s="1">
        <v>233</v>
      </c>
      <c r="B64" s="13">
        <v>-108810.12583367154</v>
      </c>
      <c r="C64" s="13"/>
    </row>
    <row r="65" spans="1:3">
      <c r="A65" s="1">
        <v>194</v>
      </c>
      <c r="B65" s="13">
        <v>-106080.73291957937</v>
      </c>
      <c r="C65" s="13"/>
    </row>
    <row r="66" spans="1:3">
      <c r="A66" s="1">
        <v>350</v>
      </c>
      <c r="B66" s="13">
        <v>-105652.10020491853</v>
      </c>
      <c r="C66" s="13"/>
    </row>
    <row r="67" spans="1:3">
      <c r="A67" s="1">
        <v>364</v>
      </c>
      <c r="B67" s="13">
        <v>-104898.06083193049</v>
      </c>
      <c r="C67" s="13"/>
    </row>
    <row r="68" spans="1:3">
      <c r="A68" s="1">
        <v>472</v>
      </c>
      <c r="B68" s="13">
        <v>-103141.99662658945</v>
      </c>
      <c r="C68" s="13"/>
    </row>
    <row r="69" spans="1:3">
      <c r="A69" s="1">
        <v>453</v>
      </c>
      <c r="B69" s="13">
        <v>-102165.32099117152</v>
      </c>
      <c r="C69" s="13"/>
    </row>
    <row r="70" spans="1:3">
      <c r="A70" s="1">
        <v>20</v>
      </c>
      <c r="B70" s="13">
        <v>-101200.88325966522</v>
      </c>
      <c r="C70" s="13"/>
    </row>
    <row r="71" spans="1:3">
      <c r="A71" s="1">
        <v>461</v>
      </c>
      <c r="B71" s="13">
        <v>-100800.99496688135</v>
      </c>
      <c r="C71" s="13"/>
    </row>
    <row r="72" spans="1:3">
      <c r="A72" s="1">
        <v>351</v>
      </c>
      <c r="B72" s="13">
        <v>-100481.37997735292</v>
      </c>
      <c r="C72" s="13"/>
    </row>
    <row r="73" spans="1:3">
      <c r="A73" s="1">
        <v>193</v>
      </c>
      <c r="B73" s="13">
        <v>-99966.077181925997</v>
      </c>
      <c r="C73" s="13"/>
    </row>
    <row r="74" spans="1:3">
      <c r="A74" s="1">
        <v>175</v>
      </c>
      <c r="B74" s="13">
        <v>-99588.270163305104</v>
      </c>
      <c r="C74" s="13"/>
    </row>
    <row r="75" spans="1:3">
      <c r="A75" s="1">
        <v>318</v>
      </c>
      <c r="B75" s="13">
        <v>-98372.581884140149</v>
      </c>
      <c r="C75" s="13"/>
    </row>
    <row r="76" spans="1:3">
      <c r="A76" s="1">
        <v>321</v>
      </c>
      <c r="B76" s="13">
        <v>-97348.246031159535</v>
      </c>
      <c r="C76" s="13"/>
    </row>
    <row r="77" spans="1:3">
      <c r="A77" s="1">
        <v>335</v>
      </c>
      <c r="B77" s="13">
        <v>-96385.817169085145</v>
      </c>
      <c r="C77" s="13"/>
    </row>
    <row r="78" spans="1:3">
      <c r="A78" s="1">
        <v>284</v>
      </c>
      <c r="B78" s="13">
        <v>-95038.025661949068</v>
      </c>
      <c r="C78" s="13"/>
    </row>
    <row r="79" spans="1:3">
      <c r="A79" s="1">
        <v>416</v>
      </c>
      <c r="B79" s="13">
        <v>-93601.425174439326</v>
      </c>
      <c r="C79" s="13"/>
    </row>
    <row r="80" spans="1:3">
      <c r="A80" s="1">
        <v>389</v>
      </c>
      <c r="B80" s="13">
        <v>-93099.163924867287</v>
      </c>
      <c r="C80" s="13"/>
    </row>
    <row r="81" spans="1:3">
      <c r="A81" s="1">
        <v>430</v>
      </c>
      <c r="B81" s="13">
        <v>-90567.430256932974</v>
      </c>
      <c r="C81" s="13"/>
    </row>
    <row r="82" spans="1:3">
      <c r="A82" s="1">
        <v>418</v>
      </c>
      <c r="B82" s="13">
        <v>-90533.427239265293</v>
      </c>
      <c r="C82" s="13"/>
    </row>
    <row r="83" spans="1:3">
      <c r="A83" s="1">
        <v>444</v>
      </c>
      <c r="B83" s="13">
        <v>-88545.575824465603</v>
      </c>
      <c r="C83" s="13"/>
    </row>
    <row r="84" spans="1:3">
      <c r="A84" s="1">
        <v>299</v>
      </c>
      <c r="B84" s="13">
        <v>-86964.284685838968</v>
      </c>
      <c r="C84" s="13"/>
    </row>
    <row r="85" spans="1:3">
      <c r="A85" s="1">
        <v>466</v>
      </c>
      <c r="B85" s="13">
        <v>-84359.650178445503</v>
      </c>
      <c r="C85" s="13"/>
    </row>
    <row r="86" spans="1:3">
      <c r="A86" s="1">
        <v>435</v>
      </c>
      <c r="B86" s="13">
        <v>-82771.221278408542</v>
      </c>
      <c r="C86" s="13"/>
    </row>
    <row r="87" spans="1:3">
      <c r="A87" s="1">
        <v>134</v>
      </c>
      <c r="B87" s="13">
        <v>-81942.326419740915</v>
      </c>
      <c r="C87" s="13"/>
    </row>
    <row r="88" spans="1:3">
      <c r="A88" s="1">
        <v>392</v>
      </c>
      <c r="B88" s="13">
        <v>-81909.793142952025</v>
      </c>
      <c r="C88" s="13"/>
    </row>
    <row r="89" spans="1:3">
      <c r="A89" s="1">
        <v>294</v>
      </c>
      <c r="B89" s="13">
        <v>-81740.575001994148</v>
      </c>
      <c r="C89" s="13"/>
    </row>
    <row r="90" spans="1:3">
      <c r="A90" s="1">
        <v>406</v>
      </c>
      <c r="B90" s="13">
        <v>-81162.557870481163</v>
      </c>
      <c r="C90" s="13"/>
    </row>
    <row r="91" spans="1:3">
      <c r="A91" s="1">
        <v>393</v>
      </c>
      <c r="B91" s="13">
        <v>-80538.766307134181</v>
      </c>
      <c r="C91" s="13"/>
    </row>
    <row r="92" spans="1:3">
      <c r="A92" s="1">
        <v>486</v>
      </c>
      <c r="B92" s="13">
        <v>-79353.220281545073</v>
      </c>
      <c r="C92" s="13"/>
    </row>
    <row r="93" spans="1:3">
      <c r="A93" s="1">
        <v>337</v>
      </c>
      <c r="B93" s="13">
        <v>-77734.542978659272</v>
      </c>
      <c r="C93" s="13"/>
    </row>
    <row r="94" spans="1:3">
      <c r="A94" s="1">
        <v>313</v>
      </c>
      <c r="B94" s="13">
        <v>-77697.118357043713</v>
      </c>
      <c r="C94" s="13"/>
    </row>
    <row r="95" spans="1:3">
      <c r="A95" s="1">
        <v>221</v>
      </c>
      <c r="B95" s="13">
        <v>-76827.023197807372</v>
      </c>
      <c r="C95" s="13"/>
    </row>
    <row r="96" spans="1:3">
      <c r="A96" s="1">
        <v>74</v>
      </c>
      <c r="B96" s="13">
        <v>-76726.569187892601</v>
      </c>
      <c r="C96" s="13"/>
    </row>
    <row r="97" spans="1:3">
      <c r="A97" s="1">
        <v>345</v>
      </c>
      <c r="B97" s="13">
        <v>-74993.330123193562</v>
      </c>
      <c r="C97" s="13"/>
    </row>
    <row r="98" spans="1:3">
      <c r="A98" s="1">
        <v>331</v>
      </c>
      <c r="B98" s="13">
        <v>-74736.998641259968</v>
      </c>
      <c r="C98" s="13"/>
    </row>
    <row r="99" spans="1:3">
      <c r="A99" s="1">
        <v>205</v>
      </c>
      <c r="B99" s="13">
        <v>-74376.110768314451</v>
      </c>
      <c r="C99" s="13"/>
    </row>
    <row r="100" spans="1:3">
      <c r="A100" s="1">
        <v>356</v>
      </c>
      <c r="B100" s="13">
        <v>-73181.802204910666</v>
      </c>
      <c r="C100" s="13"/>
    </row>
    <row r="101" spans="1:3">
      <c r="A101" s="1">
        <v>127</v>
      </c>
      <c r="B101" s="13">
        <v>-70760.172174293548</v>
      </c>
      <c r="C101" s="13"/>
    </row>
    <row r="102" spans="1:3">
      <c r="A102" s="1">
        <v>23</v>
      </c>
      <c r="B102" s="13">
        <v>-70545.222813822329</v>
      </c>
      <c r="C102" s="13"/>
    </row>
    <row r="103" spans="1:3">
      <c r="A103" s="1">
        <v>280</v>
      </c>
      <c r="B103" s="13">
        <v>-70031.677358778194</v>
      </c>
      <c r="C103" s="13"/>
    </row>
    <row r="104" spans="1:3">
      <c r="A104" s="1">
        <v>185</v>
      </c>
      <c r="B104" s="13">
        <v>-69843.81775511615</v>
      </c>
      <c r="C104" s="13"/>
    </row>
    <row r="105" spans="1:3">
      <c r="A105" s="1">
        <v>197</v>
      </c>
      <c r="B105" s="13">
        <v>-68742.833969196305</v>
      </c>
      <c r="C105" s="13"/>
    </row>
    <row r="106" spans="1:3">
      <c r="A106" s="1">
        <v>464</v>
      </c>
      <c r="B106" s="13">
        <v>-68619.104822671041</v>
      </c>
      <c r="C106" s="13"/>
    </row>
    <row r="107" spans="1:3">
      <c r="A107" s="1">
        <v>423</v>
      </c>
      <c r="B107" s="13">
        <v>-66859.117746643722</v>
      </c>
      <c r="C107" s="13"/>
    </row>
    <row r="108" spans="1:3">
      <c r="A108" s="1">
        <v>257</v>
      </c>
      <c r="B108" s="13">
        <v>-65949.462420957163</v>
      </c>
      <c r="C108" s="13"/>
    </row>
    <row r="109" spans="1:3">
      <c r="A109" s="1">
        <v>100</v>
      </c>
      <c r="B109" s="13">
        <v>-65274.593593122438</v>
      </c>
      <c r="C109" s="13"/>
    </row>
    <row r="110" spans="1:3">
      <c r="A110" s="1">
        <v>111</v>
      </c>
      <c r="B110" s="13">
        <v>-64899.406574547291</v>
      </c>
      <c r="C110" s="13"/>
    </row>
    <row r="111" spans="1:3">
      <c r="A111" s="1">
        <v>231</v>
      </c>
      <c r="B111" s="13">
        <v>-63470.986382713541</v>
      </c>
      <c r="C111" s="13"/>
    </row>
    <row r="112" spans="1:3">
      <c r="A112" s="1">
        <v>31</v>
      </c>
      <c r="B112" s="13">
        <v>-62820.878858024254</v>
      </c>
      <c r="C112" s="13"/>
    </row>
    <row r="113" spans="1:3">
      <c r="A113" s="1">
        <v>110</v>
      </c>
      <c r="B113" s="13">
        <v>-60567.65186127834</v>
      </c>
      <c r="C113" s="13"/>
    </row>
    <row r="114" spans="1:3">
      <c r="A114" s="1">
        <v>338</v>
      </c>
      <c r="B114" s="13">
        <v>-59425.550734590739</v>
      </c>
      <c r="C114" s="13"/>
    </row>
    <row r="115" spans="1:3">
      <c r="A115" s="1">
        <v>133</v>
      </c>
      <c r="B115" s="13">
        <v>-59066.385424476117</v>
      </c>
      <c r="C115" s="13"/>
    </row>
    <row r="116" spans="1:3">
      <c r="A116" s="1">
        <v>223</v>
      </c>
      <c r="B116" s="13">
        <v>-58904.445030448958</v>
      </c>
      <c r="C116" s="13"/>
    </row>
    <row r="117" spans="1:3">
      <c r="A117" s="1">
        <v>279</v>
      </c>
      <c r="B117" s="13">
        <v>-58066.20083492063</v>
      </c>
      <c r="C117" s="13"/>
    </row>
    <row r="118" spans="1:3">
      <c r="A118" s="1">
        <v>374</v>
      </c>
      <c r="B118" s="13">
        <v>-57551.068875510246</v>
      </c>
      <c r="C118" s="13"/>
    </row>
    <row r="119" spans="1:3">
      <c r="A119" s="1">
        <v>324</v>
      </c>
      <c r="B119" s="13">
        <v>-56143.111055312678</v>
      </c>
      <c r="C119" s="13"/>
    </row>
    <row r="120" spans="1:3">
      <c r="A120" s="1">
        <v>216</v>
      </c>
      <c r="B120" s="13">
        <v>-55459.022986872122</v>
      </c>
      <c r="C120" s="13"/>
    </row>
    <row r="121" spans="1:3">
      <c r="A121" s="1">
        <v>293</v>
      </c>
      <c r="B121" s="13">
        <v>-55267.326009174809</v>
      </c>
      <c r="C121" s="13"/>
    </row>
    <row r="122" spans="1:3">
      <c r="A122" s="1">
        <v>442</v>
      </c>
      <c r="B122" s="13">
        <v>-54546.715863872319</v>
      </c>
      <c r="C122" s="13"/>
    </row>
    <row r="123" spans="1:3">
      <c r="A123" s="1">
        <v>404</v>
      </c>
      <c r="B123" s="13">
        <v>-53868.51529029943</v>
      </c>
      <c r="C123" s="13"/>
    </row>
    <row r="124" spans="1:3">
      <c r="A124" s="1">
        <v>3</v>
      </c>
      <c r="B124" s="13">
        <v>-53264.059162311256</v>
      </c>
      <c r="C124" s="13"/>
    </row>
    <row r="125" spans="1:3">
      <c r="A125" s="1">
        <v>450</v>
      </c>
      <c r="B125" s="13">
        <v>-52834.43932377547</v>
      </c>
      <c r="C125" s="13"/>
    </row>
    <row r="126" spans="1:3">
      <c r="A126" s="1">
        <v>120</v>
      </c>
      <c r="B126" s="13">
        <v>-51672.309483384714</v>
      </c>
      <c r="C126" s="13"/>
    </row>
    <row r="127" spans="1:3">
      <c r="A127" s="1">
        <v>41</v>
      </c>
      <c r="B127" s="13">
        <v>-51421.138136094436</v>
      </c>
      <c r="C127" s="13"/>
    </row>
    <row r="128" spans="1:3">
      <c r="A128" s="1">
        <v>56</v>
      </c>
      <c r="B128" s="13">
        <v>-51261.844210453331</v>
      </c>
      <c r="C128" s="13"/>
    </row>
    <row r="129" spans="1:3">
      <c r="A129" s="1">
        <v>70</v>
      </c>
      <c r="B129" s="13">
        <v>-49799.432483365759</v>
      </c>
      <c r="C129" s="13"/>
    </row>
    <row r="130" spans="1:3">
      <c r="A130" s="1">
        <v>436</v>
      </c>
      <c r="B130" s="13">
        <v>-48382.162982178852</v>
      </c>
      <c r="C130" s="13"/>
    </row>
    <row r="131" spans="1:3">
      <c r="A131" s="1">
        <v>399</v>
      </c>
      <c r="B131" s="13">
        <v>-48126.874003788456</v>
      </c>
      <c r="C131" s="13"/>
    </row>
    <row r="132" spans="1:3">
      <c r="A132" s="1">
        <v>226</v>
      </c>
      <c r="B132" s="13">
        <v>-47245.018210913986</v>
      </c>
      <c r="C132" s="13"/>
    </row>
    <row r="133" spans="1:3">
      <c r="A133" s="1">
        <v>491</v>
      </c>
      <c r="B133" s="13">
        <v>-47048.775944463909</v>
      </c>
      <c r="C133" s="13"/>
    </row>
    <row r="134" spans="1:3">
      <c r="A134" s="1">
        <v>343</v>
      </c>
      <c r="B134" s="13">
        <v>-46519.402504671365</v>
      </c>
      <c r="C134" s="13"/>
    </row>
    <row r="135" spans="1:3">
      <c r="A135" s="1">
        <v>297</v>
      </c>
      <c r="B135" s="13">
        <v>-45306.017715618014</v>
      </c>
      <c r="C135" s="13"/>
    </row>
    <row r="136" spans="1:3">
      <c r="A136" s="1">
        <v>425</v>
      </c>
      <c r="B136" s="13">
        <v>-44835.349503880367</v>
      </c>
      <c r="C136" s="13"/>
    </row>
    <row r="137" spans="1:3">
      <c r="A137" s="1">
        <v>290</v>
      </c>
      <c r="B137" s="13">
        <v>-44719.708930524066</v>
      </c>
      <c r="C137" s="13"/>
    </row>
    <row r="138" spans="1:3">
      <c r="A138" s="1">
        <v>150</v>
      </c>
      <c r="B138" s="13">
        <v>-43489.243206858635</v>
      </c>
      <c r="C138" s="13"/>
    </row>
    <row r="139" spans="1:3">
      <c r="A139" s="1">
        <v>303</v>
      </c>
      <c r="B139" s="13">
        <v>-43330.577313706279</v>
      </c>
      <c r="C139" s="13"/>
    </row>
    <row r="140" spans="1:3">
      <c r="A140" s="1">
        <v>424</v>
      </c>
      <c r="B140" s="13">
        <v>-42777.731079954654</v>
      </c>
      <c r="C140" s="13"/>
    </row>
    <row r="141" spans="1:3">
      <c r="A141" s="1">
        <v>431</v>
      </c>
      <c r="B141" s="13">
        <v>-42706.899719756097</v>
      </c>
      <c r="C141" s="13"/>
    </row>
    <row r="142" spans="1:3">
      <c r="A142" s="1">
        <v>419</v>
      </c>
      <c r="B142" s="13">
        <v>-42375.266698747873</v>
      </c>
      <c r="C142" s="13"/>
    </row>
    <row r="143" spans="1:3">
      <c r="A143" s="1">
        <v>12</v>
      </c>
      <c r="B143" s="13">
        <v>-42100.045235553756</v>
      </c>
      <c r="C143" s="13"/>
    </row>
    <row r="144" spans="1:3">
      <c r="A144" s="1">
        <v>382</v>
      </c>
      <c r="B144" s="13">
        <v>-41649.376522492617</v>
      </c>
      <c r="C144" s="13"/>
    </row>
    <row r="145" spans="1:3">
      <c r="A145" s="1">
        <v>369</v>
      </c>
      <c r="B145" s="13">
        <v>-41444.727047998458</v>
      </c>
      <c r="C145" s="13"/>
    </row>
    <row r="146" spans="1:3">
      <c r="A146" s="1">
        <v>475</v>
      </c>
      <c r="B146" s="13">
        <v>-40125.074150193483</v>
      </c>
      <c r="C146" s="13"/>
    </row>
    <row r="147" spans="1:3">
      <c r="A147" s="1">
        <v>165</v>
      </c>
      <c r="B147" s="13">
        <v>-39965.420581184328</v>
      </c>
      <c r="C147" s="13"/>
    </row>
    <row r="148" spans="1:3">
      <c r="A148" s="1">
        <v>448</v>
      </c>
      <c r="B148" s="13">
        <v>-39412.465563397855</v>
      </c>
      <c r="C148" s="13"/>
    </row>
    <row r="149" spans="1:3">
      <c r="A149" s="1">
        <v>63</v>
      </c>
      <c r="B149" s="13">
        <v>-38064.114975860342</v>
      </c>
      <c r="C149" s="13"/>
    </row>
    <row r="150" spans="1:3">
      <c r="A150" s="1">
        <v>62</v>
      </c>
      <c r="B150" s="13">
        <v>-37966.521516749635</v>
      </c>
      <c r="C150" s="13"/>
    </row>
    <row r="151" spans="1:3">
      <c r="A151" s="1">
        <v>428</v>
      </c>
      <c r="B151" s="13">
        <v>-37414.250719673932</v>
      </c>
      <c r="C151" s="13"/>
    </row>
    <row r="152" spans="1:3">
      <c r="A152" s="1">
        <v>47</v>
      </c>
      <c r="B152" s="13">
        <v>-36334.046200441197</v>
      </c>
      <c r="C152" s="13"/>
    </row>
    <row r="153" spans="1:3">
      <c r="A153" s="1">
        <v>367</v>
      </c>
      <c r="B153" s="13">
        <v>-35690.833211936057</v>
      </c>
      <c r="C153" s="13"/>
    </row>
    <row r="154" spans="1:3">
      <c r="A154" s="1">
        <v>151</v>
      </c>
      <c r="B154" s="13">
        <v>-35544.016705926508</v>
      </c>
      <c r="C154" s="13"/>
    </row>
    <row r="155" spans="1:3">
      <c r="A155" s="1">
        <v>93</v>
      </c>
      <c r="B155" s="13">
        <v>-34950.311239833012</v>
      </c>
      <c r="C155" s="13"/>
    </row>
    <row r="156" spans="1:3">
      <c r="A156" s="1">
        <v>476</v>
      </c>
      <c r="B156" s="13">
        <v>-34434.843855613843</v>
      </c>
      <c r="C156" s="13"/>
    </row>
    <row r="157" spans="1:3">
      <c r="A157" s="1">
        <v>14</v>
      </c>
      <c r="B157" s="13">
        <v>-34097.057896085083</v>
      </c>
      <c r="C157" s="13"/>
    </row>
    <row r="158" spans="1:3">
      <c r="A158" s="1">
        <v>330</v>
      </c>
      <c r="B158" s="13">
        <v>-32905.640054570511</v>
      </c>
      <c r="C158" s="13"/>
    </row>
    <row r="159" spans="1:3">
      <c r="A159" s="1">
        <v>438</v>
      </c>
      <c r="B159" s="13">
        <v>-31033.680529879406</v>
      </c>
      <c r="C159" s="13"/>
    </row>
    <row r="160" spans="1:3">
      <c r="A160" s="1">
        <v>65</v>
      </c>
      <c r="B160" s="13">
        <v>-30414.433623718098</v>
      </c>
      <c r="C160" s="13"/>
    </row>
    <row r="161" spans="1:3">
      <c r="A161" s="1">
        <v>312</v>
      </c>
      <c r="B161" s="13">
        <v>-30033.040300641209</v>
      </c>
      <c r="C161" s="13"/>
    </row>
    <row r="162" spans="1:3">
      <c r="A162" s="1">
        <v>352</v>
      </c>
      <c r="B162" s="13">
        <v>-29714.113086715341</v>
      </c>
      <c r="C162" s="13"/>
    </row>
    <row r="163" spans="1:3">
      <c r="A163" s="1">
        <v>203</v>
      </c>
      <c r="B163" s="13">
        <v>-29499.999368840829</v>
      </c>
      <c r="C163" s="13"/>
    </row>
    <row r="164" spans="1:3">
      <c r="A164" s="1">
        <v>192</v>
      </c>
      <c r="B164" s="13">
        <v>-29492.662898667157</v>
      </c>
      <c r="C164" s="13"/>
    </row>
    <row r="165" spans="1:3">
      <c r="A165" s="1">
        <v>107</v>
      </c>
      <c r="B165" s="13">
        <v>-29048.133751539513</v>
      </c>
      <c r="C165" s="13"/>
    </row>
    <row r="166" spans="1:3">
      <c r="A166" s="1">
        <v>460</v>
      </c>
      <c r="B166" s="13">
        <v>-28760.453568007797</v>
      </c>
      <c r="C166" s="13"/>
    </row>
    <row r="167" spans="1:3">
      <c r="A167" s="1">
        <v>390</v>
      </c>
      <c r="B167" s="13">
        <v>-28407.917009776458</v>
      </c>
      <c r="C167" s="13"/>
    </row>
    <row r="168" spans="1:3">
      <c r="A168" s="1">
        <v>401</v>
      </c>
      <c r="B168" s="13">
        <v>-28132.764101326466</v>
      </c>
      <c r="C168" s="13"/>
    </row>
    <row r="169" spans="1:3">
      <c r="A169" s="1">
        <v>159</v>
      </c>
      <c r="B169" s="13">
        <v>-26814.799178343266</v>
      </c>
      <c r="C169" s="13"/>
    </row>
    <row r="170" spans="1:3">
      <c r="A170" s="1">
        <v>380</v>
      </c>
      <c r="B170" s="13">
        <v>-26562.813273297623</v>
      </c>
      <c r="C170" s="13"/>
    </row>
    <row r="171" spans="1:3">
      <c r="A171" s="1">
        <v>92</v>
      </c>
      <c r="B171" s="13">
        <v>-26368.146574947983</v>
      </c>
      <c r="C171" s="13"/>
    </row>
    <row r="172" spans="1:3">
      <c r="A172" s="1">
        <v>266</v>
      </c>
      <c r="B172" s="13">
        <v>-25301.010824408382</v>
      </c>
      <c r="C172" s="13"/>
    </row>
    <row r="173" spans="1:3">
      <c r="A173" s="1">
        <v>447</v>
      </c>
      <c r="B173" s="13">
        <v>-25296.38300228864</v>
      </c>
      <c r="C173" s="13"/>
    </row>
    <row r="174" spans="1:3">
      <c r="A174" s="1">
        <v>4</v>
      </c>
      <c r="B174" s="13">
        <v>-25139.366356227547</v>
      </c>
      <c r="C174" s="13"/>
    </row>
    <row r="175" spans="1:3">
      <c r="A175" s="1">
        <v>27</v>
      </c>
      <c r="B175" s="13">
        <v>-24954.395007904619</v>
      </c>
      <c r="C175" s="13"/>
    </row>
    <row r="176" spans="1:3">
      <c r="A176" s="1">
        <v>286</v>
      </c>
      <c r="B176" s="13">
        <v>-24877.05939248763</v>
      </c>
      <c r="C176" s="13"/>
    </row>
    <row r="177" spans="1:3">
      <c r="A177" s="1">
        <v>96</v>
      </c>
      <c r="B177" s="13">
        <v>-24711.204333266243</v>
      </c>
      <c r="C177" s="13"/>
    </row>
    <row r="178" spans="1:3">
      <c r="A178" s="1">
        <v>55</v>
      </c>
      <c r="B178" s="13">
        <v>-23889.557894207537</v>
      </c>
      <c r="C178" s="13"/>
    </row>
    <row r="179" spans="1:3">
      <c r="A179" s="1">
        <v>167</v>
      </c>
      <c r="B179" s="13">
        <v>-23725.278044581413</v>
      </c>
      <c r="C179" s="13"/>
    </row>
    <row r="180" spans="1:3">
      <c r="A180" s="1">
        <v>180</v>
      </c>
      <c r="B180" s="13">
        <v>-23406.372812919319</v>
      </c>
      <c r="C180" s="13"/>
    </row>
    <row r="181" spans="1:3">
      <c r="A181" s="1">
        <v>89</v>
      </c>
      <c r="B181" s="13">
        <v>-22258.024167099968</v>
      </c>
      <c r="C181" s="13"/>
    </row>
    <row r="182" spans="1:3">
      <c r="A182" s="1">
        <v>84</v>
      </c>
      <c r="B182" s="13">
        <v>-22230.922941373661</v>
      </c>
      <c r="C182" s="13"/>
    </row>
    <row r="183" spans="1:3">
      <c r="A183" s="1">
        <v>149</v>
      </c>
      <c r="B183" s="13">
        <v>-22214.133582241833</v>
      </c>
      <c r="C183" s="13"/>
    </row>
    <row r="184" spans="1:3">
      <c r="A184" s="1">
        <v>69</v>
      </c>
      <c r="B184" s="13">
        <v>-21563.162788949907</v>
      </c>
      <c r="C184" s="13"/>
    </row>
    <row r="185" spans="1:3">
      <c r="A185" s="1">
        <v>59</v>
      </c>
      <c r="B185" s="13">
        <v>-21274.368484217674</v>
      </c>
      <c r="C185" s="13"/>
    </row>
    <row r="186" spans="1:3">
      <c r="A186" s="1">
        <v>410</v>
      </c>
      <c r="B186" s="13">
        <v>-21248.802490286529</v>
      </c>
      <c r="C186" s="13"/>
    </row>
    <row r="187" spans="1:3">
      <c r="A187" s="1">
        <v>36</v>
      </c>
      <c r="B187" s="13">
        <v>-20550.595997013152</v>
      </c>
      <c r="C187" s="13"/>
    </row>
    <row r="188" spans="1:3">
      <c r="A188" s="1">
        <v>117</v>
      </c>
      <c r="B188" s="13">
        <v>-18897.972272450104</v>
      </c>
      <c r="C188" s="13"/>
    </row>
    <row r="189" spans="1:3">
      <c r="A189" s="1">
        <v>333</v>
      </c>
      <c r="B189" s="13">
        <v>-17866.682106340304</v>
      </c>
      <c r="C189" s="13"/>
    </row>
    <row r="190" spans="1:3">
      <c r="A190" s="1">
        <v>213</v>
      </c>
      <c r="B190" s="13">
        <v>-17295.35794913955</v>
      </c>
      <c r="C190" s="13"/>
    </row>
    <row r="191" spans="1:3">
      <c r="A191" s="1">
        <v>332</v>
      </c>
      <c r="B191" s="13">
        <v>-17073.320050703362</v>
      </c>
      <c r="C191" s="13"/>
    </row>
    <row r="192" spans="1:3">
      <c r="A192" s="1">
        <v>204</v>
      </c>
      <c r="B192" s="13">
        <v>-16813.633840080351</v>
      </c>
      <c r="C192" s="13"/>
    </row>
    <row r="193" spans="1:3">
      <c r="A193" s="1">
        <v>381</v>
      </c>
      <c r="B193" s="13">
        <v>-16254.948003126308</v>
      </c>
      <c r="C193" s="13"/>
    </row>
    <row r="194" spans="1:3">
      <c r="A194" s="1">
        <v>383</v>
      </c>
      <c r="B194" s="13">
        <v>-16193.789463059977</v>
      </c>
      <c r="C194" s="13"/>
    </row>
    <row r="195" spans="1:3">
      <c r="A195" s="1">
        <v>73</v>
      </c>
      <c r="B195" s="13">
        <v>-14872.733684100211</v>
      </c>
      <c r="C195" s="13"/>
    </row>
    <row r="196" spans="1:3">
      <c r="A196" s="1">
        <v>125</v>
      </c>
      <c r="B196" s="13">
        <v>-14348.166850889102</v>
      </c>
      <c r="C196" s="13"/>
    </row>
    <row r="197" spans="1:3">
      <c r="A197" s="1">
        <v>492</v>
      </c>
      <c r="B197" s="13">
        <v>-13723.913195870817</v>
      </c>
      <c r="C197" s="13"/>
    </row>
    <row r="198" spans="1:3">
      <c r="A198" s="1">
        <v>261</v>
      </c>
      <c r="B198" s="13">
        <v>-13678.30444242619</v>
      </c>
      <c r="C198" s="13"/>
    </row>
    <row r="199" spans="1:3">
      <c r="A199" s="1">
        <v>195</v>
      </c>
      <c r="B199" s="13">
        <v>-13303.098598722368</v>
      </c>
      <c r="C199" s="13"/>
    </row>
    <row r="200" spans="1:3">
      <c r="A200" s="1">
        <v>207</v>
      </c>
      <c r="B200" s="13">
        <v>-12763.839065689594</v>
      </c>
      <c r="C200" s="13"/>
    </row>
    <row r="201" spans="1:3">
      <c r="A201" s="1">
        <v>13</v>
      </c>
      <c r="B201" s="13">
        <v>-12222.645628821105</v>
      </c>
      <c r="C201" s="13"/>
    </row>
    <row r="202" spans="1:3">
      <c r="A202" s="1">
        <v>43</v>
      </c>
      <c r="B202" s="13">
        <v>-10295.646975262091</v>
      </c>
      <c r="C202" s="13"/>
    </row>
    <row r="203" spans="1:3">
      <c r="A203" s="1">
        <v>144</v>
      </c>
      <c r="B203" s="13">
        <v>-10060.692955695093</v>
      </c>
      <c r="C203" s="13"/>
    </row>
    <row r="204" spans="1:3">
      <c r="A204" s="1">
        <v>170</v>
      </c>
      <c r="B204" s="13">
        <v>-9861.603239538148</v>
      </c>
      <c r="C204" s="13"/>
    </row>
    <row r="205" spans="1:3">
      <c r="A205" s="1">
        <v>439</v>
      </c>
      <c r="B205" s="13">
        <v>-9814.3750303667039</v>
      </c>
      <c r="C205" s="13"/>
    </row>
    <row r="206" spans="1:3">
      <c r="A206" s="1">
        <v>208</v>
      </c>
      <c r="B206" s="13">
        <v>-9773.9061018638313</v>
      </c>
      <c r="C206" s="13"/>
    </row>
    <row r="207" spans="1:3">
      <c r="A207" s="1">
        <v>153</v>
      </c>
      <c r="B207" s="13">
        <v>-9560.8463269472122</v>
      </c>
      <c r="C207" s="13"/>
    </row>
    <row r="208" spans="1:3">
      <c r="A208" s="1">
        <v>28</v>
      </c>
      <c r="B208" s="13">
        <v>-9514.3992215078324</v>
      </c>
      <c r="C208" s="13"/>
    </row>
    <row r="209" spans="1:3">
      <c r="A209" s="1">
        <v>11</v>
      </c>
      <c r="B209" s="13">
        <v>-8981.8697747606784</v>
      </c>
      <c r="C209" s="13"/>
    </row>
    <row r="210" spans="1:3">
      <c r="A210" s="1">
        <v>272</v>
      </c>
      <c r="B210" s="13">
        <v>-8086.5113946609199</v>
      </c>
      <c r="C210" s="13"/>
    </row>
    <row r="211" spans="1:3">
      <c r="A211" s="1">
        <v>90</v>
      </c>
      <c r="B211" s="13">
        <v>-7725.9798975419253</v>
      </c>
      <c r="C211" s="13"/>
    </row>
    <row r="212" spans="1:3">
      <c r="A212" s="1">
        <v>434</v>
      </c>
      <c r="B212" s="13">
        <v>-6924.8626601025462</v>
      </c>
      <c r="C212" s="13"/>
    </row>
    <row r="213" spans="1:3">
      <c r="A213" s="1">
        <v>171</v>
      </c>
      <c r="B213" s="13">
        <v>-6660.3117091786116</v>
      </c>
      <c r="C213" s="13"/>
    </row>
    <row r="214" spans="1:3">
      <c r="A214" s="1">
        <v>328</v>
      </c>
      <c r="B214" s="13">
        <v>-6587.3081759605557</v>
      </c>
      <c r="C214" s="13"/>
    </row>
    <row r="215" spans="1:3">
      <c r="A215" s="1">
        <v>182</v>
      </c>
      <c r="B215" s="13">
        <v>-6392.8647945988923</v>
      </c>
      <c r="C215" s="13"/>
    </row>
    <row r="216" spans="1:3">
      <c r="A216" s="1">
        <v>8</v>
      </c>
      <c r="B216" s="13">
        <v>-6062.7711778562516</v>
      </c>
      <c r="C216" s="13"/>
    </row>
    <row r="217" spans="1:3">
      <c r="A217" s="1">
        <v>95</v>
      </c>
      <c r="B217" s="13">
        <v>-5138.6199337095022</v>
      </c>
      <c r="C217" s="13"/>
    </row>
    <row r="218" spans="1:3">
      <c r="A218" s="1">
        <v>168</v>
      </c>
      <c r="B218" s="13">
        <v>-5058.9180264025927</v>
      </c>
      <c r="C218" s="13"/>
    </row>
    <row r="219" spans="1:3">
      <c r="A219" s="1">
        <v>116</v>
      </c>
      <c r="B219" s="13">
        <v>-4294.4215029664338</v>
      </c>
      <c r="C219" s="13"/>
    </row>
    <row r="220" spans="1:3">
      <c r="A220" s="1">
        <v>186</v>
      </c>
      <c r="B220" s="13">
        <v>-3836.684541946277</v>
      </c>
      <c r="C220" s="13"/>
    </row>
    <row r="221" spans="1:3">
      <c r="A221" s="1">
        <v>360</v>
      </c>
      <c r="B221" s="13">
        <v>-3014.8842390645295</v>
      </c>
      <c r="C221" s="13"/>
    </row>
    <row r="222" spans="1:3">
      <c r="A222" s="1">
        <v>202</v>
      </c>
      <c r="B222" s="13">
        <v>-3005.125791342929</v>
      </c>
      <c r="C222" s="13"/>
    </row>
    <row r="223" spans="1:3">
      <c r="A223" s="1">
        <v>420</v>
      </c>
      <c r="B223" s="13">
        <v>-2386.1099601872265</v>
      </c>
      <c r="C223" s="13"/>
    </row>
    <row r="224" spans="1:3">
      <c r="A224" s="1">
        <v>396</v>
      </c>
      <c r="B224" s="13">
        <v>-1852.9892140850425</v>
      </c>
      <c r="C224" s="13"/>
    </row>
    <row r="225" spans="1:3">
      <c r="A225" s="1">
        <v>58</v>
      </c>
      <c r="B225" s="13">
        <v>-1781.9744260404259</v>
      </c>
      <c r="C225" s="13"/>
    </row>
    <row r="226" spans="1:3">
      <c r="A226" s="1">
        <v>9</v>
      </c>
      <c r="B226" s="13">
        <v>-1463.460914965719</v>
      </c>
      <c r="C226" s="13"/>
    </row>
    <row r="227" spans="1:3">
      <c r="A227" s="1">
        <v>278</v>
      </c>
      <c r="B227" s="13">
        <v>-709.09178559109569</v>
      </c>
      <c r="C227" s="13"/>
    </row>
    <row r="228" spans="1:3">
      <c r="A228" s="1">
        <v>449</v>
      </c>
      <c r="B228" s="13">
        <v>-449.05984225869179</v>
      </c>
      <c r="C228" s="13"/>
    </row>
    <row r="229" spans="1:3">
      <c r="A229" s="1">
        <v>105</v>
      </c>
      <c r="B229" s="13">
        <v>-236.49982986226678</v>
      </c>
      <c r="C229" s="13"/>
    </row>
    <row r="230" spans="1:3">
      <c r="A230" s="1">
        <v>114</v>
      </c>
      <c r="B230" s="13">
        <v>336.015695059672</v>
      </c>
      <c r="C230" s="13"/>
    </row>
    <row r="231" spans="1:3">
      <c r="A231" s="1">
        <v>32</v>
      </c>
      <c r="B231" s="13">
        <v>338.8656080532819</v>
      </c>
      <c r="C231" s="13"/>
    </row>
    <row r="232" spans="1:3">
      <c r="A232" s="1">
        <v>271</v>
      </c>
      <c r="B232" s="13">
        <v>431.35555269755423</v>
      </c>
      <c r="C232" s="13"/>
    </row>
    <row r="233" spans="1:3">
      <c r="A233" s="1">
        <v>276</v>
      </c>
      <c r="B233" s="13">
        <v>599.82680961117148</v>
      </c>
      <c r="C233" s="13"/>
    </row>
    <row r="234" spans="1:3">
      <c r="A234" s="1">
        <v>206</v>
      </c>
      <c r="B234" s="13">
        <v>1334.6395127847791</v>
      </c>
      <c r="C234" s="13"/>
    </row>
    <row r="235" spans="1:3">
      <c r="A235" s="1">
        <v>121</v>
      </c>
      <c r="B235" s="13">
        <v>1520.4650754146278</v>
      </c>
      <c r="C235" s="13"/>
    </row>
    <row r="236" spans="1:3">
      <c r="A236" s="1">
        <v>201</v>
      </c>
      <c r="B236" s="13">
        <v>2070.1306224055588</v>
      </c>
      <c r="C236" s="13"/>
    </row>
    <row r="237" spans="1:3">
      <c r="A237" s="1">
        <v>137</v>
      </c>
      <c r="B237" s="13">
        <v>3203.8330249022692</v>
      </c>
      <c r="C237" s="13"/>
    </row>
    <row r="238" spans="1:3">
      <c r="A238" s="1">
        <v>10</v>
      </c>
      <c r="B238" s="13">
        <v>3493.6483632288873</v>
      </c>
      <c r="C238" s="13"/>
    </row>
    <row r="239" spans="1:3">
      <c r="A239" s="1">
        <v>103</v>
      </c>
      <c r="B239" s="13">
        <v>3924.4140645544976</v>
      </c>
      <c r="C239" s="13"/>
    </row>
    <row r="240" spans="1:3">
      <c r="A240" s="1">
        <v>75</v>
      </c>
      <c r="B240" s="13">
        <v>4184.9374259486794</v>
      </c>
      <c r="C240" s="13"/>
    </row>
    <row r="241" spans="1:3">
      <c r="A241" s="1">
        <v>78</v>
      </c>
      <c r="B241" s="13">
        <v>4458.3025622144341</v>
      </c>
      <c r="C241" s="13"/>
    </row>
    <row r="242" spans="1:3">
      <c r="A242" s="1">
        <v>17</v>
      </c>
      <c r="B242" s="13">
        <v>4640.0185919180512</v>
      </c>
      <c r="C242" s="13"/>
    </row>
    <row r="243" spans="1:3">
      <c r="A243" s="1">
        <v>259</v>
      </c>
      <c r="B243" s="13">
        <v>5137.4011805858463</v>
      </c>
      <c r="C243" s="13"/>
    </row>
    <row r="244" spans="1:3">
      <c r="A244" s="1">
        <v>273</v>
      </c>
      <c r="B244" s="13">
        <v>5272.3923290576786</v>
      </c>
      <c r="C244" s="13"/>
    </row>
    <row r="245" spans="1:3">
      <c r="A245" s="1">
        <v>52</v>
      </c>
      <c r="B245" s="13">
        <v>5441.3889364078641</v>
      </c>
      <c r="C245" s="13"/>
    </row>
    <row r="246" spans="1:3">
      <c r="A246" s="1">
        <v>177</v>
      </c>
      <c r="B246" s="13">
        <v>5503.5173167902976</v>
      </c>
      <c r="C246" s="13"/>
    </row>
    <row r="247" spans="1:3">
      <c r="A247" s="1">
        <v>403</v>
      </c>
      <c r="B247" s="13">
        <v>6007.1653863769025</v>
      </c>
      <c r="C247" s="13"/>
    </row>
    <row r="248" spans="1:3">
      <c r="A248" s="1">
        <v>220</v>
      </c>
      <c r="B248" s="13">
        <v>6035.8591263964772</v>
      </c>
      <c r="C248" s="13"/>
    </row>
    <row r="249" spans="1:3">
      <c r="A249" s="1">
        <v>119</v>
      </c>
      <c r="B249" s="13">
        <v>6419.7302430793643</v>
      </c>
      <c r="C249" s="13"/>
    </row>
    <row r="250" spans="1:3">
      <c r="A250" s="1">
        <v>38</v>
      </c>
      <c r="B250" s="13">
        <v>6693.7643040381372</v>
      </c>
      <c r="C250" s="13"/>
    </row>
    <row r="251" spans="1:3">
      <c r="A251" s="1">
        <v>452</v>
      </c>
      <c r="B251" s="13">
        <v>8146.2033985331655</v>
      </c>
      <c r="C251" s="13"/>
    </row>
    <row r="252" spans="1:3">
      <c r="A252" s="1">
        <v>35</v>
      </c>
      <c r="B252" s="13">
        <v>8616.6133167240769</v>
      </c>
      <c r="C252" s="13"/>
    </row>
    <row r="253" spans="1:3">
      <c r="A253" s="1">
        <v>188</v>
      </c>
      <c r="B253" s="13">
        <v>8747.8310943059623</v>
      </c>
      <c r="C253" s="13"/>
    </row>
    <row r="254" spans="1:3">
      <c r="A254" s="1">
        <v>81</v>
      </c>
      <c r="B254" s="13">
        <v>8882.1702295523137</v>
      </c>
      <c r="C254" s="13"/>
    </row>
    <row r="255" spans="1:3">
      <c r="A255" s="1">
        <v>126</v>
      </c>
      <c r="B255" s="13">
        <v>9596.6861060205847</v>
      </c>
      <c r="C255" s="13"/>
    </row>
    <row r="256" spans="1:3">
      <c r="A256" s="1">
        <v>319</v>
      </c>
      <c r="B256" s="13">
        <v>9694.7138114012778</v>
      </c>
      <c r="C256" s="13"/>
    </row>
    <row r="257" spans="1:3">
      <c r="A257" s="1">
        <v>128</v>
      </c>
      <c r="B257" s="13">
        <v>10060.958693737164</v>
      </c>
      <c r="C257" s="13"/>
    </row>
    <row r="258" spans="1:3">
      <c r="A258" s="1">
        <v>183</v>
      </c>
      <c r="B258" s="13">
        <v>10928.159052871168</v>
      </c>
      <c r="C258" s="13"/>
    </row>
    <row r="259" spans="1:3">
      <c r="A259" s="1">
        <v>71</v>
      </c>
      <c r="B259" s="13">
        <v>11135.272168599069</v>
      </c>
      <c r="C259" s="13"/>
    </row>
    <row r="260" spans="1:3">
      <c r="A260" s="1">
        <v>50</v>
      </c>
      <c r="B260" s="13">
        <v>11623.861471038312</v>
      </c>
      <c r="C260" s="13"/>
    </row>
    <row r="261" spans="1:3">
      <c r="A261" s="1">
        <v>112</v>
      </c>
      <c r="B261" s="13">
        <v>12034.638440784067</v>
      </c>
      <c r="C261" s="13"/>
    </row>
    <row r="262" spans="1:3">
      <c r="A262" s="1">
        <v>262</v>
      </c>
      <c r="B262" s="13">
        <v>12257.37904496491</v>
      </c>
      <c r="C262" s="13"/>
    </row>
    <row r="263" spans="1:3">
      <c r="A263" s="1">
        <v>391</v>
      </c>
      <c r="B263" s="13">
        <v>12620.304011296481</v>
      </c>
      <c r="C263" s="13"/>
    </row>
    <row r="264" spans="1:3">
      <c r="A264" s="1">
        <v>82</v>
      </c>
      <c r="B264" s="13">
        <v>13028.39147381857</v>
      </c>
      <c r="C264" s="13"/>
    </row>
    <row r="265" spans="1:3">
      <c r="A265" s="1">
        <v>83</v>
      </c>
      <c r="B265" s="13">
        <v>13035.13161050342</v>
      </c>
      <c r="C265" s="13"/>
    </row>
    <row r="266" spans="1:3">
      <c r="A266" s="1">
        <v>179</v>
      </c>
      <c r="B266" s="13">
        <v>13134.468178560957</v>
      </c>
      <c r="C266" s="13"/>
    </row>
    <row r="267" spans="1:3">
      <c r="A267" s="1">
        <v>178</v>
      </c>
      <c r="B267" s="13">
        <v>13337.999475860968</v>
      </c>
      <c r="C267" s="13"/>
    </row>
    <row r="268" spans="1:3">
      <c r="A268" s="1">
        <v>282</v>
      </c>
      <c r="B268" s="13">
        <v>13451.118758160621</v>
      </c>
      <c r="C268" s="13"/>
    </row>
    <row r="269" spans="1:3">
      <c r="A269" s="1">
        <v>139</v>
      </c>
      <c r="B269" s="13">
        <v>13571.945598458871</v>
      </c>
      <c r="C269" s="13"/>
    </row>
    <row r="270" spans="1:3">
      <c r="A270" s="1">
        <v>269</v>
      </c>
      <c r="B270" s="13">
        <v>13672.494114378467</v>
      </c>
      <c r="C270" s="13"/>
    </row>
    <row r="271" spans="1:3">
      <c r="A271" s="1">
        <v>217</v>
      </c>
      <c r="B271" s="13">
        <v>13688.613149443641</v>
      </c>
      <c r="C271" s="13"/>
    </row>
    <row r="272" spans="1:3">
      <c r="A272" s="1">
        <v>265</v>
      </c>
      <c r="B272" s="13">
        <v>14006.158840380609</v>
      </c>
      <c r="C272" s="13"/>
    </row>
    <row r="273" spans="1:3">
      <c r="A273" s="1">
        <v>42</v>
      </c>
      <c r="B273" s="13">
        <v>14157.178247019649</v>
      </c>
      <c r="C273" s="13"/>
    </row>
    <row r="274" spans="1:3">
      <c r="A274" s="1">
        <v>440</v>
      </c>
      <c r="B274" s="13">
        <v>14217.941430164501</v>
      </c>
      <c r="C274" s="13"/>
    </row>
    <row r="275" spans="1:3">
      <c r="A275" s="1">
        <v>1</v>
      </c>
      <c r="B275" s="13">
        <v>14333.845846785232</v>
      </c>
      <c r="C275" s="13"/>
    </row>
    <row r="276" spans="1:3">
      <c r="A276" s="1">
        <v>325</v>
      </c>
      <c r="B276" s="13">
        <v>15054.667460277677</v>
      </c>
      <c r="C276" s="13"/>
    </row>
    <row r="277" spans="1:3">
      <c r="A277" s="1">
        <v>104</v>
      </c>
      <c r="B277" s="13">
        <v>15184.368780564517</v>
      </c>
      <c r="C277" s="13"/>
    </row>
    <row r="278" spans="1:3">
      <c r="A278" s="1">
        <v>67</v>
      </c>
      <c r="B278" s="13">
        <v>16651.966867534444</v>
      </c>
      <c r="C278" s="13"/>
    </row>
    <row r="279" spans="1:3">
      <c r="A279" s="1">
        <v>88</v>
      </c>
      <c r="B279" s="13">
        <v>16786.090860132128</v>
      </c>
      <c r="C279" s="13"/>
    </row>
    <row r="280" spans="1:3">
      <c r="A280" s="1">
        <v>417</v>
      </c>
      <c r="B280" s="13">
        <v>16958.385019974783</v>
      </c>
      <c r="C280" s="13"/>
    </row>
    <row r="281" spans="1:3">
      <c r="A281" s="1">
        <v>106</v>
      </c>
      <c r="B281" s="13">
        <v>17083.15239578113</v>
      </c>
      <c r="C281" s="13"/>
    </row>
    <row r="282" spans="1:3">
      <c r="A282" s="1">
        <v>157</v>
      </c>
      <c r="B282" s="13">
        <v>17112.599983237684</v>
      </c>
      <c r="C282" s="13"/>
    </row>
    <row r="283" spans="1:3">
      <c r="A283" s="1">
        <v>348</v>
      </c>
      <c r="B283" s="13">
        <v>17607.200365345925</v>
      </c>
      <c r="C283" s="13"/>
    </row>
    <row r="284" spans="1:3">
      <c r="A284" s="1">
        <v>148</v>
      </c>
      <c r="B284" s="13">
        <v>18338.979438558221</v>
      </c>
      <c r="C284" s="13"/>
    </row>
    <row r="285" spans="1:3">
      <c r="A285" s="1">
        <v>164</v>
      </c>
      <c r="B285" s="13">
        <v>18389.969444423914</v>
      </c>
      <c r="C285" s="13"/>
    </row>
    <row r="286" spans="1:3">
      <c r="A286" s="1">
        <v>154</v>
      </c>
      <c r="B286" s="13">
        <v>18467.002946790308</v>
      </c>
      <c r="C286" s="13"/>
    </row>
    <row r="287" spans="1:3">
      <c r="A287" s="1">
        <v>281</v>
      </c>
      <c r="B287" s="13">
        <v>18917.522829353809</v>
      </c>
      <c r="C287" s="13"/>
    </row>
    <row r="288" spans="1:3">
      <c r="A288" s="1">
        <v>22</v>
      </c>
      <c r="B288" s="13">
        <v>19194.09336463362</v>
      </c>
      <c r="C288" s="13"/>
    </row>
    <row r="289" spans="1:3">
      <c r="A289" s="1">
        <v>160</v>
      </c>
      <c r="B289" s="13">
        <v>19283.651127964258</v>
      </c>
      <c r="C289" s="13"/>
    </row>
    <row r="290" spans="1:3">
      <c r="A290" s="1">
        <v>57</v>
      </c>
      <c r="B290" s="13">
        <v>19352.773235268891</v>
      </c>
      <c r="C290" s="13"/>
    </row>
    <row r="291" spans="1:3">
      <c r="A291" s="1">
        <v>191</v>
      </c>
      <c r="B291" s="13">
        <v>19379.801340328529</v>
      </c>
      <c r="C291" s="13"/>
    </row>
    <row r="292" spans="1:3">
      <c r="A292" s="1">
        <v>64</v>
      </c>
      <c r="B292" s="13">
        <v>19415.605987640098</v>
      </c>
      <c r="C292" s="13"/>
    </row>
    <row r="293" spans="1:3">
      <c r="A293" s="1">
        <v>25</v>
      </c>
      <c r="B293" s="13">
        <v>19510.947806710377</v>
      </c>
      <c r="C293" s="13"/>
    </row>
    <row r="294" spans="1:3">
      <c r="A294" s="1">
        <v>342</v>
      </c>
      <c r="B294" s="13">
        <v>20033.656398171559</v>
      </c>
      <c r="C294" s="13"/>
    </row>
    <row r="295" spans="1:3">
      <c r="A295" s="1">
        <v>484</v>
      </c>
      <c r="B295" s="13">
        <v>20522.65007868968</v>
      </c>
      <c r="C295" s="13"/>
    </row>
    <row r="296" spans="1:3">
      <c r="A296" s="1">
        <v>323</v>
      </c>
      <c r="B296" s="13">
        <v>20764.147184278816</v>
      </c>
      <c r="C296" s="13"/>
    </row>
    <row r="297" spans="1:3">
      <c r="A297" s="1">
        <v>68</v>
      </c>
      <c r="B297" s="13">
        <v>21114.468667278066</v>
      </c>
      <c r="C297" s="13"/>
    </row>
    <row r="298" spans="1:3">
      <c r="A298" s="1">
        <v>400</v>
      </c>
      <c r="B298" s="13">
        <v>21259.650816865265</v>
      </c>
      <c r="C298" s="13"/>
    </row>
    <row r="299" spans="1:3">
      <c r="A299" s="1">
        <v>229</v>
      </c>
      <c r="B299" s="13">
        <v>22879.467183293775</v>
      </c>
      <c r="C299" s="13"/>
    </row>
    <row r="300" spans="1:3">
      <c r="A300" s="1">
        <v>99</v>
      </c>
      <c r="B300" s="13">
        <v>24443.13943955861</v>
      </c>
      <c r="C300" s="13"/>
    </row>
    <row r="301" spans="1:3">
      <c r="A301" s="1">
        <v>422</v>
      </c>
      <c r="B301" s="13">
        <v>24641.244719788432</v>
      </c>
      <c r="C301" s="13"/>
    </row>
    <row r="302" spans="1:3">
      <c r="A302" s="1">
        <v>394</v>
      </c>
      <c r="B302" s="13">
        <v>25009.852140188217</v>
      </c>
      <c r="C302" s="13"/>
    </row>
    <row r="303" spans="1:3">
      <c r="A303" s="1">
        <v>245</v>
      </c>
      <c r="B303" s="13">
        <v>25412.998720623553</v>
      </c>
      <c r="C303" s="13"/>
    </row>
    <row r="304" spans="1:3">
      <c r="A304" s="1">
        <v>140</v>
      </c>
      <c r="B304" s="13">
        <v>25760.347409864888</v>
      </c>
      <c r="C304" s="13"/>
    </row>
    <row r="305" spans="1:3">
      <c r="A305" s="1">
        <v>398</v>
      </c>
      <c r="B305" s="13">
        <v>26257.890194991603</v>
      </c>
      <c r="C305" s="13"/>
    </row>
    <row r="306" spans="1:3">
      <c r="A306" s="1">
        <v>446</v>
      </c>
      <c r="B306" s="13">
        <v>26953.923379510641</v>
      </c>
      <c r="C306" s="13"/>
    </row>
    <row r="307" spans="1:3">
      <c r="A307" s="1">
        <v>2</v>
      </c>
      <c r="B307" s="13">
        <v>27481.313121182844</v>
      </c>
      <c r="C307" s="13"/>
    </row>
    <row r="308" spans="1:3">
      <c r="A308" s="1">
        <v>253</v>
      </c>
      <c r="B308" s="13">
        <v>27537.054396741092</v>
      </c>
      <c r="C308" s="13"/>
    </row>
    <row r="309" spans="1:3">
      <c r="A309" s="1">
        <v>30</v>
      </c>
      <c r="B309" s="13">
        <v>27563.594064231962</v>
      </c>
      <c r="C309" s="13"/>
    </row>
    <row r="310" spans="1:3">
      <c r="A310" s="1">
        <v>152</v>
      </c>
      <c r="B310" s="13">
        <v>27580.576552636921</v>
      </c>
      <c r="C310" s="13"/>
    </row>
    <row r="311" spans="1:3">
      <c r="A311" s="1">
        <v>85</v>
      </c>
      <c r="B311" s="13">
        <v>27998.862234137952</v>
      </c>
      <c r="C311" s="13"/>
    </row>
    <row r="312" spans="1:3">
      <c r="A312" s="1">
        <v>161</v>
      </c>
      <c r="B312" s="13">
        <v>28163.018422158435</v>
      </c>
      <c r="C312" s="13"/>
    </row>
    <row r="313" spans="1:3">
      <c r="A313" s="1">
        <v>163</v>
      </c>
      <c r="B313" s="13">
        <v>29010.528001511469</v>
      </c>
      <c r="C313" s="13"/>
    </row>
    <row r="314" spans="1:3">
      <c r="A314" s="1">
        <v>264</v>
      </c>
      <c r="B314" s="13">
        <v>29036.673953758553</v>
      </c>
      <c r="C314" s="13"/>
    </row>
    <row r="315" spans="1:3">
      <c r="A315" s="1">
        <v>53</v>
      </c>
      <c r="B315" s="13">
        <v>29056.974134074524</v>
      </c>
      <c r="C315" s="13"/>
    </row>
    <row r="316" spans="1:3">
      <c r="A316" s="1">
        <v>45</v>
      </c>
      <c r="B316" s="13">
        <v>29532.71578361094</v>
      </c>
      <c r="C316" s="13"/>
    </row>
    <row r="317" spans="1:3">
      <c r="A317" s="1">
        <v>340</v>
      </c>
      <c r="B317" s="13">
        <v>30009.03780035302</v>
      </c>
      <c r="C317" s="13"/>
    </row>
    <row r="318" spans="1:3">
      <c r="A318" s="1">
        <v>158</v>
      </c>
      <c r="B318" s="13">
        <v>30237.860242094845</v>
      </c>
      <c r="C318" s="13"/>
    </row>
    <row r="319" spans="1:3">
      <c r="A319" s="1">
        <v>91</v>
      </c>
      <c r="B319" s="13">
        <v>30354.514659192413</v>
      </c>
      <c r="C319" s="13"/>
    </row>
    <row r="320" spans="1:3">
      <c r="A320" s="1">
        <v>49</v>
      </c>
      <c r="B320" s="13">
        <v>30354.71314971894</v>
      </c>
      <c r="C320" s="13"/>
    </row>
    <row r="321" spans="1:3">
      <c r="A321" s="1">
        <v>275</v>
      </c>
      <c r="B321" s="13">
        <v>30508.75503878668</v>
      </c>
      <c r="C321" s="13"/>
    </row>
    <row r="322" spans="1:3">
      <c r="A322" s="1">
        <v>387</v>
      </c>
      <c r="B322" s="13">
        <v>30636.991289377213</v>
      </c>
      <c r="C322" s="13"/>
    </row>
    <row r="323" spans="1:3">
      <c r="A323" s="1">
        <v>97</v>
      </c>
      <c r="B323" s="13">
        <v>30665.729418147355</v>
      </c>
      <c r="C323" s="13"/>
    </row>
    <row r="324" spans="1:3">
      <c r="A324" s="1">
        <v>86</v>
      </c>
      <c r="B324" s="13">
        <v>30692.508565602824</v>
      </c>
      <c r="C324" s="13"/>
    </row>
    <row r="325" spans="1:3">
      <c r="A325" s="1">
        <v>39</v>
      </c>
      <c r="B325" s="13">
        <v>30718.953504145145</v>
      </c>
      <c r="C325" s="13"/>
    </row>
    <row r="326" spans="1:3">
      <c r="A326" s="1">
        <v>113</v>
      </c>
      <c r="B326" s="13">
        <v>31479.918573589996</v>
      </c>
      <c r="C326" s="13"/>
    </row>
    <row r="327" spans="1:3">
      <c r="A327" s="1">
        <v>184</v>
      </c>
      <c r="B327" s="13">
        <v>31527.477930517867</v>
      </c>
      <c r="C327" s="13"/>
    </row>
    <row r="328" spans="1:3">
      <c r="A328" s="1">
        <v>130</v>
      </c>
      <c r="B328" s="13">
        <v>31613.709141718224</v>
      </c>
      <c r="C328" s="13"/>
    </row>
    <row r="329" spans="1:3">
      <c r="A329" s="1">
        <v>224</v>
      </c>
      <c r="B329" s="13">
        <v>32265.038773741573</v>
      </c>
      <c r="C329" s="13"/>
    </row>
    <row r="330" spans="1:3">
      <c r="A330" s="1">
        <v>411</v>
      </c>
      <c r="B330" s="13">
        <v>32549.451291259378</v>
      </c>
      <c r="C330" s="13"/>
    </row>
    <row r="331" spans="1:3">
      <c r="A331" s="1">
        <v>80</v>
      </c>
      <c r="B331" s="13">
        <v>33403.954754153267</v>
      </c>
      <c r="C331" s="13"/>
    </row>
    <row r="332" spans="1:3">
      <c r="A332" s="1">
        <v>118</v>
      </c>
      <c r="B332" s="13">
        <v>33783.181555248797</v>
      </c>
      <c r="C332" s="13"/>
    </row>
    <row r="333" spans="1:3">
      <c r="A333" s="1">
        <v>456</v>
      </c>
      <c r="B333" s="13">
        <v>33959.334209002554</v>
      </c>
      <c r="C333" s="13"/>
    </row>
    <row r="334" spans="1:3">
      <c r="A334" s="1">
        <v>267</v>
      </c>
      <c r="B334" s="13">
        <v>34128.894425807521</v>
      </c>
      <c r="C334" s="13"/>
    </row>
    <row r="335" spans="1:3">
      <c r="A335" s="1">
        <v>129</v>
      </c>
      <c r="B335" s="13">
        <v>34153.395280161873</v>
      </c>
      <c r="C335" s="13"/>
    </row>
    <row r="336" spans="1:3">
      <c r="A336" s="1">
        <v>122</v>
      </c>
      <c r="B336" s="13">
        <v>34202.845761766657</v>
      </c>
      <c r="C336" s="13"/>
    </row>
    <row r="337" spans="1:3">
      <c r="A337" s="1">
        <v>462</v>
      </c>
      <c r="B337" s="13">
        <v>34357.75177668035</v>
      </c>
      <c r="C337" s="13"/>
    </row>
    <row r="338" spans="1:3">
      <c r="A338" s="1">
        <v>172</v>
      </c>
      <c r="B338" s="13">
        <v>34640.081170210615</v>
      </c>
      <c r="C338" s="13"/>
    </row>
    <row r="339" spans="1:3">
      <c r="A339" s="1">
        <v>215</v>
      </c>
      <c r="B339" s="13">
        <v>35975.568635961041</v>
      </c>
      <c r="C339" s="13"/>
    </row>
    <row r="340" spans="1:3">
      <c r="A340" s="1">
        <v>407</v>
      </c>
      <c r="B340" s="13">
        <v>36498.168872131035</v>
      </c>
      <c r="C340" s="13"/>
    </row>
    <row r="341" spans="1:3">
      <c r="A341" s="1">
        <v>214</v>
      </c>
      <c r="B341" s="13">
        <v>36875.677484218031</v>
      </c>
      <c r="C341" s="13"/>
    </row>
    <row r="342" spans="1:3">
      <c r="A342" s="1">
        <v>187</v>
      </c>
      <c r="B342" s="13">
        <v>37809.195326734334</v>
      </c>
      <c r="C342" s="13"/>
    </row>
    <row r="343" spans="1:3">
      <c r="A343" s="1">
        <v>48</v>
      </c>
      <c r="B343" s="13">
        <v>38648.464319791645</v>
      </c>
      <c r="C343" s="13"/>
    </row>
    <row r="344" spans="1:3">
      <c r="A344" s="1">
        <v>77</v>
      </c>
      <c r="B344" s="13">
        <v>39161.13813710399</v>
      </c>
      <c r="C344" s="13"/>
    </row>
    <row r="345" spans="1:3">
      <c r="A345" s="1">
        <v>354</v>
      </c>
      <c r="B345" s="13">
        <v>39368.034350551665</v>
      </c>
      <c r="C345" s="13"/>
    </row>
    <row r="346" spans="1:3">
      <c r="A346" s="1">
        <v>388</v>
      </c>
      <c r="B346" s="13">
        <v>39490.674680918455</v>
      </c>
      <c r="C346" s="13"/>
    </row>
    <row r="347" spans="1:3">
      <c r="A347" s="1">
        <v>51</v>
      </c>
      <c r="B347" s="13">
        <v>39990.846268888563</v>
      </c>
      <c r="C347" s="13"/>
    </row>
    <row r="348" spans="1:3">
      <c r="A348" s="1">
        <v>196</v>
      </c>
      <c r="B348" s="13">
        <v>40625.824018539861</v>
      </c>
      <c r="C348" s="13"/>
    </row>
    <row r="349" spans="1:3">
      <c r="A349" s="1">
        <v>29</v>
      </c>
      <c r="B349" s="13">
        <v>40800.685004454106</v>
      </c>
      <c r="C349" s="13"/>
    </row>
    <row r="350" spans="1:3">
      <c r="A350" s="1">
        <v>79</v>
      </c>
      <c r="B350" s="13">
        <v>41554.448926761746</v>
      </c>
      <c r="C350" s="13"/>
    </row>
    <row r="351" spans="1:3">
      <c r="A351" s="1">
        <v>124</v>
      </c>
      <c r="B351" s="13">
        <v>41630.820383273065</v>
      </c>
      <c r="C351" s="13"/>
    </row>
    <row r="352" spans="1:3">
      <c r="A352" s="1">
        <v>209</v>
      </c>
      <c r="B352" s="13">
        <v>41854.274050367996</v>
      </c>
      <c r="C352" s="13"/>
    </row>
    <row r="353" spans="1:3">
      <c r="A353" s="1">
        <v>60</v>
      </c>
      <c r="B353" s="13">
        <v>42253.586212713271</v>
      </c>
      <c r="C353" s="13"/>
    </row>
    <row r="354" spans="1:3">
      <c r="A354" s="1">
        <v>479</v>
      </c>
      <c r="B354" s="13">
        <v>42643.079682381824</v>
      </c>
      <c r="C354" s="13"/>
    </row>
    <row r="355" spans="1:3">
      <c r="A355" s="1">
        <v>54</v>
      </c>
      <c r="B355" s="13">
        <v>42755.986519845203</v>
      </c>
      <c r="C355" s="13"/>
    </row>
    <row r="356" spans="1:3">
      <c r="A356" s="1">
        <v>251</v>
      </c>
      <c r="B356" s="13">
        <v>42876.090784016997</v>
      </c>
      <c r="C356" s="13"/>
    </row>
    <row r="357" spans="1:3">
      <c r="A357" s="1">
        <v>174</v>
      </c>
      <c r="B357" s="13">
        <v>43574.626298803836</v>
      </c>
      <c r="C357" s="13"/>
    </row>
    <row r="358" spans="1:3">
      <c r="A358" s="1">
        <v>210</v>
      </c>
      <c r="B358" s="13">
        <v>43592.971778735518</v>
      </c>
      <c r="C358" s="13"/>
    </row>
    <row r="359" spans="1:3">
      <c r="A359" s="1">
        <v>176</v>
      </c>
      <c r="B359" s="13">
        <v>44188.821497291327</v>
      </c>
      <c r="C359" s="13"/>
    </row>
    <row r="360" spans="1:3">
      <c r="A360" s="1">
        <v>26</v>
      </c>
      <c r="B360" s="13">
        <v>44431.147138187662</v>
      </c>
      <c r="C360" s="13"/>
    </row>
    <row r="361" spans="1:3">
      <c r="A361" s="1">
        <v>108</v>
      </c>
      <c r="B361" s="13">
        <v>44488.959818487987</v>
      </c>
      <c r="C361" s="13"/>
    </row>
    <row r="362" spans="1:3">
      <c r="A362" s="1">
        <v>212</v>
      </c>
      <c r="B362" s="13">
        <v>45074.079105233774</v>
      </c>
      <c r="C362" s="13"/>
    </row>
    <row r="363" spans="1:3">
      <c r="A363" s="1">
        <v>156</v>
      </c>
      <c r="B363" s="13">
        <v>45905.282390112057</v>
      </c>
      <c r="C363" s="13"/>
    </row>
    <row r="364" spans="1:3">
      <c r="A364" s="1">
        <v>66</v>
      </c>
      <c r="B364" s="13">
        <v>46517.793514767662</v>
      </c>
      <c r="C364" s="13"/>
    </row>
    <row r="365" spans="1:3">
      <c r="A365" s="1">
        <v>230</v>
      </c>
      <c r="B365" s="13">
        <v>47126.729810267687</v>
      </c>
      <c r="C365" s="13"/>
    </row>
    <row r="366" spans="1:3">
      <c r="A366" s="1">
        <v>301</v>
      </c>
      <c r="B366" s="13">
        <v>47275.092825513333</v>
      </c>
      <c r="C366" s="13"/>
    </row>
    <row r="367" spans="1:3">
      <c r="A367" s="1">
        <v>274</v>
      </c>
      <c r="B367" s="13">
        <v>48730.538840066642</v>
      </c>
      <c r="C367" s="13"/>
    </row>
    <row r="368" spans="1:3">
      <c r="A368" s="1">
        <v>169</v>
      </c>
      <c r="B368" s="13">
        <v>48761.662085874006</v>
      </c>
      <c r="C368" s="13"/>
    </row>
    <row r="369" spans="1:3">
      <c r="A369" s="1">
        <v>414</v>
      </c>
      <c r="B369" s="13">
        <v>48954.795306112617</v>
      </c>
      <c r="C369" s="13"/>
    </row>
    <row r="370" spans="1:3">
      <c r="A370" s="1">
        <v>355</v>
      </c>
      <c r="B370" s="13">
        <v>49039.497274667025</v>
      </c>
      <c r="C370" s="13"/>
    </row>
    <row r="371" spans="1:3">
      <c r="A371" s="1">
        <v>277</v>
      </c>
      <c r="B371" s="13">
        <v>49126.327506590635</v>
      </c>
      <c r="C371" s="13"/>
    </row>
    <row r="372" spans="1:3">
      <c r="A372" s="1">
        <v>37</v>
      </c>
      <c r="B372" s="13">
        <v>49143.548503598198</v>
      </c>
      <c r="C372" s="13"/>
    </row>
    <row r="373" spans="1:3">
      <c r="A373" s="1">
        <v>386</v>
      </c>
      <c r="B373" s="13">
        <v>49309.537910001352</v>
      </c>
      <c r="C373" s="13"/>
    </row>
    <row r="374" spans="1:3">
      <c r="A374" s="1">
        <v>470</v>
      </c>
      <c r="B374" s="13">
        <v>49350.959462974221</v>
      </c>
      <c r="C374" s="13"/>
    </row>
    <row r="375" spans="1:3">
      <c r="A375" s="1">
        <v>474</v>
      </c>
      <c r="B375" s="13">
        <v>50812.77102002874</v>
      </c>
      <c r="C375" s="13"/>
    </row>
    <row r="376" spans="1:3">
      <c r="A376" s="1">
        <v>190</v>
      </c>
      <c r="B376" s="13">
        <v>51633.162864828482</v>
      </c>
      <c r="C376" s="13"/>
    </row>
    <row r="377" spans="1:3">
      <c r="A377" s="1">
        <v>234</v>
      </c>
      <c r="B377" s="13">
        <v>51636.043203983456</v>
      </c>
      <c r="C377" s="13"/>
    </row>
    <row r="378" spans="1:3">
      <c r="A378" s="1">
        <v>478</v>
      </c>
      <c r="B378" s="13">
        <v>51849.046228881925</v>
      </c>
      <c r="C378" s="13"/>
    </row>
    <row r="379" spans="1:3">
      <c r="A379" s="1">
        <v>19</v>
      </c>
      <c r="B379" s="13">
        <v>51870.780668539926</v>
      </c>
      <c r="C379" s="13"/>
    </row>
    <row r="380" spans="1:3">
      <c r="A380" s="1">
        <v>16</v>
      </c>
      <c r="B380" s="13">
        <v>51929.993037734181</v>
      </c>
      <c r="C380" s="13"/>
    </row>
    <row r="381" spans="1:3">
      <c r="A381" s="1">
        <v>189</v>
      </c>
      <c r="B381" s="13">
        <v>52192.617955526337</v>
      </c>
      <c r="C381" s="13"/>
    </row>
    <row r="382" spans="1:3">
      <c r="A382" s="1">
        <v>421</v>
      </c>
      <c r="B382" s="13">
        <v>52625.510077577084</v>
      </c>
      <c r="C382" s="13"/>
    </row>
    <row r="383" spans="1:3">
      <c r="A383" s="1">
        <v>181</v>
      </c>
      <c r="B383" s="13">
        <v>52638.077186260372</v>
      </c>
      <c r="C383" s="13"/>
    </row>
    <row r="384" spans="1:3">
      <c r="A384" s="1">
        <v>413</v>
      </c>
      <c r="B384" s="13">
        <v>53103.458921052516</v>
      </c>
      <c r="C384" s="13"/>
    </row>
    <row r="385" spans="1:3">
      <c r="A385" s="1">
        <v>443</v>
      </c>
      <c r="B385" s="13">
        <v>53315.87297360599</v>
      </c>
      <c r="C385" s="13"/>
    </row>
    <row r="386" spans="1:3">
      <c r="A386" s="1">
        <v>426</v>
      </c>
      <c r="B386" s="13">
        <v>53925.840280365199</v>
      </c>
      <c r="C386" s="13"/>
    </row>
    <row r="387" spans="1:3">
      <c r="A387" s="1">
        <v>308</v>
      </c>
      <c r="B387" s="13">
        <v>53929.405415900052</v>
      </c>
      <c r="C387" s="13"/>
    </row>
    <row r="388" spans="1:3">
      <c r="A388" s="1">
        <v>311</v>
      </c>
      <c r="B388" s="13">
        <v>54160.290329493582</v>
      </c>
      <c r="C388" s="13"/>
    </row>
    <row r="389" spans="1:3">
      <c r="A389" s="1">
        <v>33</v>
      </c>
      <c r="B389" s="13">
        <v>54388.348120266572</v>
      </c>
      <c r="C389" s="13"/>
    </row>
    <row r="390" spans="1:3">
      <c r="A390" s="1">
        <v>46</v>
      </c>
      <c r="B390" s="13">
        <v>54468.400729451329</v>
      </c>
      <c r="C390" s="13"/>
    </row>
    <row r="391" spans="1:3">
      <c r="A391" s="1">
        <v>260</v>
      </c>
      <c r="B391" s="13">
        <v>54563.202137215063</v>
      </c>
      <c r="C391" s="13"/>
    </row>
    <row r="392" spans="1:3">
      <c r="A392" s="1">
        <v>316</v>
      </c>
      <c r="B392" s="13">
        <v>54648.504749009386</v>
      </c>
      <c r="C392" s="13"/>
    </row>
    <row r="393" spans="1:3">
      <c r="A393" s="1">
        <v>87</v>
      </c>
      <c r="B393" s="13">
        <v>54830.990589803085</v>
      </c>
      <c r="C393" s="13"/>
    </row>
    <row r="394" spans="1:3">
      <c r="A394" s="1">
        <v>287</v>
      </c>
      <c r="B394" s="13">
        <v>55699.074111863971</v>
      </c>
      <c r="C394" s="13"/>
    </row>
    <row r="395" spans="1:3">
      <c r="A395" s="1">
        <v>18</v>
      </c>
      <c r="B395" s="13">
        <v>56357.542835272849</v>
      </c>
      <c r="C395" s="13"/>
    </row>
    <row r="396" spans="1:3">
      <c r="A396" s="1">
        <v>101</v>
      </c>
      <c r="B396" s="13">
        <v>56537.0993110165</v>
      </c>
      <c r="C396" s="13"/>
    </row>
    <row r="397" spans="1:3">
      <c r="A397" s="1">
        <v>72</v>
      </c>
      <c r="B397" s="13">
        <v>56734.803804650903</v>
      </c>
      <c r="C397" s="13"/>
    </row>
    <row r="398" spans="1:3">
      <c r="A398" s="1">
        <v>15</v>
      </c>
      <c r="B398" s="13">
        <v>57041.293595388532</v>
      </c>
      <c r="C398" s="13"/>
    </row>
    <row r="399" spans="1:3">
      <c r="A399" s="1">
        <v>235</v>
      </c>
      <c r="B399" s="13">
        <v>57361.210607934743</v>
      </c>
      <c r="C399" s="13"/>
    </row>
    <row r="400" spans="1:3">
      <c r="A400" s="1">
        <v>368</v>
      </c>
      <c r="B400" s="13">
        <v>57597.84257080406</v>
      </c>
      <c r="C400" s="13"/>
    </row>
    <row r="401" spans="1:3">
      <c r="A401" s="1">
        <v>247</v>
      </c>
      <c r="B401" s="13">
        <v>58087.907901916653</v>
      </c>
      <c r="C401" s="13"/>
    </row>
    <row r="402" spans="1:3">
      <c r="A402" s="1">
        <v>44</v>
      </c>
      <c r="B402" s="13">
        <v>61699.657502686605</v>
      </c>
      <c r="C402" s="13"/>
    </row>
    <row r="403" spans="1:3">
      <c r="A403" s="1">
        <v>255</v>
      </c>
      <c r="B403" s="13">
        <v>61820.294132338837</v>
      </c>
      <c r="C403" s="13"/>
    </row>
    <row r="404" spans="1:3">
      <c r="A404" s="1">
        <v>219</v>
      </c>
      <c r="B404" s="13">
        <v>61839.156814223155</v>
      </c>
      <c r="C404" s="13"/>
    </row>
    <row r="405" spans="1:3">
      <c r="A405" s="1">
        <v>109</v>
      </c>
      <c r="B405" s="13">
        <v>61854.301423270255</v>
      </c>
      <c r="C405" s="13"/>
    </row>
    <row r="406" spans="1:3">
      <c r="A406" s="1">
        <v>295</v>
      </c>
      <c r="B406" s="13">
        <v>62108.956579335034</v>
      </c>
      <c r="C406" s="13"/>
    </row>
    <row r="407" spans="1:3">
      <c r="A407" s="1">
        <v>327</v>
      </c>
      <c r="B407" s="13">
        <v>63098.206046609208</v>
      </c>
      <c r="C407" s="13"/>
    </row>
    <row r="408" spans="1:3">
      <c r="A408" s="1">
        <v>5</v>
      </c>
      <c r="B408" s="21">
        <v>63635.125298079103</v>
      </c>
      <c r="C408" s="13"/>
    </row>
    <row r="409" spans="1:3">
      <c r="A409" s="1">
        <v>433</v>
      </c>
      <c r="B409" s="13">
        <v>64430.016567245126</v>
      </c>
      <c r="C409" s="13"/>
    </row>
    <row r="410" spans="1:3">
      <c r="A410" s="1">
        <v>317</v>
      </c>
      <c r="B410" s="13">
        <v>64506.650788592175</v>
      </c>
      <c r="C410" s="21"/>
    </row>
    <row r="411" spans="1:3">
      <c r="A411" s="1">
        <v>244</v>
      </c>
      <c r="B411" s="13">
        <v>65244.727420281619</v>
      </c>
      <c r="C411" s="13"/>
    </row>
    <row r="412" spans="1:3">
      <c r="A412" s="1">
        <v>482</v>
      </c>
      <c r="B412" s="13">
        <v>65382.288528110832</v>
      </c>
      <c r="C412" s="13"/>
    </row>
    <row r="413" spans="1:3">
      <c r="A413" s="1">
        <v>211</v>
      </c>
      <c r="B413" s="13">
        <v>65823.117159401998</v>
      </c>
      <c r="C413" s="13"/>
    </row>
    <row r="414" spans="1:3">
      <c r="A414" s="1">
        <v>198</v>
      </c>
      <c r="B414" s="13">
        <v>66175.2282875292</v>
      </c>
      <c r="C414" s="13"/>
    </row>
    <row r="415" spans="1:3">
      <c r="A415" s="1">
        <v>468</v>
      </c>
      <c r="B415" s="13">
        <v>66715.413849908859</v>
      </c>
      <c r="C415" s="13"/>
    </row>
    <row r="416" spans="1:3">
      <c r="A416" s="1">
        <v>432</v>
      </c>
      <c r="B416" s="13">
        <v>68949.3336181622</v>
      </c>
      <c r="C416" s="13"/>
    </row>
    <row r="417" spans="1:3">
      <c r="A417" s="1">
        <v>232</v>
      </c>
      <c r="B417" s="13">
        <v>69733.129241080955</v>
      </c>
      <c r="C417" s="13"/>
    </row>
    <row r="418" spans="1:3">
      <c r="A418" s="1">
        <v>40</v>
      </c>
      <c r="B418" s="13">
        <v>69733.474896322936</v>
      </c>
      <c r="C418" s="13"/>
    </row>
    <row r="419" spans="1:3">
      <c r="A419" s="1">
        <v>458</v>
      </c>
      <c r="B419" s="13">
        <v>70121.141757775098</v>
      </c>
      <c r="C419" s="13"/>
    </row>
    <row r="420" spans="1:3">
      <c r="A420" s="1">
        <v>250</v>
      </c>
      <c r="B420" s="13">
        <v>70661.347876701504</v>
      </c>
      <c r="C420" s="13"/>
    </row>
    <row r="421" spans="1:3">
      <c r="A421" s="1">
        <v>248</v>
      </c>
      <c r="B421" s="13">
        <v>70899.575864108279</v>
      </c>
      <c r="C421" s="13"/>
    </row>
    <row r="422" spans="1:3">
      <c r="A422" s="1">
        <v>315</v>
      </c>
      <c r="B422" s="13">
        <v>71381.076541455463</v>
      </c>
      <c r="C422" s="13"/>
    </row>
    <row r="423" spans="1:3">
      <c r="A423" s="1">
        <v>454</v>
      </c>
      <c r="B423" s="13">
        <v>71403.934052553028</v>
      </c>
      <c r="C423" s="13"/>
    </row>
    <row r="424" spans="1:3">
      <c r="A424" s="1">
        <v>289</v>
      </c>
      <c r="B424" s="13">
        <v>73109.402634598315</v>
      </c>
      <c r="C424" s="13"/>
    </row>
    <row r="425" spans="1:3">
      <c r="A425" s="1">
        <v>222</v>
      </c>
      <c r="B425" s="13">
        <v>74574.024710239843</v>
      </c>
      <c r="C425" s="13"/>
    </row>
    <row r="426" spans="1:3">
      <c r="A426" s="1">
        <v>310</v>
      </c>
      <c r="B426" s="13">
        <v>74876.66862827912</v>
      </c>
      <c r="C426" s="13"/>
    </row>
    <row r="427" spans="1:3">
      <c r="A427" s="1">
        <v>34</v>
      </c>
      <c r="B427" s="13">
        <v>76533.21535586752</v>
      </c>
      <c r="C427" s="13"/>
    </row>
    <row r="428" spans="1:3">
      <c r="A428" s="1">
        <v>61</v>
      </c>
      <c r="B428" s="13">
        <v>78696.693547494709</v>
      </c>
      <c r="C428" s="13"/>
    </row>
    <row r="429" spans="1:3">
      <c r="A429" s="1">
        <v>102</v>
      </c>
      <c r="B429" s="13">
        <v>79105.912814645097</v>
      </c>
      <c r="C429" s="13"/>
    </row>
    <row r="430" spans="1:3">
      <c r="A430" s="1">
        <v>199</v>
      </c>
      <c r="B430" s="13">
        <v>79640.877844030038</v>
      </c>
      <c r="C430" s="13"/>
    </row>
    <row r="431" spans="1:3">
      <c r="A431" s="1">
        <v>24</v>
      </c>
      <c r="B431" s="13">
        <v>82827.667048258707</v>
      </c>
      <c r="C431" s="13"/>
    </row>
    <row r="432" spans="1:3">
      <c r="A432" s="1">
        <v>412</v>
      </c>
      <c r="B432" s="13">
        <v>83197.260851640254</v>
      </c>
      <c r="C432" s="13"/>
    </row>
    <row r="433" spans="1:3">
      <c r="A433" s="1">
        <v>146</v>
      </c>
      <c r="B433" s="13">
        <v>83506.856424845755</v>
      </c>
      <c r="C433" s="13"/>
    </row>
    <row r="434" spans="1:3">
      <c r="A434" s="1">
        <v>409</v>
      </c>
      <c r="B434" s="13">
        <v>83888.508856587112</v>
      </c>
      <c r="C434" s="13"/>
    </row>
    <row r="435" spans="1:3">
      <c r="A435" s="1">
        <v>6</v>
      </c>
      <c r="B435" s="13">
        <v>85833.581737253815</v>
      </c>
      <c r="C435" s="13"/>
    </row>
    <row r="436" spans="1:3">
      <c r="A436" s="1">
        <v>347</v>
      </c>
      <c r="B436" s="13">
        <v>85983.370299579576</v>
      </c>
      <c r="C436" s="13"/>
    </row>
    <row r="437" spans="1:3">
      <c r="A437" s="1">
        <v>7</v>
      </c>
      <c r="B437" s="13">
        <v>86960.119385000318</v>
      </c>
      <c r="C437" s="13"/>
    </row>
    <row r="438" spans="1:3">
      <c r="A438" s="1">
        <v>166</v>
      </c>
      <c r="B438" s="13">
        <v>87313.202594200149</v>
      </c>
      <c r="C438" s="13"/>
    </row>
    <row r="439" spans="1:3">
      <c r="A439" s="1">
        <v>363</v>
      </c>
      <c r="B439" s="13">
        <v>87375.104154838249</v>
      </c>
      <c r="C439" s="13"/>
    </row>
    <row r="440" spans="1:3">
      <c r="A440" s="1">
        <v>155</v>
      </c>
      <c r="B440" s="13">
        <v>87387.568928811699</v>
      </c>
      <c r="C440" s="13"/>
    </row>
    <row r="441" spans="1:3">
      <c r="A441" s="1">
        <v>239</v>
      </c>
      <c r="B441" s="13">
        <v>88340.040657719597</v>
      </c>
      <c r="C441" s="13"/>
    </row>
    <row r="442" spans="1:3">
      <c r="A442" s="1">
        <v>270</v>
      </c>
      <c r="B442" s="13">
        <v>89261.67653263174</v>
      </c>
      <c r="C442" s="13"/>
    </row>
    <row r="443" spans="1:3">
      <c r="A443" s="1">
        <v>480</v>
      </c>
      <c r="B443" s="13">
        <v>89561.242389334366</v>
      </c>
      <c r="C443" s="13"/>
    </row>
    <row r="444" spans="1:3">
      <c r="A444" s="1">
        <v>359</v>
      </c>
      <c r="B444" s="13">
        <v>89974.46741618216</v>
      </c>
      <c r="C444" s="13"/>
    </row>
    <row r="445" spans="1:3">
      <c r="A445" s="1">
        <v>457</v>
      </c>
      <c r="B445" s="13">
        <v>92288.139743031934</v>
      </c>
      <c r="C445" s="13"/>
    </row>
    <row r="446" spans="1:3">
      <c r="A446" s="1">
        <v>200</v>
      </c>
      <c r="B446" s="13">
        <v>92301.513271501288</v>
      </c>
      <c r="C446" s="13"/>
    </row>
    <row r="447" spans="1:3">
      <c r="A447" s="1">
        <v>138</v>
      </c>
      <c r="B447" s="13">
        <v>92979.971152588725</v>
      </c>
      <c r="C447" s="13"/>
    </row>
    <row r="448" spans="1:3">
      <c r="A448" s="1">
        <v>285</v>
      </c>
      <c r="B448" s="13">
        <v>94248.271111108363</v>
      </c>
      <c r="C448" s="13"/>
    </row>
    <row r="449" spans="1:3">
      <c r="A449" s="1">
        <v>291</v>
      </c>
      <c r="B449" s="13">
        <v>94436.4886285346</v>
      </c>
      <c r="C449" s="13"/>
    </row>
    <row r="450" spans="1:3">
      <c r="A450" s="1">
        <v>173</v>
      </c>
      <c r="B450" s="13">
        <v>96415.46235479787</v>
      </c>
      <c r="C450" s="13"/>
    </row>
    <row r="451" spans="1:3">
      <c r="A451" s="1">
        <v>362</v>
      </c>
      <c r="B451" s="13">
        <v>96709.907885089517</v>
      </c>
      <c r="C451" s="13"/>
    </row>
    <row r="452" spans="1:3">
      <c r="A452" s="1">
        <v>471</v>
      </c>
      <c r="B452" s="13">
        <v>101134.09368716553</v>
      </c>
      <c r="C452" s="13"/>
    </row>
    <row r="453" spans="1:3">
      <c r="A453" s="1">
        <v>145</v>
      </c>
      <c r="B453" s="13">
        <v>103596.11941634305</v>
      </c>
      <c r="C453" s="13"/>
    </row>
    <row r="454" spans="1:3">
      <c r="A454" s="1">
        <v>314</v>
      </c>
      <c r="B454" s="13">
        <v>103734.61510701664</v>
      </c>
      <c r="C454" s="13"/>
    </row>
    <row r="455" spans="1:3">
      <c r="A455" s="1">
        <v>143</v>
      </c>
      <c r="B455" s="13">
        <v>104577.39326796308</v>
      </c>
      <c r="C455" s="13"/>
    </row>
    <row r="456" spans="1:3">
      <c r="A456" s="1">
        <v>385</v>
      </c>
      <c r="B456" s="13">
        <v>104750.20755703561</v>
      </c>
      <c r="C456" s="13"/>
    </row>
    <row r="457" spans="1:3">
      <c r="A457" s="1">
        <v>76</v>
      </c>
      <c r="B457" s="13">
        <v>105529.32995235734</v>
      </c>
      <c r="C457" s="13"/>
    </row>
    <row r="458" spans="1:3">
      <c r="A458" s="1">
        <v>94</v>
      </c>
      <c r="B458" s="13">
        <v>105619.96593252197</v>
      </c>
      <c r="C458" s="13"/>
    </row>
    <row r="459" spans="1:3">
      <c r="A459" s="1">
        <v>268</v>
      </c>
      <c r="B459" s="13">
        <v>106240.29863249511</v>
      </c>
      <c r="C459" s="13"/>
    </row>
    <row r="460" spans="1:3">
      <c r="A460" s="1">
        <v>162</v>
      </c>
      <c r="B460" s="13">
        <v>107426.5734011475</v>
      </c>
      <c r="C460" s="13"/>
    </row>
    <row r="461" spans="1:3">
      <c r="A461" s="1">
        <v>397</v>
      </c>
      <c r="B461" s="13">
        <v>109590.86693698354</v>
      </c>
      <c r="C461" s="13"/>
    </row>
    <row r="462" spans="1:3">
      <c r="A462" s="1">
        <v>300</v>
      </c>
      <c r="B462" s="13">
        <v>109827.42441342585</v>
      </c>
      <c r="C462" s="13"/>
    </row>
    <row r="463" spans="1:3">
      <c r="A463" s="1">
        <v>115</v>
      </c>
      <c r="B463" s="13">
        <v>109970.30305324495</v>
      </c>
      <c r="C463" s="13"/>
    </row>
    <row r="464" spans="1:3">
      <c r="A464" s="1">
        <v>402</v>
      </c>
      <c r="B464" s="13">
        <v>110394.14955975115</v>
      </c>
      <c r="C464" s="13"/>
    </row>
    <row r="465" spans="1:3">
      <c r="A465" s="1">
        <v>243</v>
      </c>
      <c r="B465" s="13">
        <v>110836.99916832708</v>
      </c>
      <c r="C465" s="13"/>
    </row>
    <row r="466" spans="1:3">
      <c r="A466" s="1">
        <v>218</v>
      </c>
      <c r="B466" s="13">
        <v>112258.82303735428</v>
      </c>
      <c r="C466" s="13"/>
    </row>
    <row r="467" spans="1:3">
      <c r="A467" s="1">
        <v>123</v>
      </c>
      <c r="B467" s="13">
        <v>113432.22126451507</v>
      </c>
      <c r="C467" s="13"/>
    </row>
    <row r="468" spans="1:3">
      <c r="A468" s="1">
        <v>307</v>
      </c>
      <c r="B468" s="13">
        <v>114008.79925697297</v>
      </c>
      <c r="C468" s="13"/>
    </row>
    <row r="469" spans="1:3">
      <c r="A469" s="1">
        <v>246</v>
      </c>
      <c r="B469" s="13">
        <v>118910.2910095416</v>
      </c>
      <c r="C469" s="13"/>
    </row>
    <row r="470" spans="1:3">
      <c r="A470" s="1">
        <v>357</v>
      </c>
      <c r="B470" s="13">
        <v>120305.74665877409</v>
      </c>
      <c r="C470" s="13"/>
    </row>
    <row r="471" spans="1:3">
      <c r="A471" s="1">
        <v>136</v>
      </c>
      <c r="B471" s="13">
        <v>121229.19517879188</v>
      </c>
      <c r="C471" s="13"/>
    </row>
    <row r="472" spans="1:3">
      <c r="A472" s="1">
        <v>288</v>
      </c>
      <c r="B472" s="13">
        <v>122829.56106030196</v>
      </c>
      <c r="C472" s="13"/>
    </row>
    <row r="473" spans="1:3">
      <c r="A473" s="1">
        <v>373</v>
      </c>
      <c r="B473" s="13">
        <v>123892.87551661395</v>
      </c>
      <c r="C473" s="13"/>
    </row>
    <row r="474" spans="1:3">
      <c r="A474" s="1">
        <v>500</v>
      </c>
      <c r="B474" s="13">
        <v>126438.96718726307</v>
      </c>
      <c r="C474" s="13"/>
    </row>
    <row r="475" spans="1:3">
      <c r="A475" s="1">
        <v>483</v>
      </c>
      <c r="B475" s="13">
        <v>127951.4645869825</v>
      </c>
      <c r="C475" s="13"/>
    </row>
    <row r="476" spans="1:3">
      <c r="A476" s="1">
        <v>496</v>
      </c>
      <c r="B476" s="13">
        <v>129780.58522602916</v>
      </c>
      <c r="C476" s="13"/>
    </row>
    <row r="477" spans="1:3">
      <c r="A477" s="1">
        <v>236</v>
      </c>
      <c r="B477" s="13">
        <v>131005.00554685667</v>
      </c>
      <c r="C477" s="13"/>
    </row>
    <row r="478" spans="1:3">
      <c r="A478" s="1">
        <v>305</v>
      </c>
      <c r="B478" s="13">
        <v>131968.05083459429</v>
      </c>
      <c r="C478" s="13"/>
    </row>
    <row r="479" spans="1:3">
      <c r="A479" s="1">
        <v>326</v>
      </c>
      <c r="B479" s="13">
        <v>138656.04476265796</v>
      </c>
      <c r="C479" s="13"/>
    </row>
    <row r="480" spans="1:3">
      <c r="A480" s="1">
        <v>252</v>
      </c>
      <c r="B480" s="13">
        <v>144041.72982201353</v>
      </c>
      <c r="C480" s="13"/>
    </row>
    <row r="481" spans="1:3">
      <c r="A481" s="1">
        <v>346</v>
      </c>
      <c r="B481" s="13">
        <v>145475.21045654267</v>
      </c>
      <c r="C481" s="13"/>
    </row>
    <row r="482" spans="1:3">
      <c r="A482" s="1">
        <v>405</v>
      </c>
      <c r="B482" s="13">
        <v>146293.42979794182</v>
      </c>
      <c r="C482" s="13"/>
    </row>
    <row r="483" spans="1:3">
      <c r="A483" s="1">
        <v>258</v>
      </c>
      <c r="B483" s="13">
        <v>149550.17411298491</v>
      </c>
      <c r="C483" s="13"/>
    </row>
    <row r="484" spans="1:3">
      <c r="A484" s="1">
        <v>493</v>
      </c>
      <c r="B484" s="13">
        <v>155022.47434568778</v>
      </c>
      <c r="C484" s="13"/>
    </row>
    <row r="485" spans="1:3">
      <c r="A485" s="1">
        <v>344</v>
      </c>
      <c r="B485" s="13">
        <v>155540.47619443387</v>
      </c>
      <c r="C485" s="13"/>
    </row>
    <row r="486" spans="1:3">
      <c r="A486" s="1">
        <v>147</v>
      </c>
      <c r="B486" s="13">
        <v>162940.83828421123</v>
      </c>
      <c r="C486" s="13"/>
    </row>
    <row r="487" spans="1:3">
      <c r="A487" s="1">
        <v>372</v>
      </c>
      <c r="B487" s="13">
        <v>165044.1354054641</v>
      </c>
      <c r="C487" s="13"/>
    </row>
    <row r="488" spans="1:3">
      <c r="A488" s="1">
        <v>309</v>
      </c>
      <c r="B488" s="13">
        <v>167151.59190420434</v>
      </c>
      <c r="C488" s="13"/>
    </row>
    <row r="489" spans="1:3">
      <c r="A489" s="1">
        <v>463</v>
      </c>
      <c r="B489" s="13">
        <v>167882.36592260934</v>
      </c>
      <c r="C489" s="13"/>
    </row>
    <row r="490" spans="1:3">
      <c r="A490" s="1">
        <v>361</v>
      </c>
      <c r="B490" s="13">
        <v>179873.23824558407</v>
      </c>
      <c r="C490" s="13"/>
    </row>
    <row r="491" spans="1:3">
      <c r="A491" s="1">
        <v>384</v>
      </c>
      <c r="B491" s="13">
        <v>180235.79095732048</v>
      </c>
      <c r="C491" s="13"/>
    </row>
    <row r="492" spans="1:3">
      <c r="A492" s="1">
        <v>353</v>
      </c>
      <c r="B492" s="13">
        <v>185882.64424074255</v>
      </c>
      <c r="C492" s="13"/>
    </row>
    <row r="493" spans="1:3">
      <c r="A493" s="1">
        <v>467</v>
      </c>
      <c r="B493" s="13">
        <v>188986.47754204646</v>
      </c>
      <c r="C493" s="13"/>
    </row>
    <row r="494" spans="1:3">
      <c r="A494" s="1">
        <v>455</v>
      </c>
      <c r="B494" s="13">
        <v>205510.35918357782</v>
      </c>
      <c r="C494" s="13"/>
    </row>
    <row r="495" spans="1:3">
      <c r="A495" s="1">
        <v>263</v>
      </c>
      <c r="B495" s="13">
        <v>214909.41751988232</v>
      </c>
      <c r="C495" s="13"/>
    </row>
    <row r="496" spans="1:3">
      <c r="A496" s="1">
        <v>395</v>
      </c>
      <c r="B496" s="13">
        <v>224514.62801053561</v>
      </c>
      <c r="C496" s="13"/>
    </row>
    <row r="497" spans="1:3">
      <c r="A497" s="1">
        <v>489</v>
      </c>
      <c r="B497" s="22">
        <v>284924.69158141688</v>
      </c>
      <c r="C497" s="13"/>
    </row>
    <row r="498" spans="1:3">
      <c r="A498" s="1">
        <v>341</v>
      </c>
      <c r="B498" s="13">
        <v>307930.11510921083</v>
      </c>
      <c r="C498" s="13"/>
    </row>
    <row r="499" spans="1:3">
      <c r="A499" s="1">
        <v>377</v>
      </c>
      <c r="B499" s="13">
        <v>316489.33902174421</v>
      </c>
      <c r="C499" s="22"/>
    </row>
    <row r="500" spans="1:3">
      <c r="A500" s="1">
        <v>379</v>
      </c>
      <c r="B500" s="13">
        <v>333021.84034411795</v>
      </c>
      <c r="C500" s="13"/>
    </row>
    <row r="501" spans="1:3">
      <c r="A501" s="1">
        <v>497</v>
      </c>
      <c r="B501" s="13">
        <v>555795.41141424701</v>
      </c>
      <c r="C501" s="13"/>
    </row>
    <row r="502" spans="1:3">
      <c r="C502" s="13"/>
    </row>
    <row r="503" spans="1:3">
      <c r="B503" s="17">
        <f>AVERAGE(B2:B501)</f>
        <v>-870.09613562398033</v>
      </c>
      <c r="C503" s="13"/>
    </row>
    <row r="504" spans="1:3">
      <c r="B504">
        <f>STDEV(B2:B501)</f>
        <v>93698.408069657089</v>
      </c>
    </row>
    <row r="505" spans="1:3">
      <c r="B505">
        <f>NORMINV(0.99,B503,B504)</f>
        <v>217104.99627823394</v>
      </c>
    </row>
    <row r="506" spans="1:3">
      <c r="B506">
        <f>NORMDIST(B505, B503,B504,FALSE)</f>
        <v>2.844460514595338E-7</v>
      </c>
      <c r="C506"/>
    </row>
    <row r="507" spans="1:3">
      <c r="B507">
        <f>(1/B506)*SQRT(0.01*0.99/500)</f>
        <v>15643.455303475812</v>
      </c>
      <c r="C507"/>
    </row>
    <row r="508" spans="1:3">
      <c r="B508">
        <f>KURT(B2:B501)</f>
        <v>4.2197047528558187</v>
      </c>
      <c r="C508"/>
    </row>
    <row r="509" spans="1:3">
      <c r="B509"/>
      <c r="C509"/>
    </row>
    <row r="510" spans="1:3">
      <c r="B510"/>
      <c r="C510"/>
    </row>
    <row r="511" spans="1:3">
      <c r="C511"/>
    </row>
    <row r="512" spans="1:3">
      <c r="C512"/>
    </row>
  </sheetData>
  <sortState xmlns:xlrd2="http://schemas.microsoft.com/office/spreadsheetml/2017/richdata2" ref="B2:B504">
    <sortCondition ref="B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3BF7-0193-44D6-8722-A67730A69A57}">
  <dimension ref="A1:AB504"/>
  <sheetViews>
    <sheetView showGridLines="0" topLeftCell="D1" zoomScale="120" zoomScaleNormal="120" workbookViewId="0">
      <selection activeCell="T7" sqref="T7"/>
    </sheetView>
  </sheetViews>
  <sheetFormatPr defaultColWidth="9.08984375" defaultRowHeight="14.5"/>
  <cols>
    <col min="1" max="1" width="11.90625" bestFit="1" customWidth="1"/>
    <col min="2" max="2" width="13.54296875" customWidth="1"/>
    <col min="3" max="4" width="10.54296875" bestFit="1" customWidth="1"/>
    <col min="5" max="5" width="9.54296875" bestFit="1" customWidth="1"/>
    <col min="14" max="14" width="11.08984375" bestFit="1" customWidth="1"/>
    <col min="15" max="16" width="10.08984375" bestFit="1" customWidth="1"/>
    <col min="20" max="20" width="14" bestFit="1" customWidth="1"/>
    <col min="21" max="23" width="11.08984375" bestFit="1" customWidth="1"/>
    <col min="24" max="24" width="16.6328125" bestFit="1" customWidth="1"/>
    <col min="27" max="27" width="14" bestFit="1" customWidth="1"/>
  </cols>
  <sheetData>
    <row r="1" spans="1:28">
      <c r="C1" s="4"/>
      <c r="D1" s="35" t="s">
        <v>1</v>
      </c>
      <c r="E1" s="35" t="s">
        <v>1</v>
      </c>
      <c r="F1" s="35" t="s">
        <v>1</v>
      </c>
      <c r="G1" s="1"/>
      <c r="H1" s="47" t="s">
        <v>47</v>
      </c>
      <c r="I1" s="48">
        <f>AVERAGE(I5:I504)</f>
        <v>-3.5487841992715053E-5</v>
      </c>
      <c r="J1" s="48">
        <f t="shared" ref="J1:L1" si="0">AVERAGE(J5:J504)</f>
        <v>-2.9611431344334527E-4</v>
      </c>
      <c r="K1" s="48">
        <f t="shared" si="0"/>
        <v>-5.5194837822090128E-5</v>
      </c>
      <c r="L1" s="49">
        <f t="shared" si="0"/>
        <v>-3.1055843041460966E-4</v>
      </c>
      <c r="N1" s="107" t="s">
        <v>48</v>
      </c>
      <c r="O1" s="107"/>
      <c r="P1" s="107"/>
      <c r="Q1" s="107"/>
      <c r="S1" t="s">
        <v>49</v>
      </c>
      <c r="T1" t="s">
        <v>4</v>
      </c>
      <c r="U1" t="s">
        <v>13</v>
      </c>
      <c r="V1" t="s">
        <v>20</v>
      </c>
      <c r="W1" t="s">
        <v>15</v>
      </c>
    </row>
    <row r="2" spans="1:28" ht="16.5">
      <c r="A2" s="26" t="s">
        <v>2</v>
      </c>
      <c r="B2" s="4" t="s">
        <v>3</v>
      </c>
      <c r="C2" s="4" t="s">
        <v>4</v>
      </c>
      <c r="D2" s="35" t="s">
        <v>7</v>
      </c>
      <c r="E2" s="35" t="s">
        <v>8</v>
      </c>
      <c r="F2" s="35" t="s">
        <v>10</v>
      </c>
      <c r="H2" s="50" t="s">
        <v>50</v>
      </c>
      <c r="I2">
        <f>_xlfn.VAR.P(I5:I504)</f>
        <v>1.2310020944073847E-4</v>
      </c>
      <c r="J2">
        <f t="shared" ref="J2:L2" si="1">_xlfn.VAR.P(J5:J504)</f>
        <v>2.0062421609420627E-4</v>
      </c>
      <c r="K2">
        <f t="shared" si="1"/>
        <v>1.9406749939357394E-4</v>
      </c>
      <c r="L2" s="51">
        <f t="shared" si="1"/>
        <v>1.9284343552082339E-4</v>
      </c>
      <c r="N2" s="4" t="s">
        <v>4</v>
      </c>
      <c r="O2" s="35" t="s">
        <v>7</v>
      </c>
      <c r="P2" s="35" t="s">
        <v>8</v>
      </c>
      <c r="Q2" s="35" t="s">
        <v>10</v>
      </c>
      <c r="S2" t="s">
        <v>21</v>
      </c>
      <c r="T2" s="14">
        <v>4000000</v>
      </c>
      <c r="U2" s="14">
        <v>3000000</v>
      </c>
      <c r="V2" s="14">
        <v>1000000</v>
      </c>
      <c r="W2" s="14">
        <v>2000000</v>
      </c>
      <c r="X2" s="25">
        <f>SUM(T2:W2)</f>
        <v>10000000</v>
      </c>
    </row>
    <row r="3" spans="1:28" ht="15" thickBot="1">
      <c r="D3" s="36"/>
      <c r="E3" s="36"/>
      <c r="F3" s="36"/>
      <c r="H3" s="52" t="s">
        <v>51</v>
      </c>
      <c r="I3" s="23">
        <f>_xlfn.STDEV.P(I5:I504)</f>
        <v>1.1095053377101819E-2</v>
      </c>
      <c r="J3" s="23">
        <f t="shared" ref="J3:L3" si="2">_xlfn.STDEV.P(J5:J504)</f>
        <v>1.4164187802136989E-2</v>
      </c>
      <c r="K3" s="23">
        <f t="shared" si="2"/>
        <v>1.393081115346748E-2</v>
      </c>
      <c r="L3" s="53">
        <f t="shared" si="2"/>
        <v>1.3886807967305639E-2</v>
      </c>
    </row>
    <row r="4" spans="1:28" ht="16.5">
      <c r="A4" s="1">
        <v>0</v>
      </c>
      <c r="B4" s="9">
        <v>38936</v>
      </c>
      <c r="C4" s="37">
        <v>11219.38</v>
      </c>
      <c r="D4" s="38">
        <v>11131.84224</v>
      </c>
      <c r="E4" s="38">
        <v>6373.8940329218112</v>
      </c>
      <c r="F4" s="38">
        <v>131.77443478260869</v>
      </c>
      <c r="T4" s="44" t="s">
        <v>52</v>
      </c>
      <c r="V4" s="44" t="s">
        <v>53</v>
      </c>
      <c r="X4" s="44" t="s">
        <v>54</v>
      </c>
    </row>
    <row r="5" spans="1:28">
      <c r="A5" s="1">
        <v>1</v>
      </c>
      <c r="B5" s="9">
        <v>38937</v>
      </c>
      <c r="C5" s="37">
        <v>11173.59</v>
      </c>
      <c r="D5" s="38">
        <v>11096.28032</v>
      </c>
      <c r="E5" s="38">
        <v>6378.1615098215425</v>
      </c>
      <c r="F5" s="38">
        <v>134.38182134167536</v>
      </c>
      <c r="I5" s="28">
        <f>LN(C5/C4)</f>
        <v>-4.0896820584048459E-3</v>
      </c>
      <c r="J5" s="28">
        <f t="shared" ref="J5:L5" si="3">LN(D5/D4)</f>
        <v>-3.1997259548103944E-3</v>
      </c>
      <c r="K5" s="28">
        <f t="shared" si="3"/>
        <v>6.6930026217858153E-4</v>
      </c>
      <c r="L5" s="28">
        <f t="shared" si="3"/>
        <v>1.9593527595541754E-2</v>
      </c>
      <c r="N5" s="27">
        <f ca="1">C$504*EXP((I$1-I$2/2)*(1)+I$3*_xlfn.NORM.S.INV(RAND())*SQRT(1))</f>
        <v>10978.766466229406</v>
      </c>
      <c r="O5" s="27">
        <f t="shared" ref="O5:Q5" ca="1" si="4">D$504*EXP((J$1-J$2/2)*(1)+J$3*_xlfn.NORM.S.INV(RAND())*SQRT(1))</f>
        <v>9671.9498097999876</v>
      </c>
      <c r="P5" s="27">
        <f t="shared" ca="1" si="4"/>
        <v>6209.8590214565756</v>
      </c>
      <c r="Q5" s="27">
        <f t="shared" ca="1" si="4"/>
        <v>110.51279208388719</v>
      </c>
      <c r="T5" s="25">
        <f ca="1">N5/C$504*T$2+O5/D$504*U$2+P5/E$504*V$2+Q5/F$504*W$2</f>
        <v>9967393.3938581795</v>
      </c>
      <c r="V5" s="25">
        <f ca="1">T5-X$2</f>
        <v>-32606.60614182055</v>
      </c>
      <c r="X5" s="14">
        <v>-230377.81316219456</v>
      </c>
      <c r="Z5" s="33" t="s">
        <v>34</v>
      </c>
      <c r="AA5" s="28">
        <v>0.99</v>
      </c>
    </row>
    <row r="6" spans="1:28">
      <c r="A6" s="1">
        <v>2</v>
      </c>
      <c r="B6" s="9">
        <v>38938</v>
      </c>
      <c r="C6" s="37">
        <v>11076.18</v>
      </c>
      <c r="D6" s="38">
        <v>11185.3503</v>
      </c>
      <c r="E6" s="38">
        <v>6474.040195825818</v>
      </c>
      <c r="F6" s="38">
        <v>135.94330120691151</v>
      </c>
      <c r="I6" s="28">
        <f t="shared" ref="I6:I69" si="5">LN(C6/C5)</f>
        <v>-8.7561015113736557E-3</v>
      </c>
      <c r="J6" s="28">
        <f t="shared" ref="J6:J69" si="6">LN(D6/D5)</f>
        <v>7.9949673307973725E-3</v>
      </c>
      <c r="K6" s="28">
        <f t="shared" ref="K6:K69" si="7">LN(E6/E5)</f>
        <v>1.4920473068687701E-2</v>
      </c>
      <c r="L6" s="28">
        <f t="shared" ref="L6:L69" si="8">LN(F6/F5)</f>
        <v>1.15527348510856E-2</v>
      </c>
      <c r="N6" s="27">
        <f t="shared" ref="N6:N69" ca="1" si="9">C$504*EXP((I$1-I$2/2)*(1)+I$3*_xlfn.NORM.S.INV(RAND())*SQRT(1))</f>
        <v>11099.257434001069</v>
      </c>
      <c r="O6" s="27">
        <f t="shared" ref="O6:O69" ca="1" si="10">D$504*EXP((J$1-J$2/2)*(1)+J$3*_xlfn.NORM.S.INV(RAND())*SQRT(1))</f>
        <v>9733.5035270529806</v>
      </c>
      <c r="P6" s="27">
        <f t="shared" ref="P6:P69" ca="1" si="11">E$504*EXP((K$1-K$2/2)*(1)+K$3*_xlfn.NORM.S.INV(RAND())*SQRT(1))</f>
        <v>6074.7432081132583</v>
      </c>
      <c r="Q6" s="27">
        <f t="shared" ref="Q6:Q69" ca="1" si="12">F$504*EXP((L$1-L$2/2)*(1)+L$3*_xlfn.NORM.S.INV(RAND())*SQRT(1))</f>
        <v>109.65596107184174</v>
      </c>
      <c r="T6" s="25">
        <f t="shared" ref="T6:T69" ca="1" si="13">N6/C$504*T$2+O6/D$504*U$2+P6/E$504*V$2+Q6/F$504*W$2</f>
        <v>9993375.7968231682</v>
      </c>
      <c r="V6" s="25">
        <f t="shared" ref="V6:V69" ca="1" si="14">T6-X$2</f>
        <v>-6624.2031768318266</v>
      </c>
      <c r="X6" s="14">
        <v>-216588.1529634241</v>
      </c>
      <c r="Z6" s="33" t="s">
        <v>35</v>
      </c>
      <c r="AA6" s="27">
        <f>COUNT(X5:X504)*(1-AA5)</f>
        <v>5.0000000000000044</v>
      </c>
    </row>
    <row r="7" spans="1:28" ht="16.5">
      <c r="A7" s="1">
        <v>3</v>
      </c>
      <c r="B7" s="9">
        <v>38939</v>
      </c>
      <c r="C7" s="37">
        <v>11124.37</v>
      </c>
      <c r="D7" s="38">
        <v>11016.708119999999</v>
      </c>
      <c r="E7" s="38">
        <v>6357.4859478794069</v>
      </c>
      <c r="F7" s="38">
        <v>135.43809028680357</v>
      </c>
      <c r="I7" s="28">
        <f t="shared" si="5"/>
        <v>4.3413407043831863E-3</v>
      </c>
      <c r="J7" s="28">
        <f t="shared" si="6"/>
        <v>-1.5191872775946875E-2</v>
      </c>
      <c r="K7" s="28">
        <f t="shared" si="7"/>
        <v>-1.8167356303280317E-2</v>
      </c>
      <c r="L7" s="28">
        <f t="shared" si="8"/>
        <v>-3.7232582599516393E-3</v>
      </c>
      <c r="N7" s="27">
        <f t="shared" ca="1" si="9"/>
        <v>10993.571517950075</v>
      </c>
      <c r="O7" s="27">
        <f t="shared" ca="1" si="10"/>
        <v>9558.8105993882782</v>
      </c>
      <c r="P7" s="27">
        <f t="shared" ca="1" si="11"/>
        <v>6249.7310186541927</v>
      </c>
      <c r="Q7" s="27">
        <f t="shared" ca="1" si="12"/>
        <v>111.95037662400244</v>
      </c>
      <c r="T7" s="25">
        <f t="shared" ca="1" si="13"/>
        <v>9969324.5432141423</v>
      </c>
      <c r="V7" s="25">
        <f t="shared" ca="1" si="14"/>
        <v>-30675.456785857677</v>
      </c>
      <c r="X7" s="14">
        <v>-186521.98606825434</v>
      </c>
      <c r="Z7" s="33" t="s">
        <v>55</v>
      </c>
      <c r="AA7" s="14">
        <f>ABS(X9)</f>
        <v>183105.04641935229</v>
      </c>
      <c r="AB7" s="28">
        <f>AA7/X$2</f>
        <v>1.8310504641935229E-2</v>
      </c>
    </row>
    <row r="8" spans="1:28" ht="16.5">
      <c r="A8" s="1">
        <v>4</v>
      </c>
      <c r="B8" s="9">
        <v>38940</v>
      </c>
      <c r="C8" s="37">
        <v>11088.02</v>
      </c>
      <c r="D8" s="38">
        <v>11040.729700000002</v>
      </c>
      <c r="E8" s="38">
        <v>6364.7644580620454</v>
      </c>
      <c r="F8" s="38">
        <v>134.10028431119153</v>
      </c>
      <c r="I8" s="28">
        <f t="shared" si="5"/>
        <v>-3.2729510376019681E-3</v>
      </c>
      <c r="J8" s="28">
        <f t="shared" si="6"/>
        <v>2.1780942730294187E-3</v>
      </c>
      <c r="K8" s="28">
        <f t="shared" si="7"/>
        <v>1.1442175314116648E-3</v>
      </c>
      <c r="L8" s="28">
        <f t="shared" si="8"/>
        <v>-9.9267272290736921E-3</v>
      </c>
      <c r="N8" s="27">
        <f t="shared" ca="1" si="9"/>
        <v>11082.27161547982</v>
      </c>
      <c r="O8" s="27">
        <f t="shared" ca="1" si="10"/>
        <v>9463.7894780712686</v>
      </c>
      <c r="P8" s="27">
        <f t="shared" ca="1" si="11"/>
        <v>6127.015289465995</v>
      </c>
      <c r="Q8" s="27">
        <f t="shared" ca="1" si="12"/>
        <v>111.75952561139795</v>
      </c>
      <c r="T8" s="25">
        <f t="shared" ca="1" si="13"/>
        <v>9948645.3388469294</v>
      </c>
      <c r="V8" s="25">
        <f t="shared" ca="1" si="14"/>
        <v>-51354.661153070629</v>
      </c>
      <c r="X8" s="14">
        <v>-183553.83864681423</v>
      </c>
      <c r="Z8" s="33" t="s">
        <v>56</v>
      </c>
      <c r="AA8" s="25">
        <f>ABS(AVERAGE(X5:X8))</f>
        <v>204260.44771017181</v>
      </c>
      <c r="AB8" s="28">
        <f>AA8/X$2</f>
        <v>2.0426044771017181E-2</v>
      </c>
    </row>
    <row r="9" spans="1:28">
      <c r="A9" s="1">
        <v>5</v>
      </c>
      <c r="B9" s="9">
        <v>38943</v>
      </c>
      <c r="C9" s="37">
        <v>11097.87</v>
      </c>
      <c r="D9" s="38">
        <v>11109.504069999999</v>
      </c>
      <c r="E9" s="38">
        <v>6431.6681534344343</v>
      </c>
      <c r="F9" s="38">
        <v>136.17097466723916</v>
      </c>
      <c r="I9" s="28">
        <f t="shared" si="5"/>
        <v>8.8795181506750752E-4</v>
      </c>
      <c r="J9" s="28">
        <f t="shared" si="6"/>
        <v>6.2098298122128881E-3</v>
      </c>
      <c r="K9" s="28">
        <f t="shared" si="7"/>
        <v>1.0456711963784686E-2</v>
      </c>
      <c r="L9" s="28">
        <f t="shared" si="8"/>
        <v>1.532335240609016E-2</v>
      </c>
      <c r="N9" s="27">
        <f t="shared" ca="1" si="9"/>
        <v>11107.129841103384</v>
      </c>
      <c r="O9" s="27">
        <f t="shared" ca="1" si="10"/>
        <v>9532.9762209805431</v>
      </c>
      <c r="P9" s="27">
        <f t="shared" ca="1" si="11"/>
        <v>6152.47721178348</v>
      </c>
      <c r="Q9" s="27">
        <f t="shared" ca="1" si="12"/>
        <v>113.73718269321223</v>
      </c>
      <c r="T9" s="25">
        <f t="shared" ca="1" si="13"/>
        <v>10018452.154265063</v>
      </c>
      <c r="V9" s="25">
        <f t="shared" ca="1" si="14"/>
        <v>18452.154265062883</v>
      </c>
      <c r="W9" s="7"/>
      <c r="X9" s="32">
        <v>-183105.04641935229</v>
      </c>
      <c r="Z9" s="33"/>
    </row>
    <row r="10" spans="1:28" ht="16.5">
      <c r="A10" s="1">
        <v>6</v>
      </c>
      <c r="B10" s="9">
        <v>38944</v>
      </c>
      <c r="C10" s="37">
        <v>11230.26</v>
      </c>
      <c r="D10" s="38">
        <v>11179.469449999999</v>
      </c>
      <c r="E10" s="38">
        <v>6540.9462915601025</v>
      </c>
      <c r="F10" s="38">
        <v>136.32296155835201</v>
      </c>
      <c r="I10" s="28">
        <f t="shared" si="5"/>
        <v>1.1858722740253626E-2</v>
      </c>
      <c r="J10" s="28">
        <f t="shared" si="6"/>
        <v>6.2780468322252113E-3</v>
      </c>
      <c r="K10" s="28">
        <f t="shared" si="7"/>
        <v>1.684791041606689E-2</v>
      </c>
      <c r="L10" s="28">
        <f t="shared" si="8"/>
        <v>1.1155250570274065E-3</v>
      </c>
      <c r="N10" s="27">
        <f t="shared" ca="1" si="9"/>
        <v>11040.36077857308</v>
      </c>
      <c r="O10" s="27">
        <f t="shared" ca="1" si="10"/>
        <v>9554.4555671140442</v>
      </c>
      <c r="P10" s="27">
        <f t="shared" ca="1" si="11"/>
        <v>6170.1629426010941</v>
      </c>
      <c r="Q10" s="27">
        <f t="shared" ca="1" si="12"/>
        <v>113.86803774793144</v>
      </c>
      <c r="T10" s="25">
        <f t="shared" ca="1" si="13"/>
        <v>10006105.48138251</v>
      </c>
      <c r="V10" s="25">
        <f t="shared" ca="1" si="14"/>
        <v>6105.4813825096935</v>
      </c>
      <c r="X10" s="14">
        <v>-174428.87897223234</v>
      </c>
      <c r="Z10" s="33" t="s">
        <v>41</v>
      </c>
      <c r="AA10" s="25">
        <f>AA7*SQRT(10)</f>
        <v>579028.9977560119</v>
      </c>
      <c r="AB10" s="28">
        <f>AA10/X$2</f>
        <v>5.7902899775601188E-2</v>
      </c>
    </row>
    <row r="11" spans="1:28" ht="16.5">
      <c r="A11" s="1">
        <v>7</v>
      </c>
      <c r="B11" s="9">
        <v>38945</v>
      </c>
      <c r="C11" s="37">
        <v>11327.12</v>
      </c>
      <c r="D11" s="38">
        <v>11203.54</v>
      </c>
      <c r="E11" s="38">
        <v>6603.2262210796916</v>
      </c>
      <c r="F11" s="38">
        <v>138.80946622905512</v>
      </c>
      <c r="I11" s="28">
        <f t="shared" si="5"/>
        <v>8.5879295649707588E-3</v>
      </c>
      <c r="J11" s="28">
        <f t="shared" si="6"/>
        <v>2.150788465934271E-3</v>
      </c>
      <c r="K11" s="28">
        <f t="shared" si="7"/>
        <v>9.4765030726440928E-3</v>
      </c>
      <c r="L11" s="28">
        <f t="shared" si="8"/>
        <v>1.8075458353054765E-2</v>
      </c>
      <c r="N11" s="27">
        <f t="shared" ca="1" si="9"/>
        <v>11277.232538529424</v>
      </c>
      <c r="O11" s="27">
        <f t="shared" ca="1" si="10"/>
        <v>9540.9110930700754</v>
      </c>
      <c r="P11" s="27">
        <f t="shared" ca="1" si="11"/>
        <v>6184.9448706007042</v>
      </c>
      <c r="Q11" s="27">
        <f t="shared" ca="1" si="12"/>
        <v>112.77743975294142</v>
      </c>
      <c r="T11" s="25">
        <f t="shared" ca="1" si="13"/>
        <v>10070886.556353666</v>
      </c>
      <c r="V11" s="25">
        <f t="shared" ca="1" si="14"/>
        <v>70886.556353665888</v>
      </c>
      <c r="X11" s="14">
        <v>-169004.57779856957</v>
      </c>
      <c r="Z11" s="33" t="s">
        <v>57</v>
      </c>
      <c r="AA11" s="25">
        <f>3*AA10</f>
        <v>1737086.9932680358</v>
      </c>
      <c r="AB11" s="28">
        <f>AA11/X$2</f>
        <v>0.17370869932680358</v>
      </c>
    </row>
    <row r="12" spans="1:28">
      <c r="A12" s="1">
        <v>8</v>
      </c>
      <c r="B12" s="9">
        <v>38946</v>
      </c>
      <c r="C12" s="37">
        <v>11334.96</v>
      </c>
      <c r="D12" s="38">
        <v>11170.04724</v>
      </c>
      <c r="E12" s="38">
        <v>6617.1575562700973</v>
      </c>
      <c r="F12" s="38">
        <v>138.67255258374448</v>
      </c>
      <c r="I12" s="28">
        <f t="shared" si="5"/>
        <v>6.9190474243927154E-4</v>
      </c>
      <c r="J12" s="28">
        <f t="shared" si="6"/>
        <v>-2.9939575320850685E-3</v>
      </c>
      <c r="K12" s="28">
        <f t="shared" si="7"/>
        <v>2.1075546038143676E-3</v>
      </c>
      <c r="L12" s="28">
        <f t="shared" si="8"/>
        <v>-9.8682903495746297E-4</v>
      </c>
      <c r="N12" s="27">
        <f t="shared" ca="1" si="9"/>
        <v>11100.801992631064</v>
      </c>
      <c r="O12" s="27">
        <f t="shared" ca="1" si="10"/>
        <v>9698.9949549594912</v>
      </c>
      <c r="P12" s="27">
        <f t="shared" ca="1" si="11"/>
        <v>6220.6779603308369</v>
      </c>
      <c r="Q12" s="27">
        <f t="shared" ca="1" si="12"/>
        <v>113.64475810168636</v>
      </c>
      <c r="T12" s="25">
        <f t="shared" ca="1" si="13"/>
        <v>10077398.132756382</v>
      </c>
      <c r="V12" s="25">
        <f t="shared" ca="1" si="14"/>
        <v>77398.132756382227</v>
      </c>
      <c r="X12" s="14">
        <v>-164060.8297770787</v>
      </c>
      <c r="Z12" s="34" t="s">
        <v>46</v>
      </c>
    </row>
    <row r="13" spans="1:28">
      <c r="A13" s="1">
        <v>9</v>
      </c>
      <c r="B13" s="9">
        <v>38947</v>
      </c>
      <c r="C13" s="37">
        <v>11381.47</v>
      </c>
      <c r="D13" s="38">
        <v>11096.030639999999</v>
      </c>
      <c r="E13" s="38">
        <v>6584.2179487179483</v>
      </c>
      <c r="F13" s="38">
        <v>139.15655780196994</v>
      </c>
      <c r="I13" s="28">
        <f t="shared" si="5"/>
        <v>4.0948392849428968E-3</v>
      </c>
      <c r="J13" s="28">
        <f t="shared" si="6"/>
        <v>-6.6483978933229524E-3</v>
      </c>
      <c r="K13" s="28">
        <f t="shared" si="7"/>
        <v>-4.9903399685810538E-3</v>
      </c>
      <c r="L13" s="28">
        <f t="shared" si="8"/>
        <v>3.4841972260606317E-3</v>
      </c>
      <c r="N13" s="27">
        <f t="shared" ca="1" si="9"/>
        <v>10938.395013782814</v>
      </c>
      <c r="O13" s="27">
        <f t="shared" ca="1" si="10"/>
        <v>9682.2460503491693</v>
      </c>
      <c r="P13" s="27">
        <f t="shared" ca="1" si="11"/>
        <v>6170.196399596598</v>
      </c>
      <c r="Q13" s="27">
        <f t="shared" ca="1" si="12"/>
        <v>110.47476157916239</v>
      </c>
      <c r="T13" s="25">
        <f t="shared" ca="1" si="13"/>
        <v>9948888.9011674188</v>
      </c>
      <c r="V13" s="25">
        <f t="shared" ca="1" si="14"/>
        <v>-51111.098832581192</v>
      </c>
      <c r="X13" s="14">
        <v>-148452.98775040358</v>
      </c>
    </row>
    <row r="14" spans="1:28">
      <c r="A14" s="1">
        <v>10</v>
      </c>
      <c r="B14" s="9">
        <v>38950</v>
      </c>
      <c r="C14" s="37">
        <v>11345.04</v>
      </c>
      <c r="D14" s="38">
        <v>11221.134399999999</v>
      </c>
      <c r="E14" s="38">
        <v>6594.3030616199449</v>
      </c>
      <c r="F14" s="38">
        <v>137.83048506818574</v>
      </c>
      <c r="I14" s="28">
        <f t="shared" si="5"/>
        <v>-3.2059503375260825E-3</v>
      </c>
      <c r="J14" s="28">
        <f t="shared" si="6"/>
        <v>1.1211555788946188E-2</v>
      </c>
      <c r="K14" s="28">
        <f t="shared" si="7"/>
        <v>1.5305381935989282E-3</v>
      </c>
      <c r="L14" s="28">
        <f t="shared" si="8"/>
        <v>-9.5750534133694637E-3</v>
      </c>
      <c r="N14" s="27">
        <f t="shared" ca="1" si="9"/>
        <v>10909.210778755281</v>
      </c>
      <c r="O14" s="27">
        <f t="shared" ca="1" si="10"/>
        <v>9857.1744022198545</v>
      </c>
      <c r="P14" s="27">
        <f t="shared" ca="1" si="11"/>
        <v>6257.0910214679825</v>
      </c>
      <c r="Q14" s="27">
        <f t="shared" ca="1" si="12"/>
        <v>114.37291385249672</v>
      </c>
      <c r="T14" s="25">
        <f t="shared" ca="1" si="13"/>
        <v>10076080.371228589</v>
      </c>
      <c r="V14" s="25">
        <f t="shared" ca="1" si="14"/>
        <v>76080.371228588745</v>
      </c>
      <c r="X14" s="14">
        <v>-142581.74448922649</v>
      </c>
      <c r="Z14" s="33" t="s">
        <v>58</v>
      </c>
      <c r="AA14" s="46">
        <f>AB7</f>
        <v>1.8310504641935229E-2</v>
      </c>
    </row>
    <row r="15" spans="1:28">
      <c r="A15" s="1">
        <v>11</v>
      </c>
      <c r="B15" s="9">
        <v>38951</v>
      </c>
      <c r="C15" s="37">
        <v>11339.84</v>
      </c>
      <c r="D15" s="38">
        <v>11147.060100000001</v>
      </c>
      <c r="E15" s="38">
        <v>6571.4120963608402</v>
      </c>
      <c r="F15" s="38">
        <v>138.94186845268763</v>
      </c>
      <c r="I15" s="28">
        <f t="shared" si="5"/>
        <v>-4.5845515524700045E-4</v>
      </c>
      <c r="J15" s="28">
        <f t="shared" si="6"/>
        <v>-6.6232051749757154E-3</v>
      </c>
      <c r="K15" s="28">
        <f t="shared" si="7"/>
        <v>-3.4773634475594346E-3</v>
      </c>
      <c r="L15" s="28">
        <f t="shared" si="8"/>
        <v>8.0310720624274419E-3</v>
      </c>
      <c r="N15" s="27">
        <f t="shared" ca="1" si="9"/>
        <v>10726.005943969294</v>
      </c>
      <c r="O15" s="27">
        <f t="shared" ca="1" si="10"/>
        <v>9529.9173861206637</v>
      </c>
      <c r="P15" s="27">
        <f t="shared" ca="1" si="11"/>
        <v>6305.2567622058477</v>
      </c>
      <c r="Q15" s="27">
        <f t="shared" ca="1" si="12"/>
        <v>109.67741920519856</v>
      </c>
      <c r="T15" s="25">
        <f t="shared" ca="1" si="13"/>
        <v>9831855.9103826992</v>
      </c>
      <c r="V15" s="25">
        <f t="shared" ca="1" si="14"/>
        <v>-168144.08961730078</v>
      </c>
      <c r="X15" s="14">
        <v>-142087.72924538329</v>
      </c>
      <c r="Z15" t="s">
        <v>94</v>
      </c>
      <c r="AA15" s="46">
        <v>1.7399999999999999E-2</v>
      </c>
    </row>
    <row r="16" spans="1:28">
      <c r="A16" s="1">
        <v>12</v>
      </c>
      <c r="B16" s="9">
        <v>38952</v>
      </c>
      <c r="C16" s="37">
        <v>11297.9</v>
      </c>
      <c r="D16" s="38">
        <v>11097.082</v>
      </c>
      <c r="E16" s="38">
        <v>6502.9810644831114</v>
      </c>
      <c r="F16" s="38">
        <v>138.7027374924912</v>
      </c>
      <c r="I16" s="28">
        <f t="shared" si="5"/>
        <v>-3.705321112819405E-3</v>
      </c>
      <c r="J16" s="28">
        <f t="shared" si="6"/>
        <v>-4.4936041024881586E-3</v>
      </c>
      <c r="K16" s="28">
        <f t="shared" si="7"/>
        <v>-1.0468043284870188E-2</v>
      </c>
      <c r="L16" s="28">
        <f t="shared" si="8"/>
        <v>-1.7225691708460768E-3</v>
      </c>
      <c r="N16" s="27">
        <f t="shared" ca="1" si="9"/>
        <v>11202.034135627808</v>
      </c>
      <c r="O16" s="27">
        <f t="shared" ca="1" si="10"/>
        <v>9531.3198279736935</v>
      </c>
      <c r="P16" s="27">
        <f t="shared" ca="1" si="11"/>
        <v>6302.0550356911963</v>
      </c>
      <c r="Q16" s="27">
        <f t="shared" ca="1" si="12"/>
        <v>115.11430849635809</v>
      </c>
      <c r="T16" s="25">
        <f t="shared" ca="1" si="13"/>
        <v>10100912.358832845</v>
      </c>
      <c r="V16" s="25">
        <f t="shared" ca="1" si="14"/>
        <v>100912.35883284546</v>
      </c>
      <c r="X16" s="14">
        <v>-138728.55681672692</v>
      </c>
      <c r="Z16" t="s">
        <v>95</v>
      </c>
      <c r="AA16" s="46">
        <v>1.5699999999999999E-2</v>
      </c>
    </row>
    <row r="17" spans="1:27">
      <c r="A17" s="1">
        <v>13</v>
      </c>
      <c r="B17" s="9">
        <v>38953</v>
      </c>
      <c r="C17" s="37">
        <v>11304.46</v>
      </c>
      <c r="D17" s="38">
        <v>11100.81574</v>
      </c>
      <c r="E17" s="38">
        <v>6541.5174002047088</v>
      </c>
      <c r="F17" s="38">
        <v>137.21303301237967</v>
      </c>
      <c r="I17" s="28">
        <f t="shared" si="5"/>
        <v>5.8047037426148512E-4</v>
      </c>
      <c r="J17" s="28">
        <f t="shared" si="6"/>
        <v>3.3640483247051933E-4</v>
      </c>
      <c r="K17" s="28">
        <f t="shared" si="7"/>
        <v>5.9084598666860211E-3</v>
      </c>
      <c r="L17" s="28">
        <f t="shared" si="8"/>
        <v>-1.0798360332130866E-2</v>
      </c>
      <c r="N17" s="27">
        <f t="shared" ca="1" si="9"/>
        <v>11101.689390925314</v>
      </c>
      <c r="O17" s="27">
        <f t="shared" ca="1" si="10"/>
        <v>9794.5597134707568</v>
      </c>
      <c r="P17" s="27">
        <f t="shared" ca="1" si="11"/>
        <v>6129.0406285842409</v>
      </c>
      <c r="Q17" s="27">
        <f t="shared" ca="1" si="12"/>
        <v>112.54716146312455</v>
      </c>
      <c r="T17" s="25">
        <f t="shared" ca="1" si="13"/>
        <v>10073348.091832792</v>
      </c>
      <c r="V17" s="25">
        <f t="shared" ca="1" si="14"/>
        <v>73348.091832792386</v>
      </c>
      <c r="X17" s="14">
        <v>-138003.61071124859</v>
      </c>
      <c r="Z17" t="s">
        <v>96</v>
      </c>
      <c r="AA17" s="46">
        <v>1.6299999999999999E-2</v>
      </c>
    </row>
    <row r="18" spans="1:27">
      <c r="A18" s="1">
        <v>14</v>
      </c>
      <c r="B18" s="9">
        <v>38954</v>
      </c>
      <c r="C18" s="37">
        <v>11284.05</v>
      </c>
      <c r="D18" s="38">
        <v>11088.215320000001</v>
      </c>
      <c r="E18" s="38">
        <v>6515.1434034416825</v>
      </c>
      <c r="F18" s="38">
        <v>135.87945439045183</v>
      </c>
      <c r="I18" s="28">
        <f t="shared" si="5"/>
        <v>-1.8071139313167921E-3</v>
      </c>
      <c r="J18" s="28">
        <f t="shared" si="6"/>
        <v>-1.1357342571975072E-3</v>
      </c>
      <c r="K18" s="28">
        <f t="shared" si="7"/>
        <v>-4.0399353296601669E-3</v>
      </c>
      <c r="L18" s="28">
        <f t="shared" si="8"/>
        <v>-9.7665756754274635E-3</v>
      </c>
      <c r="N18" s="27">
        <f t="shared" ca="1" si="9"/>
        <v>11315.27527864347</v>
      </c>
      <c r="O18" s="27">
        <f t="shared" ca="1" si="10"/>
        <v>9442.5451682389466</v>
      </c>
      <c r="P18" s="27">
        <f t="shared" ca="1" si="11"/>
        <v>6167.0754090503378</v>
      </c>
      <c r="Q18" s="27">
        <f t="shared" ca="1" si="12"/>
        <v>112.10247553031368</v>
      </c>
      <c r="T18" s="25">
        <f t="shared" ca="1" si="13"/>
        <v>10039105.824287005</v>
      </c>
      <c r="V18" s="25">
        <f t="shared" ca="1" si="14"/>
        <v>39105.824287004769</v>
      </c>
      <c r="X18" s="14">
        <v>-129465.42222331837</v>
      </c>
      <c r="Z18" t="s">
        <v>97</v>
      </c>
      <c r="AA18" s="46">
        <v>1.43E-2</v>
      </c>
    </row>
    <row r="19" spans="1:27">
      <c r="A19" s="1">
        <v>15</v>
      </c>
      <c r="B19" s="9">
        <v>38958</v>
      </c>
      <c r="C19" s="37">
        <v>11369.94</v>
      </c>
      <c r="D19" s="38">
        <v>11145.96307</v>
      </c>
      <c r="E19" s="38">
        <v>6583.7203368206165</v>
      </c>
      <c r="F19" s="38">
        <v>135.90968183373246</v>
      </c>
      <c r="I19" s="28">
        <f t="shared" si="5"/>
        <v>7.5828065209153136E-3</v>
      </c>
      <c r="J19" s="28">
        <f t="shared" si="6"/>
        <v>5.1945143946891372E-3</v>
      </c>
      <c r="K19" s="28">
        <f t="shared" si="7"/>
        <v>1.0470764683801002E-2</v>
      </c>
      <c r="L19" s="28">
        <f t="shared" si="8"/>
        <v>2.2243305104245503E-4</v>
      </c>
      <c r="N19" s="27">
        <f t="shared" ca="1" si="9"/>
        <v>11192.8350661733</v>
      </c>
      <c r="O19" s="27">
        <f t="shared" ca="1" si="10"/>
        <v>9489.9863202626675</v>
      </c>
      <c r="P19" s="27">
        <f t="shared" ca="1" si="11"/>
        <v>6271.3276903940368</v>
      </c>
      <c r="Q19" s="27">
        <f t="shared" ca="1" si="12"/>
        <v>111.12364393047471</v>
      </c>
      <c r="T19" s="25">
        <f t="shared" ca="1" si="13"/>
        <v>10008958.781578515</v>
      </c>
      <c r="V19" s="25">
        <f t="shared" ca="1" si="14"/>
        <v>8958.781578514725</v>
      </c>
      <c r="X19" s="14">
        <v>-128881.86337248795</v>
      </c>
    </row>
    <row r="20" spans="1:27">
      <c r="A20" s="1">
        <v>16</v>
      </c>
      <c r="B20" s="9">
        <v>38959</v>
      </c>
      <c r="C20" s="37">
        <v>11382.91</v>
      </c>
      <c r="D20" s="38">
        <v>11300.65287</v>
      </c>
      <c r="E20" s="38">
        <v>6651.4245379876793</v>
      </c>
      <c r="F20" s="38">
        <v>135.60034173430159</v>
      </c>
      <c r="I20" s="28">
        <f t="shared" si="5"/>
        <v>1.1400770808791592E-3</v>
      </c>
      <c r="J20" s="28">
        <f t="shared" si="6"/>
        <v>1.3783124309908851E-2</v>
      </c>
      <c r="K20" s="28">
        <f t="shared" si="7"/>
        <v>1.0231061674417948E-2</v>
      </c>
      <c r="L20" s="28">
        <f t="shared" si="8"/>
        <v>-2.2786652898847894E-3</v>
      </c>
      <c r="N20" s="27">
        <f t="shared" ca="1" si="9"/>
        <v>10967.940616052148</v>
      </c>
      <c r="O20" s="27">
        <f t="shared" ca="1" si="10"/>
        <v>9655.7609892371875</v>
      </c>
      <c r="P20" s="27">
        <f t="shared" ca="1" si="11"/>
        <v>6169.1906522519475</v>
      </c>
      <c r="Q20" s="27">
        <f t="shared" ca="1" si="12"/>
        <v>110.30965507901786</v>
      </c>
      <c r="T20" s="25">
        <f t="shared" ca="1" si="13"/>
        <v>9948245.5309389941</v>
      </c>
      <c r="V20" s="25">
        <f t="shared" ca="1" si="14"/>
        <v>-51754.469061005861</v>
      </c>
      <c r="X20" s="14">
        <v>-127246.21307544596</v>
      </c>
      <c r="AA20" s="46">
        <f>AVERAGE(AA14:AA18)</f>
        <v>1.6402100928387047E-2</v>
      </c>
    </row>
    <row r="21" spans="1:27">
      <c r="A21" s="1">
        <v>17</v>
      </c>
      <c r="B21" s="9">
        <v>38960</v>
      </c>
      <c r="C21" s="37">
        <v>11381.15</v>
      </c>
      <c r="D21" s="38">
        <v>11232.22098</v>
      </c>
      <c r="E21" s="38">
        <v>6610.8281070011517</v>
      </c>
      <c r="F21" s="38">
        <v>137.60238704177323</v>
      </c>
      <c r="I21" s="28">
        <f t="shared" si="5"/>
        <v>-1.5462971047401571E-4</v>
      </c>
      <c r="J21" s="28">
        <f t="shared" si="6"/>
        <v>-6.0739789202935738E-3</v>
      </c>
      <c r="K21" s="28">
        <f t="shared" si="7"/>
        <v>-6.1221210107486601E-3</v>
      </c>
      <c r="L21" s="28">
        <f t="shared" si="8"/>
        <v>1.465637736849365E-2</v>
      </c>
      <c r="N21" s="27">
        <f t="shared" ca="1" si="9"/>
        <v>11194.449055022738</v>
      </c>
      <c r="O21" s="27">
        <f t="shared" ca="1" si="10"/>
        <v>9855.2079986487952</v>
      </c>
      <c r="P21" s="27">
        <f t="shared" ca="1" si="11"/>
        <v>6355.3779348625185</v>
      </c>
      <c r="Q21" s="27">
        <f t="shared" ca="1" si="12"/>
        <v>115.99524714557404</v>
      </c>
      <c r="T21" s="25">
        <f t="shared" ca="1" si="13"/>
        <v>10223592.128108989</v>
      </c>
      <c r="V21" s="25">
        <f t="shared" ca="1" si="14"/>
        <v>223592.12810898945</v>
      </c>
      <c r="X21" s="14">
        <v>-126675.85276662745</v>
      </c>
    </row>
    <row r="22" spans="1:27">
      <c r="A22" s="1">
        <v>18</v>
      </c>
      <c r="B22" s="9">
        <v>38961</v>
      </c>
      <c r="C22" s="37">
        <v>11464.15</v>
      </c>
      <c r="D22" s="38">
        <v>11323.516940000001</v>
      </c>
      <c r="E22" s="38">
        <v>6636.9398207426375</v>
      </c>
      <c r="F22" s="38">
        <v>137.52344016365498</v>
      </c>
      <c r="I22" s="28">
        <f t="shared" si="5"/>
        <v>7.2662968044404051E-3</v>
      </c>
      <c r="J22" s="28">
        <f t="shared" si="6"/>
        <v>8.0951870331980123E-3</v>
      </c>
      <c r="K22" s="28">
        <f t="shared" si="7"/>
        <v>3.9420599301271224E-3</v>
      </c>
      <c r="L22" s="28">
        <f t="shared" si="8"/>
        <v>-5.7389654098968161E-4</v>
      </c>
      <c r="N22" s="27">
        <f t="shared" ca="1" si="9"/>
        <v>10992.798990143099</v>
      </c>
      <c r="O22" s="27">
        <f t="shared" ca="1" si="10"/>
        <v>9697.3820360599202</v>
      </c>
      <c r="P22" s="27">
        <f t="shared" ca="1" si="11"/>
        <v>6050.165541610334</v>
      </c>
      <c r="Q22" s="27">
        <f t="shared" ca="1" si="12"/>
        <v>112.9990927086933</v>
      </c>
      <c r="T22" s="25">
        <f t="shared" ca="1" si="13"/>
        <v>9998752.9056809749</v>
      </c>
      <c r="V22" s="25">
        <f t="shared" ca="1" si="14"/>
        <v>-1247.0943190250546</v>
      </c>
      <c r="X22" s="14">
        <v>-121083.49725946784</v>
      </c>
    </row>
    <row r="23" spans="1:27">
      <c r="A23" s="1">
        <v>19</v>
      </c>
      <c r="B23" s="9">
        <v>38965</v>
      </c>
      <c r="C23" s="37">
        <v>11469.28</v>
      </c>
      <c r="D23" s="38">
        <v>11320.96542</v>
      </c>
      <c r="E23" s="38">
        <v>6625.0640368852455</v>
      </c>
      <c r="F23" s="38">
        <v>141.13660637381568</v>
      </c>
      <c r="I23" s="28">
        <f t="shared" si="5"/>
        <v>4.4738184262579347E-4</v>
      </c>
      <c r="J23" s="28">
        <f t="shared" si="6"/>
        <v>-2.2535467759739972E-4</v>
      </c>
      <c r="K23" s="28">
        <f t="shared" si="7"/>
        <v>-1.7909491143539239E-3</v>
      </c>
      <c r="L23" s="28">
        <f t="shared" si="8"/>
        <v>2.5933884391581938E-2</v>
      </c>
      <c r="N23" s="27">
        <f t="shared" ca="1" si="9"/>
        <v>11149.258169467805</v>
      </c>
      <c r="O23" s="27">
        <f t="shared" ca="1" si="10"/>
        <v>9785.9757304319573</v>
      </c>
      <c r="P23" s="27">
        <f t="shared" ca="1" si="11"/>
        <v>6160.5198486429063</v>
      </c>
      <c r="Q23" s="27">
        <f t="shared" ca="1" si="12"/>
        <v>112.99970792297682</v>
      </c>
      <c r="T23" s="25">
        <f t="shared" ca="1" si="13"/>
        <v>10101027.955469873</v>
      </c>
      <c r="V23" s="25">
        <f t="shared" ca="1" si="14"/>
        <v>101027.9554698728</v>
      </c>
      <c r="X23" s="14">
        <v>-119072.51903994381</v>
      </c>
    </row>
    <row r="24" spans="1:27">
      <c r="A24" s="1">
        <v>20</v>
      </c>
      <c r="B24" s="9">
        <v>38966</v>
      </c>
      <c r="C24" s="37">
        <v>11406.2</v>
      </c>
      <c r="D24" s="38">
        <v>11150.641580000001</v>
      </c>
      <c r="E24" s="38">
        <v>6541.5856777493609</v>
      </c>
      <c r="F24" s="38">
        <v>139.62179542141817</v>
      </c>
      <c r="I24" s="28">
        <f t="shared" si="5"/>
        <v>-5.5150895096241145E-3</v>
      </c>
      <c r="J24" s="28">
        <f t="shared" si="6"/>
        <v>-1.5159316532927519E-2</v>
      </c>
      <c r="K24" s="28">
        <f t="shared" si="7"/>
        <v>-1.2680443318225236E-2</v>
      </c>
      <c r="L24" s="28">
        <f t="shared" si="8"/>
        <v>-1.0790955084465573E-2</v>
      </c>
      <c r="N24" s="27">
        <f t="shared" ca="1" si="9"/>
        <v>11109.835397760495</v>
      </c>
      <c r="O24" s="27">
        <f t="shared" ca="1" si="10"/>
        <v>9367.5156822081044</v>
      </c>
      <c r="P24" s="27">
        <f t="shared" ca="1" si="11"/>
        <v>6137.575648947527</v>
      </c>
      <c r="Q24" s="27">
        <f t="shared" ca="1" si="12"/>
        <v>114.68193815164121</v>
      </c>
      <c r="T24" s="25">
        <f t="shared" ca="1" si="13"/>
        <v>9982071.4331165627</v>
      </c>
      <c r="V24" s="25">
        <f t="shared" ca="1" si="14"/>
        <v>-17928.566883437335</v>
      </c>
      <c r="X24" s="14">
        <v>-119011.53531216271</v>
      </c>
    </row>
    <row r="25" spans="1:27">
      <c r="A25" s="1">
        <v>21</v>
      </c>
      <c r="B25" s="9">
        <v>38967</v>
      </c>
      <c r="C25" s="37">
        <v>11331.44</v>
      </c>
      <c r="D25" s="38">
        <v>10978.079400000001</v>
      </c>
      <c r="E25" s="38">
        <v>6442.6916221033871</v>
      </c>
      <c r="F25" s="38">
        <v>137.50459424645771</v>
      </c>
      <c r="I25" s="28">
        <f t="shared" si="5"/>
        <v>-6.5759040428705479E-3</v>
      </c>
      <c r="J25" s="28">
        <f t="shared" si="6"/>
        <v>-1.5596534309239532E-2</v>
      </c>
      <c r="K25" s="28">
        <f t="shared" si="7"/>
        <v>-1.5233187911600681E-2</v>
      </c>
      <c r="L25" s="28">
        <f t="shared" si="8"/>
        <v>-1.5279976552261149E-2</v>
      </c>
      <c r="N25" s="27">
        <f t="shared" ca="1" si="9"/>
        <v>11006.485361653207</v>
      </c>
      <c r="O25" s="27">
        <f t="shared" ca="1" si="10"/>
        <v>9446.8396871405348</v>
      </c>
      <c r="P25" s="27">
        <f t="shared" ca="1" si="11"/>
        <v>6268.5250530981402</v>
      </c>
      <c r="Q25" s="27">
        <f t="shared" ca="1" si="12"/>
        <v>113.82001386090607</v>
      </c>
      <c r="T25" s="25">
        <f t="shared" ca="1" si="13"/>
        <v>9975194.006660061</v>
      </c>
      <c r="V25" s="25">
        <f t="shared" ca="1" si="14"/>
        <v>-24805.993339939043</v>
      </c>
      <c r="X25" s="14">
        <v>-116167.86741412431</v>
      </c>
    </row>
    <row r="26" spans="1:27">
      <c r="A26" s="1">
        <v>22</v>
      </c>
      <c r="B26" s="9">
        <v>38968</v>
      </c>
      <c r="C26" s="37">
        <v>11392.11</v>
      </c>
      <c r="D26" s="38">
        <v>10965.48243</v>
      </c>
      <c r="E26" s="38">
        <v>6427.9361459521087</v>
      </c>
      <c r="F26" s="38">
        <v>137.74593112900462</v>
      </c>
      <c r="I26" s="28">
        <f t="shared" si="5"/>
        <v>5.3398473532357714E-3</v>
      </c>
      <c r="J26" s="28">
        <f t="shared" si="6"/>
        <v>-1.1481245826322516E-3</v>
      </c>
      <c r="K26" s="28">
        <f t="shared" si="7"/>
        <v>-2.2928924496544451E-3</v>
      </c>
      <c r="L26" s="28">
        <f t="shared" si="8"/>
        <v>1.7535802633703386E-3</v>
      </c>
      <c r="N26" s="27">
        <f t="shared" ca="1" si="9"/>
        <v>11161.727452871111</v>
      </c>
      <c r="O26" s="27">
        <f t="shared" ca="1" si="10"/>
        <v>9575.6666599715172</v>
      </c>
      <c r="P26" s="27">
        <f t="shared" ca="1" si="11"/>
        <v>6108.3479089737875</v>
      </c>
      <c r="Q26" s="27">
        <f t="shared" ca="1" si="12"/>
        <v>116.46109212715744</v>
      </c>
      <c r="T26" s="25">
        <f t="shared" ca="1" si="13"/>
        <v>10092776.621457879</v>
      </c>
      <c r="V26" s="25">
        <f t="shared" ca="1" si="14"/>
        <v>92776.6214578785</v>
      </c>
      <c r="X26" s="14">
        <v>-114657.01906324364</v>
      </c>
    </row>
    <row r="27" spans="1:27">
      <c r="A27" s="1">
        <v>23</v>
      </c>
      <c r="B27" s="9">
        <v>38971</v>
      </c>
      <c r="C27" s="37">
        <v>11396.84</v>
      </c>
      <c r="D27" s="38">
        <v>10897.115</v>
      </c>
      <c r="E27" s="38">
        <v>6419.9898464272119</v>
      </c>
      <c r="F27" s="38">
        <v>134.14625445897741</v>
      </c>
      <c r="I27" s="28">
        <f t="shared" si="5"/>
        <v>4.1511347103948969E-4</v>
      </c>
      <c r="J27" s="28">
        <f t="shared" si="6"/>
        <v>-6.2543028636484928E-3</v>
      </c>
      <c r="K27" s="28">
        <f t="shared" si="7"/>
        <v>-1.2369779438080727E-3</v>
      </c>
      <c r="L27" s="28">
        <f t="shared" si="8"/>
        <v>-2.6480253575802946E-2</v>
      </c>
      <c r="N27" s="27">
        <f t="shared" ca="1" si="9"/>
        <v>11103.17817631192</v>
      </c>
      <c r="O27" s="27">
        <f t="shared" ca="1" si="10"/>
        <v>9788.5011148085159</v>
      </c>
      <c r="P27" s="27">
        <f t="shared" ca="1" si="11"/>
        <v>6265.4568417772716</v>
      </c>
      <c r="Q27" s="27">
        <f t="shared" ca="1" si="12"/>
        <v>110.39655859115732</v>
      </c>
      <c r="T27" s="25">
        <f t="shared" ca="1" si="13"/>
        <v>10055872.481651418</v>
      </c>
      <c r="V27" s="25">
        <f t="shared" ca="1" si="14"/>
        <v>55872.481651417911</v>
      </c>
      <c r="X27" s="14">
        <v>-114186.39241708256</v>
      </c>
    </row>
    <row r="28" spans="1:27">
      <c r="A28" s="1">
        <v>24</v>
      </c>
      <c r="B28" s="9">
        <v>38972</v>
      </c>
      <c r="C28" s="37">
        <v>11498.09</v>
      </c>
      <c r="D28" s="38">
        <v>11057.5998</v>
      </c>
      <c r="E28" s="38">
        <v>6504.2126633675934</v>
      </c>
      <c r="F28" s="38">
        <v>133.47490872038719</v>
      </c>
      <c r="I28" s="28">
        <f t="shared" si="5"/>
        <v>8.8448106257988535E-3</v>
      </c>
      <c r="J28" s="28">
        <f t="shared" si="6"/>
        <v>1.4619880965511369E-2</v>
      </c>
      <c r="K28" s="28">
        <f t="shared" si="7"/>
        <v>1.3033532883479117E-2</v>
      </c>
      <c r="L28" s="28">
        <f t="shared" si="8"/>
        <v>-5.0171454219797391E-3</v>
      </c>
      <c r="N28" s="27">
        <f t="shared" ca="1" si="9"/>
        <v>10850.489978058864</v>
      </c>
      <c r="O28" s="27">
        <f t="shared" ca="1" si="10"/>
        <v>9489.8189282045878</v>
      </c>
      <c r="P28" s="27">
        <f t="shared" ca="1" si="11"/>
        <v>6205.5213291327736</v>
      </c>
      <c r="Q28" s="27">
        <f t="shared" ca="1" si="12"/>
        <v>113.28000990189169</v>
      </c>
      <c r="T28" s="25">
        <f t="shared" ca="1" si="13"/>
        <v>9912279.1975820288</v>
      </c>
      <c r="V28" s="25">
        <f t="shared" ca="1" si="14"/>
        <v>-87720.802417971194</v>
      </c>
      <c r="X28" s="14">
        <v>-112700.38939567469</v>
      </c>
    </row>
    <row r="29" spans="1:27">
      <c r="A29" s="1">
        <v>25</v>
      </c>
      <c r="B29" s="9">
        <v>38973</v>
      </c>
      <c r="C29" s="37">
        <v>11543.32</v>
      </c>
      <c r="D29" s="38">
        <v>11045.518120000001</v>
      </c>
      <c r="E29" s="38">
        <v>6513.6029411764712</v>
      </c>
      <c r="F29" s="38">
        <v>133.84932438174556</v>
      </c>
      <c r="I29" s="28">
        <f t="shared" si="5"/>
        <v>3.9259800589767349E-3</v>
      </c>
      <c r="J29" s="28">
        <f t="shared" si="6"/>
        <v>-1.0932105820519809E-3</v>
      </c>
      <c r="K29" s="28">
        <f t="shared" si="7"/>
        <v>1.4426812796899883E-3</v>
      </c>
      <c r="L29" s="28">
        <f t="shared" si="8"/>
        <v>2.80121186054464E-3</v>
      </c>
      <c r="N29" s="27">
        <f t="shared" ca="1" si="9"/>
        <v>11215.886191116788</v>
      </c>
      <c r="O29" s="27">
        <f t="shared" ca="1" si="10"/>
        <v>9639.8457747788925</v>
      </c>
      <c r="P29" s="27">
        <f t="shared" ca="1" si="11"/>
        <v>6203.2695074471985</v>
      </c>
      <c r="Q29" s="27">
        <f t="shared" ca="1" si="12"/>
        <v>113.46807238609158</v>
      </c>
      <c r="T29" s="25">
        <f t="shared" ca="1" si="13"/>
        <v>10094739.113005741</v>
      </c>
      <c r="V29" s="25">
        <f t="shared" ca="1" si="14"/>
        <v>94739.113005740568</v>
      </c>
      <c r="X29" s="14">
        <v>-111994.0271100644</v>
      </c>
    </row>
    <row r="30" spans="1:27">
      <c r="A30" s="1">
        <v>26</v>
      </c>
      <c r="B30" s="9">
        <v>38974</v>
      </c>
      <c r="C30" s="37">
        <v>11527.39</v>
      </c>
      <c r="D30" s="38">
        <v>11112.02204</v>
      </c>
      <c r="E30" s="38">
        <v>6533.0230779038639</v>
      </c>
      <c r="F30" s="38">
        <v>135.78391959798995</v>
      </c>
      <c r="I30" s="28">
        <f t="shared" si="5"/>
        <v>-1.3809720231110704E-3</v>
      </c>
      <c r="J30" s="28">
        <f t="shared" si="6"/>
        <v>6.0028432055671673E-3</v>
      </c>
      <c r="K30" s="28">
        <f t="shared" si="7"/>
        <v>2.9770380544337596E-3</v>
      </c>
      <c r="L30" s="28">
        <f t="shared" si="8"/>
        <v>1.4350073351283073E-2</v>
      </c>
      <c r="N30" s="27">
        <f t="shared" ca="1" si="9"/>
        <v>11248.946758786364</v>
      </c>
      <c r="O30" s="27">
        <f t="shared" ca="1" si="10"/>
        <v>9497.4246473837538</v>
      </c>
      <c r="P30" s="27">
        <f t="shared" ca="1" si="11"/>
        <v>6317.1140153021224</v>
      </c>
      <c r="Q30" s="27">
        <f t="shared" ca="1" si="12"/>
        <v>111.49210124950109</v>
      </c>
      <c r="T30" s="25">
        <f t="shared" ca="1" si="13"/>
        <v>10045562.767087543</v>
      </c>
      <c r="V30" s="25">
        <f t="shared" ca="1" si="14"/>
        <v>45562.767087543383</v>
      </c>
      <c r="X30" s="14">
        <v>-110721.08518375456</v>
      </c>
    </row>
    <row r="31" spans="1:27">
      <c r="A31" s="1">
        <v>27</v>
      </c>
      <c r="B31" s="9">
        <v>38975</v>
      </c>
      <c r="C31" s="37">
        <v>11560.77</v>
      </c>
      <c r="D31" s="38">
        <v>11037.005999999999</v>
      </c>
      <c r="E31" s="38">
        <v>6508.3870967741941</v>
      </c>
      <c r="F31" s="38">
        <v>134.93434815885703</v>
      </c>
      <c r="I31" s="28">
        <f t="shared" si="5"/>
        <v>2.8915273679080747E-3</v>
      </c>
      <c r="J31" s="28">
        <f t="shared" si="6"/>
        <v>-6.7737804748157987E-3</v>
      </c>
      <c r="K31" s="28">
        <f t="shared" si="7"/>
        <v>-3.7781206333650096E-3</v>
      </c>
      <c r="L31" s="28">
        <f t="shared" si="8"/>
        <v>-6.2764455103502008E-3</v>
      </c>
      <c r="N31" s="27">
        <f t="shared" ca="1" si="9"/>
        <v>10897.699004073362</v>
      </c>
      <c r="O31" s="27">
        <f t="shared" ca="1" si="10"/>
        <v>9420.4648289403049</v>
      </c>
      <c r="P31" s="27">
        <f t="shared" ca="1" si="11"/>
        <v>6272.7877563580387</v>
      </c>
      <c r="Q31" s="27">
        <f t="shared" ca="1" si="12"/>
        <v>112.87039474132277</v>
      </c>
      <c r="T31" s="25">
        <f t="shared" ca="1" si="13"/>
        <v>9911325.8466416467</v>
      </c>
      <c r="V31" s="25">
        <f t="shared" ca="1" si="14"/>
        <v>-88674.153358353302</v>
      </c>
      <c r="X31" s="14">
        <v>-109779.29802223109</v>
      </c>
    </row>
    <row r="32" spans="1:27">
      <c r="A32" s="1">
        <v>28</v>
      </c>
      <c r="B32" s="9">
        <v>38979</v>
      </c>
      <c r="C32" s="37">
        <v>11540.91</v>
      </c>
      <c r="D32" s="38">
        <v>11003.44024</v>
      </c>
      <c r="E32" s="38">
        <v>6498.9710365853653</v>
      </c>
      <c r="F32" s="38">
        <v>135.46919269499915</v>
      </c>
      <c r="I32" s="28">
        <f t="shared" si="5"/>
        <v>-1.71935589900701E-3</v>
      </c>
      <c r="J32" s="28">
        <f t="shared" si="6"/>
        <v>-3.0458354231073697E-3</v>
      </c>
      <c r="K32" s="28">
        <f t="shared" si="7"/>
        <v>-1.4478054247560126E-3</v>
      </c>
      <c r="L32" s="28">
        <f t="shared" si="8"/>
        <v>3.9559040679924837E-3</v>
      </c>
      <c r="N32" s="27">
        <f t="shared" ca="1" si="9"/>
        <v>11063.781119261876</v>
      </c>
      <c r="O32" s="27">
        <f t="shared" ca="1" si="10"/>
        <v>9853.9713290057553</v>
      </c>
      <c r="P32" s="27">
        <f t="shared" ca="1" si="11"/>
        <v>6017.3167537195395</v>
      </c>
      <c r="Q32" s="27">
        <f t="shared" ca="1" si="12"/>
        <v>113.25958307838147</v>
      </c>
      <c r="T32" s="25">
        <f t="shared" ca="1" si="13"/>
        <v>10072767.465270855</v>
      </c>
      <c r="V32" s="25">
        <f t="shared" ca="1" si="14"/>
        <v>72767.465270854533</v>
      </c>
      <c r="X32" s="14">
        <v>-109223.08888156712</v>
      </c>
    </row>
    <row r="33" spans="1:24">
      <c r="A33" s="1">
        <v>29</v>
      </c>
      <c r="B33" s="9">
        <v>38980</v>
      </c>
      <c r="C33" s="37">
        <v>11613.19</v>
      </c>
      <c r="D33" s="38">
        <v>11082.42504</v>
      </c>
      <c r="E33" s="38">
        <v>6596.4684959349588</v>
      </c>
      <c r="F33" s="38">
        <v>134.0611513859275</v>
      </c>
      <c r="I33" s="28">
        <f t="shared" si="5"/>
        <v>6.2434069810675683E-3</v>
      </c>
      <c r="J33" s="28">
        <f t="shared" si="6"/>
        <v>7.1525508038912389E-3</v>
      </c>
      <c r="K33" s="28">
        <f t="shared" si="7"/>
        <v>1.4890567147732866E-2</v>
      </c>
      <c r="L33" s="28">
        <f t="shared" si="8"/>
        <v>-1.0448204805413527E-2</v>
      </c>
      <c r="N33" s="27">
        <f t="shared" ca="1" si="9"/>
        <v>11128.075967467408</v>
      </c>
      <c r="O33" s="27">
        <f t="shared" ca="1" si="10"/>
        <v>9825.0217851366669</v>
      </c>
      <c r="P33" s="27">
        <f t="shared" ca="1" si="11"/>
        <v>6265.5533728101263</v>
      </c>
      <c r="Q33" s="27">
        <f t="shared" ca="1" si="12"/>
        <v>112.27598021919739</v>
      </c>
      <c r="T33" s="25">
        <f t="shared" ca="1" si="13"/>
        <v>10109653.047340691</v>
      </c>
      <c r="V33" s="25">
        <f t="shared" ca="1" si="14"/>
        <v>109653.04734069109</v>
      </c>
      <c r="X33" s="14">
        <v>-107444.825658191</v>
      </c>
    </row>
    <row r="34" spans="1:24">
      <c r="A34" s="1">
        <v>30</v>
      </c>
      <c r="B34" s="9">
        <v>38981</v>
      </c>
      <c r="C34" s="37">
        <v>11533.23</v>
      </c>
      <c r="D34" s="38">
        <v>11185.45023</v>
      </c>
      <c r="E34" s="38">
        <v>6625.5183818852556</v>
      </c>
      <c r="F34" s="38">
        <v>135.59025518068162</v>
      </c>
      <c r="I34" s="28">
        <f t="shared" si="5"/>
        <v>-6.9090872866914496E-3</v>
      </c>
      <c r="J34" s="28">
        <f t="shared" si="6"/>
        <v>9.2533233520276544E-3</v>
      </c>
      <c r="K34" s="28">
        <f t="shared" si="7"/>
        <v>4.3941856790645304E-3</v>
      </c>
      <c r="L34" s="28">
        <f t="shared" si="8"/>
        <v>1.1341458995082574E-2</v>
      </c>
      <c r="N34" s="27">
        <f t="shared" ca="1" si="9"/>
        <v>11134.298003670723</v>
      </c>
      <c r="O34" s="27">
        <f t="shared" ca="1" si="10"/>
        <v>9456.826214496512</v>
      </c>
      <c r="P34" s="27">
        <f t="shared" ca="1" si="11"/>
        <v>6116.6769639798094</v>
      </c>
      <c r="Q34" s="27">
        <f t="shared" ca="1" si="12"/>
        <v>108.73514212441442</v>
      </c>
      <c r="T34" s="25">
        <f t="shared" ca="1" si="13"/>
        <v>9910069.4453905951</v>
      </c>
      <c r="V34" s="25">
        <f t="shared" ca="1" si="14"/>
        <v>-89930.554609404877</v>
      </c>
      <c r="X34" s="14">
        <v>-106661.0622532852</v>
      </c>
    </row>
    <row r="35" spans="1:24">
      <c r="A35" s="1">
        <v>31</v>
      </c>
      <c r="B35" s="9">
        <v>38982</v>
      </c>
      <c r="C35" s="37">
        <v>11508.1</v>
      </c>
      <c r="D35" s="38">
        <v>11076.34352</v>
      </c>
      <c r="E35" s="38">
        <v>6582.9599283062344</v>
      </c>
      <c r="F35" s="38">
        <v>134.34155353153463</v>
      </c>
      <c r="I35" s="28">
        <f t="shared" si="5"/>
        <v>-2.181298559082878E-3</v>
      </c>
      <c r="J35" s="28">
        <f t="shared" si="6"/>
        <v>-9.8022275148403008E-3</v>
      </c>
      <c r="K35" s="28">
        <f t="shared" si="7"/>
        <v>-6.444133814061251E-3</v>
      </c>
      <c r="L35" s="28">
        <f t="shared" si="8"/>
        <v>-9.2520445258439752E-3</v>
      </c>
      <c r="N35" s="27">
        <f t="shared" ca="1" si="9"/>
        <v>11109.303864385724</v>
      </c>
      <c r="O35" s="27">
        <f t="shared" ca="1" si="10"/>
        <v>9521.6620730459708</v>
      </c>
      <c r="P35" s="27">
        <f t="shared" ca="1" si="11"/>
        <v>6203.7171406457619</v>
      </c>
      <c r="Q35" s="27">
        <f t="shared" ca="1" si="12"/>
        <v>113.04713516671909</v>
      </c>
      <c r="T35" s="25">
        <f t="shared" ca="1" si="13"/>
        <v>10011736.907575266</v>
      </c>
      <c r="V35" s="25">
        <f t="shared" ca="1" si="14"/>
        <v>11736.907575266436</v>
      </c>
      <c r="X35" s="14">
        <v>-106307.02293114737</v>
      </c>
    </row>
    <row r="36" spans="1:24">
      <c r="A36" s="1">
        <v>32</v>
      </c>
      <c r="B36" s="9">
        <v>38985</v>
      </c>
      <c r="C36" s="37">
        <v>11575.81</v>
      </c>
      <c r="D36" s="38">
        <v>11012.71119</v>
      </c>
      <c r="E36" s="38">
        <v>6556.8734870684157</v>
      </c>
      <c r="F36" s="38">
        <v>134.2073139325264</v>
      </c>
      <c r="I36" s="28">
        <f t="shared" si="5"/>
        <v>5.8664406668745431E-3</v>
      </c>
      <c r="J36" s="28">
        <f t="shared" si="6"/>
        <v>-5.7614512576154115E-3</v>
      </c>
      <c r="K36" s="28">
        <f t="shared" si="7"/>
        <v>-3.9705945555898858E-3</v>
      </c>
      <c r="L36" s="28">
        <f t="shared" si="8"/>
        <v>-9.997406539576318E-4</v>
      </c>
      <c r="N36" s="27">
        <f t="shared" ca="1" si="9"/>
        <v>10951.53884001611</v>
      </c>
      <c r="O36" s="27">
        <f t="shared" ca="1" si="10"/>
        <v>9555.2881279491248</v>
      </c>
      <c r="P36" s="27">
        <f t="shared" ca="1" si="11"/>
        <v>6206.7731753441631</v>
      </c>
      <c r="Q36" s="27">
        <f t="shared" ca="1" si="12"/>
        <v>112.52427303779081</v>
      </c>
      <c r="T36" s="25">
        <f t="shared" ca="1" si="13"/>
        <v>9956214.9718360826</v>
      </c>
      <c r="V36" s="25">
        <f t="shared" ca="1" si="14"/>
        <v>-43785.028163917363</v>
      </c>
      <c r="X36" s="14">
        <v>-106163.19782396033</v>
      </c>
    </row>
    <row r="37" spans="1:24">
      <c r="A37" s="1">
        <v>33</v>
      </c>
      <c r="B37" s="9">
        <v>38986</v>
      </c>
      <c r="C37" s="37">
        <v>11669.39</v>
      </c>
      <c r="D37" s="38">
        <v>11131.059360000001</v>
      </c>
      <c r="E37" s="38">
        <v>6615.4499366286436</v>
      </c>
      <c r="F37" s="38">
        <v>132.92421394395078</v>
      </c>
      <c r="I37" s="28">
        <f t="shared" si="5"/>
        <v>8.0515982268711261E-3</v>
      </c>
      <c r="J37" s="28">
        <f t="shared" si="6"/>
        <v>1.0689172974119938E-2</v>
      </c>
      <c r="K37" s="28">
        <f t="shared" si="7"/>
        <v>8.8939261209073795E-3</v>
      </c>
      <c r="L37" s="28">
        <f t="shared" si="8"/>
        <v>-9.6065774525091515E-3</v>
      </c>
      <c r="N37" s="27">
        <f t="shared" ca="1" si="9"/>
        <v>10903.090128216107</v>
      </c>
      <c r="O37" s="27">
        <f t="shared" ca="1" si="10"/>
        <v>9327.134733277946</v>
      </c>
      <c r="P37" s="27">
        <f t="shared" ca="1" si="11"/>
        <v>6149.76401549614</v>
      </c>
      <c r="Q37" s="27">
        <f t="shared" ca="1" si="12"/>
        <v>112.24268371102529</v>
      </c>
      <c r="T37" s="25">
        <f t="shared" ca="1" si="13"/>
        <v>9853147.6507413108</v>
      </c>
      <c r="V37" s="25">
        <f t="shared" ca="1" si="14"/>
        <v>-146852.34925868921</v>
      </c>
      <c r="X37" s="14">
        <v>-104261.89951076545</v>
      </c>
    </row>
    <row r="38" spans="1:24">
      <c r="A38" s="1">
        <v>34</v>
      </c>
      <c r="B38" s="9">
        <v>38987</v>
      </c>
      <c r="C38" s="37">
        <v>11689.24</v>
      </c>
      <c r="D38" s="38">
        <v>11197.807830000002</v>
      </c>
      <c r="E38" s="38">
        <v>6663.8281647178446</v>
      </c>
      <c r="F38" s="38">
        <v>135.8768850643265</v>
      </c>
      <c r="I38" s="28">
        <f t="shared" si="5"/>
        <v>1.699586386548861E-3</v>
      </c>
      <c r="J38" s="28">
        <f t="shared" si="6"/>
        <v>5.9786883281915219E-3</v>
      </c>
      <c r="K38" s="28">
        <f t="shared" si="7"/>
        <v>7.2863060407600752E-3</v>
      </c>
      <c r="L38" s="28">
        <f t="shared" si="8"/>
        <v>2.197007302127869E-2</v>
      </c>
      <c r="N38" s="27">
        <f t="shared" ca="1" si="9"/>
        <v>11072.877687907174</v>
      </c>
      <c r="O38" s="27">
        <f t="shared" ca="1" si="10"/>
        <v>9501.4175516283212</v>
      </c>
      <c r="P38" s="27">
        <f t="shared" ca="1" si="11"/>
        <v>6137.4423438197973</v>
      </c>
      <c r="Q38" s="27">
        <f t="shared" ca="1" si="12"/>
        <v>113.23616994279855</v>
      </c>
      <c r="T38" s="25">
        <f t="shared" ca="1" si="13"/>
        <v>9984853.2789297607</v>
      </c>
      <c r="V38" s="25">
        <f t="shared" ca="1" si="14"/>
        <v>-15146.72107023932</v>
      </c>
      <c r="X38" s="14">
        <v>-103681.50663374178</v>
      </c>
    </row>
    <row r="39" spans="1:24">
      <c r="A39" s="1">
        <v>35</v>
      </c>
      <c r="B39" s="9">
        <v>38988</v>
      </c>
      <c r="C39" s="37">
        <v>11718.45</v>
      </c>
      <c r="D39" s="38">
        <v>11188.42481</v>
      </c>
      <c r="E39" s="38">
        <v>6661.6038573785054</v>
      </c>
      <c r="F39" s="38">
        <v>135.97666525243955</v>
      </c>
      <c r="I39" s="28">
        <f t="shared" si="5"/>
        <v>2.4957623039273827E-3</v>
      </c>
      <c r="J39" s="28">
        <f t="shared" si="6"/>
        <v>-8.3828491380068813E-4</v>
      </c>
      <c r="K39" s="28">
        <f t="shared" si="7"/>
        <v>-3.3384393936485934E-4</v>
      </c>
      <c r="L39" s="28">
        <f t="shared" si="8"/>
        <v>7.340731248677854E-4</v>
      </c>
      <c r="N39" s="27">
        <f t="shared" ca="1" si="9"/>
        <v>11222.512053384327</v>
      </c>
      <c r="O39" s="27">
        <f t="shared" ca="1" si="10"/>
        <v>9540.4608101065787</v>
      </c>
      <c r="P39" s="27">
        <f t="shared" ca="1" si="11"/>
        <v>6122.2151420906548</v>
      </c>
      <c r="Q39" s="27">
        <f t="shared" ca="1" si="12"/>
        <v>112.95827978992816</v>
      </c>
      <c r="T39" s="25">
        <f t="shared" ca="1" si="13"/>
        <v>10043976.011730878</v>
      </c>
      <c r="V39" s="25">
        <f t="shared" ca="1" si="14"/>
        <v>43976.011730877683</v>
      </c>
      <c r="X39" s="14">
        <v>-103523.60440760851</v>
      </c>
    </row>
    <row r="40" spans="1:24">
      <c r="A40" s="1">
        <v>36</v>
      </c>
      <c r="B40" s="9">
        <v>38989</v>
      </c>
      <c r="C40" s="37">
        <v>11679.07</v>
      </c>
      <c r="D40" s="38">
        <v>11135.966560000001</v>
      </c>
      <c r="E40" s="38">
        <v>6649.7910069664349</v>
      </c>
      <c r="F40" s="38">
        <v>136.57024303497332</v>
      </c>
      <c r="I40" s="28">
        <f t="shared" si="5"/>
        <v>-3.3661719006912176E-3</v>
      </c>
      <c r="J40" s="28">
        <f t="shared" si="6"/>
        <v>-4.6996440514591583E-3</v>
      </c>
      <c r="K40" s="28">
        <f t="shared" si="7"/>
        <v>-1.7748483360928704E-3</v>
      </c>
      <c r="L40" s="28">
        <f t="shared" si="8"/>
        <v>4.3557912636410425E-3</v>
      </c>
      <c r="N40" s="27">
        <f t="shared" ca="1" si="9"/>
        <v>10770.317487739019</v>
      </c>
      <c r="O40" s="27">
        <f t="shared" ca="1" si="10"/>
        <v>9353.6856850476106</v>
      </c>
      <c r="P40" s="27">
        <f t="shared" ca="1" si="11"/>
        <v>6200.6527268252394</v>
      </c>
      <c r="Q40" s="27">
        <f t="shared" ca="1" si="12"/>
        <v>111.91643281360727</v>
      </c>
      <c r="T40" s="25">
        <f t="shared" ca="1" si="13"/>
        <v>9815684.4584012628</v>
      </c>
      <c r="V40" s="25">
        <f t="shared" ca="1" si="14"/>
        <v>-184315.54159873724</v>
      </c>
      <c r="X40" s="14">
        <v>-100386.39466363564</v>
      </c>
    </row>
    <row r="41" spans="1:24">
      <c r="A41" s="1">
        <v>37</v>
      </c>
      <c r="B41" s="9">
        <v>38992</v>
      </c>
      <c r="C41" s="37">
        <v>11670.35</v>
      </c>
      <c r="D41" s="38">
        <v>11230.453</v>
      </c>
      <c r="E41" s="38">
        <v>6681.7000127437241</v>
      </c>
      <c r="F41" s="38">
        <v>138.06412978849912</v>
      </c>
      <c r="I41" s="28">
        <f t="shared" si="5"/>
        <v>-7.4691366255714737E-4</v>
      </c>
      <c r="J41" s="28">
        <f t="shared" si="6"/>
        <v>8.4490056021301971E-3</v>
      </c>
      <c r="K41" s="28">
        <f t="shared" si="7"/>
        <v>4.7870214463667828E-3</v>
      </c>
      <c r="L41" s="28">
        <f t="shared" si="8"/>
        <v>1.0879202573762134E-2</v>
      </c>
      <c r="N41" s="27">
        <f t="shared" ca="1" si="9"/>
        <v>10717.840661106686</v>
      </c>
      <c r="O41" s="27">
        <f t="shared" ca="1" si="10"/>
        <v>9521.1929432181914</v>
      </c>
      <c r="P41" s="27">
        <f t="shared" ca="1" si="11"/>
        <v>6001.5399036796216</v>
      </c>
      <c r="Q41" s="27">
        <f t="shared" ca="1" si="12"/>
        <v>111.90053732894631</v>
      </c>
      <c r="T41" s="25">
        <f t="shared" ca="1" si="13"/>
        <v>9816592.0410127658</v>
      </c>
      <c r="V41" s="25">
        <f t="shared" ca="1" si="14"/>
        <v>-183407.95898723416</v>
      </c>
      <c r="X41" s="14">
        <v>-99988.116666592658</v>
      </c>
    </row>
    <row r="42" spans="1:24">
      <c r="A42" s="1">
        <v>38</v>
      </c>
      <c r="B42" s="9">
        <v>38993</v>
      </c>
      <c r="C42" s="37">
        <v>11727.34</v>
      </c>
      <c r="D42" s="38">
        <v>11215.775610000001</v>
      </c>
      <c r="E42" s="38">
        <v>6650.2611797681229</v>
      </c>
      <c r="F42" s="38">
        <v>137.77326321146833</v>
      </c>
      <c r="I42" s="28">
        <f t="shared" si="5"/>
        <v>4.8714307012064674E-3</v>
      </c>
      <c r="J42" s="28">
        <f t="shared" si="6"/>
        <v>-1.3077824650996371E-3</v>
      </c>
      <c r="K42" s="28">
        <f t="shared" si="7"/>
        <v>-4.7163190468148142E-3</v>
      </c>
      <c r="L42" s="28">
        <f t="shared" si="8"/>
        <v>-2.1089721134336572E-3</v>
      </c>
      <c r="N42" s="27">
        <f t="shared" ca="1" si="9"/>
        <v>11072.724541177842</v>
      </c>
      <c r="O42" s="27">
        <f t="shared" ca="1" si="10"/>
        <v>9668.9908685176033</v>
      </c>
      <c r="P42" s="27">
        <f t="shared" ca="1" si="11"/>
        <v>6314.2829496768627</v>
      </c>
      <c r="Q42" s="27">
        <f t="shared" ca="1" si="12"/>
        <v>116.91584045810217</v>
      </c>
      <c r="T42" s="25">
        <f t="shared" ca="1" si="13"/>
        <v>10130915.3664134</v>
      </c>
      <c r="V42" s="25">
        <f t="shared" ca="1" si="14"/>
        <v>130915.36641339958</v>
      </c>
      <c r="X42" s="14">
        <v>-99211.168182816356</v>
      </c>
    </row>
    <row r="43" spans="1:24">
      <c r="A43" s="1">
        <v>39</v>
      </c>
      <c r="B43" s="9">
        <v>38994</v>
      </c>
      <c r="C43" s="37">
        <v>11850.61</v>
      </c>
      <c r="D43" s="38">
        <v>11241.48265</v>
      </c>
      <c r="E43" s="38">
        <v>6669.90229666286</v>
      </c>
      <c r="F43" s="38">
        <v>136.3159010001695</v>
      </c>
      <c r="I43" s="28">
        <f t="shared" si="5"/>
        <v>1.0456475068547598E-2</v>
      </c>
      <c r="J43" s="28">
        <f t="shared" si="6"/>
        <v>2.2894202783686262E-3</v>
      </c>
      <c r="K43" s="28">
        <f t="shared" si="7"/>
        <v>2.9490825941486582E-3</v>
      </c>
      <c r="L43" s="28">
        <f t="shared" si="8"/>
        <v>-1.0634320037706617E-2</v>
      </c>
      <c r="N43" s="27">
        <f t="shared" ca="1" si="9"/>
        <v>10962.477802442942</v>
      </c>
      <c r="O43" s="27">
        <f t="shared" ca="1" si="10"/>
        <v>9423.9100723399188</v>
      </c>
      <c r="P43" s="27">
        <f t="shared" ca="1" si="11"/>
        <v>6227.0042869812141</v>
      </c>
      <c r="Q43" s="27">
        <f t="shared" ca="1" si="12"/>
        <v>112.74888556326638</v>
      </c>
      <c r="T43" s="25">
        <f t="shared" ca="1" si="13"/>
        <v>9926373.3229891472</v>
      </c>
      <c r="V43" s="25">
        <f t="shared" ca="1" si="14"/>
        <v>-73626.677010852844</v>
      </c>
      <c r="X43" s="14">
        <v>-98882.473997417837</v>
      </c>
    </row>
    <row r="44" spans="1:24">
      <c r="A44" s="1">
        <v>40</v>
      </c>
      <c r="B44" s="9">
        <v>38995</v>
      </c>
      <c r="C44" s="37">
        <v>11866.69</v>
      </c>
      <c r="D44" s="38">
        <v>11269.84605</v>
      </c>
      <c r="E44" s="38">
        <v>6710.480903438649</v>
      </c>
      <c r="F44" s="38">
        <v>139.76828957430538</v>
      </c>
      <c r="I44" s="28">
        <f t="shared" si="5"/>
        <v>1.3559724305721786E-3</v>
      </c>
      <c r="J44" s="28">
        <f t="shared" si="6"/>
        <v>2.5199236692768157E-3</v>
      </c>
      <c r="K44" s="28">
        <f t="shared" si="7"/>
        <v>6.0654064346666774E-3</v>
      </c>
      <c r="L44" s="28">
        <f t="shared" si="8"/>
        <v>2.5010983316426538E-2</v>
      </c>
      <c r="N44" s="27">
        <f t="shared" ca="1" si="9"/>
        <v>11007.195304553852</v>
      </c>
      <c r="O44" s="27">
        <f t="shared" ca="1" si="10"/>
        <v>9531.3191838184284</v>
      </c>
      <c r="P44" s="27">
        <f t="shared" ca="1" si="11"/>
        <v>6374.0094309519827</v>
      </c>
      <c r="Q44" s="27">
        <f t="shared" ca="1" si="12"/>
        <v>109.55166616312955</v>
      </c>
      <c r="T44" s="25">
        <f t="shared" ca="1" si="13"/>
        <v>9943199.2097552195</v>
      </c>
      <c r="V44" s="25">
        <f t="shared" ca="1" si="14"/>
        <v>-56800.790244780481</v>
      </c>
      <c r="X44" s="14">
        <v>-98386.4636639487</v>
      </c>
    </row>
    <row r="45" spans="1:24">
      <c r="A45" s="1">
        <v>41</v>
      </c>
      <c r="B45" s="9">
        <v>38996</v>
      </c>
      <c r="C45" s="37">
        <v>11850.21</v>
      </c>
      <c r="D45" s="38">
        <v>11220.44364</v>
      </c>
      <c r="E45" s="38">
        <v>6648.2819383259921</v>
      </c>
      <c r="F45" s="38">
        <v>138.12975880326078</v>
      </c>
      <c r="I45" s="28">
        <f t="shared" si="5"/>
        <v>-1.3897265369736099E-3</v>
      </c>
      <c r="J45" s="28">
        <f t="shared" si="6"/>
        <v>-4.3932283788553836E-3</v>
      </c>
      <c r="K45" s="28">
        <f t="shared" si="7"/>
        <v>-9.3121519290547978E-3</v>
      </c>
      <c r="L45" s="28">
        <f t="shared" si="8"/>
        <v>-1.1792452438379652E-2</v>
      </c>
      <c r="N45" s="27">
        <f t="shared" ca="1" si="9"/>
        <v>11079.533099383803</v>
      </c>
      <c r="O45" s="27">
        <f t="shared" ca="1" si="10"/>
        <v>9730.1466760859876</v>
      </c>
      <c r="P45" s="27">
        <f t="shared" ca="1" si="11"/>
        <v>6352.3196384846642</v>
      </c>
      <c r="Q45" s="27">
        <f t="shared" ca="1" si="12"/>
        <v>114.24159248282432</v>
      </c>
      <c r="T45" s="25">
        <f t="shared" ca="1" si="13"/>
        <v>10111225.75264948</v>
      </c>
      <c r="V45" s="25">
        <f t="shared" ca="1" si="14"/>
        <v>111225.75264948048</v>
      </c>
      <c r="X45" s="14">
        <v>-98216.777972823009</v>
      </c>
    </row>
    <row r="46" spans="1:24">
      <c r="A46" s="1">
        <v>42</v>
      </c>
      <c r="B46" s="9">
        <v>39000</v>
      </c>
      <c r="C46" s="37">
        <v>11867.17</v>
      </c>
      <c r="D46" s="38">
        <v>11269.10939</v>
      </c>
      <c r="E46" s="38">
        <v>6658.0438871473352</v>
      </c>
      <c r="F46" s="38">
        <v>137.71207689093188</v>
      </c>
      <c r="I46" s="28">
        <f t="shared" si="5"/>
        <v>1.4301750775872104E-3</v>
      </c>
      <c r="J46" s="28">
        <f t="shared" si="6"/>
        <v>4.3278606645242726E-3</v>
      </c>
      <c r="K46" s="28">
        <f t="shared" si="7"/>
        <v>1.4672646229662244E-3</v>
      </c>
      <c r="L46" s="28">
        <f t="shared" si="8"/>
        <v>-3.0284182999445915E-3</v>
      </c>
      <c r="N46" s="27">
        <f t="shared" ca="1" si="9"/>
        <v>11075.685327538307</v>
      </c>
      <c r="O46" s="27">
        <f t="shared" ca="1" si="10"/>
        <v>9487.804268276228</v>
      </c>
      <c r="P46" s="27">
        <f t="shared" ca="1" si="11"/>
        <v>6179.0581729754686</v>
      </c>
      <c r="Q46" s="27">
        <f t="shared" ca="1" si="12"/>
        <v>112.53568804854653</v>
      </c>
      <c r="T46" s="25">
        <f t="shared" ca="1" si="13"/>
        <v>9975912.3443808723</v>
      </c>
      <c r="V46" s="25">
        <f t="shared" ca="1" si="14"/>
        <v>-24087.655619127676</v>
      </c>
      <c r="X46" s="45">
        <v>-95861.091478994116</v>
      </c>
    </row>
    <row r="47" spans="1:24">
      <c r="A47" s="1">
        <v>43</v>
      </c>
      <c r="B47" s="9">
        <v>39001</v>
      </c>
      <c r="C47" s="37">
        <v>11852.13</v>
      </c>
      <c r="D47" s="38">
        <v>11275.45275</v>
      </c>
      <c r="E47" s="38">
        <v>6667.3233780900982</v>
      </c>
      <c r="F47" s="38">
        <v>137.13997825905176</v>
      </c>
      <c r="I47" s="28">
        <f t="shared" si="5"/>
        <v>-1.2681657566341817E-3</v>
      </c>
      <c r="J47" s="28">
        <f t="shared" si="6"/>
        <v>5.6273970884925418E-4</v>
      </c>
      <c r="K47" s="28">
        <f t="shared" si="7"/>
        <v>1.3927559755859574E-3</v>
      </c>
      <c r="L47" s="28">
        <f t="shared" si="8"/>
        <v>-4.1629629277168002E-3</v>
      </c>
      <c r="N47" s="27">
        <f t="shared" ca="1" si="9"/>
        <v>11068.796356554454</v>
      </c>
      <c r="O47" s="27">
        <f t="shared" ca="1" si="10"/>
        <v>9788.7990429918173</v>
      </c>
      <c r="P47" s="27">
        <f t="shared" ca="1" si="11"/>
        <v>6136.2297033513014</v>
      </c>
      <c r="Q47" s="27">
        <f t="shared" ca="1" si="12"/>
        <v>112.29649983879948</v>
      </c>
      <c r="T47" s="25">
        <f t="shared" ca="1" si="13"/>
        <v>10056326.669726724</v>
      </c>
      <c r="V47" s="25">
        <f t="shared" ca="1" si="14"/>
        <v>56326.669726723805</v>
      </c>
      <c r="X47" s="14">
        <v>-94583.314850714058</v>
      </c>
    </row>
    <row r="48" spans="1:24">
      <c r="A48" s="1">
        <v>44</v>
      </c>
      <c r="B48" s="9">
        <v>39002</v>
      </c>
      <c r="C48" s="37">
        <v>11947.7</v>
      </c>
      <c r="D48" s="38">
        <v>11364.80558</v>
      </c>
      <c r="E48" s="38">
        <v>6722.0536609829496</v>
      </c>
      <c r="F48" s="38">
        <v>136.96602794745209</v>
      </c>
      <c r="I48" s="28">
        <f t="shared" si="5"/>
        <v>8.0311929697548488E-3</v>
      </c>
      <c r="J48" s="28">
        <f t="shared" si="6"/>
        <v>7.8933104578244873E-3</v>
      </c>
      <c r="K48" s="28">
        <f t="shared" si="7"/>
        <v>8.1752254125823341E-3</v>
      </c>
      <c r="L48" s="28">
        <f t="shared" si="8"/>
        <v>-1.2692194334498574E-3</v>
      </c>
      <c r="N48" s="27">
        <f t="shared" ca="1" si="9"/>
        <v>10858.986167164927</v>
      </c>
      <c r="O48" s="27">
        <f t="shared" ca="1" si="10"/>
        <v>9788.5128528382793</v>
      </c>
      <c r="P48" s="27">
        <f t="shared" ca="1" si="11"/>
        <v>6201.2665179731648</v>
      </c>
      <c r="Q48" s="27">
        <f t="shared" ca="1" si="12"/>
        <v>110.70125559693952</v>
      </c>
      <c r="T48" s="25">
        <f t="shared" ca="1" si="13"/>
        <v>9962305.5310056396</v>
      </c>
      <c r="V48" s="25">
        <f t="shared" ca="1" si="14"/>
        <v>-37694.468994360417</v>
      </c>
      <c r="X48" s="14">
        <v>-94544.633399801329</v>
      </c>
    </row>
    <row r="49" spans="1:24">
      <c r="A49" s="1">
        <v>45</v>
      </c>
      <c r="B49" s="9">
        <v>39003</v>
      </c>
      <c r="C49" s="37">
        <v>11960.51</v>
      </c>
      <c r="D49" s="38">
        <v>11424.870150000001</v>
      </c>
      <c r="E49" s="38">
        <v>6688.1934032983499</v>
      </c>
      <c r="F49" s="38">
        <v>137.95395011262201</v>
      </c>
      <c r="I49" s="28">
        <f t="shared" si="5"/>
        <v>1.0715985199924473E-3</v>
      </c>
      <c r="J49" s="28">
        <f t="shared" si="6"/>
        <v>5.2712210379751408E-3</v>
      </c>
      <c r="K49" s="28">
        <f t="shared" si="7"/>
        <v>-5.0499188389371424E-3</v>
      </c>
      <c r="L49" s="28">
        <f t="shared" si="8"/>
        <v>7.1870107409158935E-3</v>
      </c>
      <c r="N49" s="27">
        <f t="shared" ca="1" si="9"/>
        <v>10949.831149689737</v>
      </c>
      <c r="O49" s="27">
        <f t="shared" ca="1" si="10"/>
        <v>9889.7587216481879</v>
      </c>
      <c r="P49" s="27">
        <f t="shared" ca="1" si="11"/>
        <v>6319.131497363619</v>
      </c>
      <c r="Q49" s="27">
        <f t="shared" ca="1" si="12"/>
        <v>112.45797372925382</v>
      </c>
      <c r="T49" s="25">
        <f t="shared" ca="1" si="13"/>
        <v>10077064.26632572</v>
      </c>
      <c r="V49" s="25">
        <f t="shared" ca="1" si="14"/>
        <v>77064.266325719655</v>
      </c>
      <c r="X49" s="14">
        <v>-93563.85272154212</v>
      </c>
    </row>
    <row r="50" spans="1:24">
      <c r="A50" s="1">
        <v>46</v>
      </c>
      <c r="B50" s="9">
        <v>39006</v>
      </c>
      <c r="C50" s="37">
        <v>11980.59</v>
      </c>
      <c r="D50" s="38">
        <v>11481.89848</v>
      </c>
      <c r="E50" s="38">
        <v>6710.8510638297876</v>
      </c>
      <c r="F50" s="38">
        <v>139.98121593291404</v>
      </c>
      <c r="I50" s="28">
        <f t="shared" si="5"/>
        <v>1.6774504687329626E-3</v>
      </c>
      <c r="J50" s="28">
        <f t="shared" si="6"/>
        <v>4.9791787521566242E-3</v>
      </c>
      <c r="K50" s="28">
        <f t="shared" si="7"/>
        <v>3.3819847651386666E-3</v>
      </c>
      <c r="L50" s="28">
        <f t="shared" si="8"/>
        <v>1.4588307067070219E-2</v>
      </c>
      <c r="N50" s="27">
        <f t="shared" ca="1" si="9"/>
        <v>10930.033933405093</v>
      </c>
      <c r="O50" s="27">
        <f t="shared" ca="1" si="10"/>
        <v>9538.761966821945</v>
      </c>
      <c r="P50" s="27">
        <f t="shared" ca="1" si="11"/>
        <v>6105.0076825774722</v>
      </c>
      <c r="Q50" s="27">
        <f t="shared" ca="1" si="12"/>
        <v>112.46107398176578</v>
      </c>
      <c r="T50" s="25">
        <f t="shared" ca="1" si="13"/>
        <v>9925713.1053645704</v>
      </c>
      <c r="V50" s="25">
        <f t="shared" ca="1" si="14"/>
        <v>-74286.894635429606</v>
      </c>
      <c r="X50" s="14">
        <v>-93019.894059438258</v>
      </c>
    </row>
    <row r="51" spans="1:24">
      <c r="A51" s="1">
        <v>47</v>
      </c>
      <c r="B51" s="9">
        <v>39007</v>
      </c>
      <c r="C51" s="37">
        <v>11950.02</v>
      </c>
      <c r="D51" s="38">
        <v>11418.805980000001</v>
      </c>
      <c r="E51" s="38">
        <v>6649.5172413793098</v>
      </c>
      <c r="F51" s="38">
        <v>139.94599831508003</v>
      </c>
      <c r="I51" s="28">
        <f t="shared" si="5"/>
        <v>-2.5548882062502161E-3</v>
      </c>
      <c r="J51" s="28">
        <f t="shared" si="6"/>
        <v>-5.5101064459251751E-3</v>
      </c>
      <c r="K51" s="28">
        <f t="shared" si="7"/>
        <v>-9.1815213354214213E-3</v>
      </c>
      <c r="L51" s="28">
        <f t="shared" si="8"/>
        <v>-2.5161982277736649E-4</v>
      </c>
      <c r="N51" s="27">
        <f t="shared" ca="1" si="9"/>
        <v>10868.53461088099</v>
      </c>
      <c r="O51" s="27">
        <f t="shared" ca="1" si="10"/>
        <v>9740.5051342157076</v>
      </c>
      <c r="P51" s="27">
        <f t="shared" ca="1" si="11"/>
        <v>5998.3349117853359</v>
      </c>
      <c r="Q51" s="27">
        <f t="shared" ca="1" si="12"/>
        <v>113.46317425252404</v>
      </c>
      <c r="T51" s="25">
        <f t="shared" ca="1" si="13"/>
        <v>9966999.9465791825</v>
      </c>
      <c r="V51" s="25">
        <f t="shared" ca="1" si="14"/>
        <v>-33000.053420817479</v>
      </c>
      <c r="X51" s="14">
        <v>-93009.311606984586</v>
      </c>
    </row>
    <row r="52" spans="1:24">
      <c r="A52" s="1">
        <v>48</v>
      </c>
      <c r="B52" s="9">
        <v>39008</v>
      </c>
      <c r="C52" s="37">
        <v>11992.68</v>
      </c>
      <c r="D52" s="38">
        <v>11482.7968</v>
      </c>
      <c r="E52" s="38">
        <v>6709.160305343511</v>
      </c>
      <c r="F52" s="38">
        <v>139.84716157205241</v>
      </c>
      <c r="I52" s="28">
        <f t="shared" si="5"/>
        <v>3.5635116460189351E-3</v>
      </c>
      <c r="J52" s="28">
        <f t="shared" si="6"/>
        <v>5.5883413181500377E-3</v>
      </c>
      <c r="K52" s="28">
        <f t="shared" si="7"/>
        <v>8.9295456181569151E-3</v>
      </c>
      <c r="L52" s="28">
        <f t="shared" si="8"/>
        <v>-7.0649866621906219E-4</v>
      </c>
      <c r="N52" s="27">
        <f t="shared" ca="1" si="9"/>
        <v>11098.899951698562</v>
      </c>
      <c r="O52" s="27">
        <f t="shared" ca="1" si="10"/>
        <v>9802.6288676398563</v>
      </c>
      <c r="P52" s="27">
        <f t="shared" ca="1" si="11"/>
        <v>6276.1235653580025</v>
      </c>
      <c r="Q52" s="27">
        <f t="shared" ca="1" si="12"/>
        <v>113.34130924428773</v>
      </c>
      <c r="T52" s="25">
        <f t="shared" ca="1" si="13"/>
        <v>10112656.830512404</v>
      </c>
      <c r="V52" s="25">
        <f t="shared" ca="1" si="14"/>
        <v>112656.83051240444</v>
      </c>
      <c r="X52" s="14">
        <v>-90672.213467748836</v>
      </c>
    </row>
    <row r="53" spans="1:24">
      <c r="A53" s="1">
        <v>49</v>
      </c>
      <c r="B53" s="9">
        <v>39009</v>
      </c>
      <c r="C53" s="37">
        <v>12011.73</v>
      </c>
      <c r="D53" s="38">
        <v>11547.424799999999</v>
      </c>
      <c r="E53" s="38">
        <v>6752.0030234315946</v>
      </c>
      <c r="F53" s="38">
        <v>139.89823345448397</v>
      </c>
      <c r="I53" s="28">
        <f t="shared" si="5"/>
        <v>1.5872086836776135E-3</v>
      </c>
      <c r="J53" s="28">
        <f t="shared" si="6"/>
        <v>5.6124661559666849E-3</v>
      </c>
      <c r="K53" s="28">
        <f t="shared" si="7"/>
        <v>6.3654027072230796E-3</v>
      </c>
      <c r="L53" s="28">
        <f t="shared" si="8"/>
        <v>3.6513117932922615E-4</v>
      </c>
      <c r="N53" s="27">
        <f t="shared" ca="1" si="9"/>
        <v>11039.123691278754</v>
      </c>
      <c r="O53" s="27">
        <f t="shared" ca="1" si="10"/>
        <v>9379.6381971388982</v>
      </c>
      <c r="P53" s="27">
        <f t="shared" ca="1" si="11"/>
        <v>6248.5003456352651</v>
      </c>
      <c r="Q53" s="27">
        <f t="shared" ca="1" si="12"/>
        <v>113.82844174026533</v>
      </c>
      <c r="T53" s="25">
        <f t="shared" ca="1" si="13"/>
        <v>9962957.8641849644</v>
      </c>
      <c r="V53" s="25">
        <f t="shared" ca="1" si="14"/>
        <v>-37042.135815035552</v>
      </c>
      <c r="X53" s="14">
        <v>-90072.51365996711</v>
      </c>
    </row>
    <row r="54" spans="1:24">
      <c r="A54" s="1">
        <v>50</v>
      </c>
      <c r="B54" s="9">
        <v>39010</v>
      </c>
      <c r="C54" s="37">
        <v>12002.37</v>
      </c>
      <c r="D54" s="38">
        <v>11574.8536</v>
      </c>
      <c r="E54" s="38">
        <v>6774.2281033396348</v>
      </c>
      <c r="F54" s="38">
        <v>140.20063989222868</v>
      </c>
      <c r="I54" s="28">
        <f t="shared" si="5"/>
        <v>-7.795420585400666E-4</v>
      </c>
      <c r="J54" s="28">
        <f t="shared" si="6"/>
        <v>2.37250087481382E-3</v>
      </c>
      <c r="K54" s="28">
        <f t="shared" si="7"/>
        <v>3.2862221118255814E-3</v>
      </c>
      <c r="L54" s="28">
        <f t="shared" si="8"/>
        <v>2.1592843386277934E-3</v>
      </c>
      <c r="N54" s="27">
        <f t="shared" ca="1" si="9"/>
        <v>11161.101676445314</v>
      </c>
      <c r="O54" s="27">
        <f t="shared" ca="1" si="10"/>
        <v>9442.2362589609584</v>
      </c>
      <c r="P54" s="27">
        <f t="shared" ca="1" si="11"/>
        <v>6271.6270860754566</v>
      </c>
      <c r="Q54" s="27">
        <f t="shared" ca="1" si="12"/>
        <v>113.28204673292271</v>
      </c>
      <c r="T54" s="25">
        <f t="shared" ca="1" si="13"/>
        <v>10020830.747152954</v>
      </c>
      <c r="V54" s="25">
        <f t="shared" ca="1" si="14"/>
        <v>20830.74715295434</v>
      </c>
      <c r="X54" s="14">
        <v>-87754.177740531042</v>
      </c>
    </row>
    <row r="55" spans="1:24">
      <c r="A55" s="1">
        <v>51</v>
      </c>
      <c r="B55" s="9">
        <v>39013</v>
      </c>
      <c r="C55" s="37">
        <v>12116.91</v>
      </c>
      <c r="D55" s="38">
        <v>11542.939200000001</v>
      </c>
      <c r="E55" s="38">
        <v>6792.7827287561195</v>
      </c>
      <c r="F55" s="38">
        <v>140.71595004609838</v>
      </c>
      <c r="I55" s="28">
        <f t="shared" si="5"/>
        <v>9.4978673532736431E-3</v>
      </c>
      <c r="J55" s="28">
        <f t="shared" si="6"/>
        <v>-2.7610265867883707E-3</v>
      </c>
      <c r="K55" s="28">
        <f t="shared" si="7"/>
        <v>2.7352579303370653E-3</v>
      </c>
      <c r="L55" s="28">
        <f t="shared" si="8"/>
        <v>3.6687810569463056E-3</v>
      </c>
      <c r="N55" s="27">
        <f t="shared" ca="1" si="9"/>
        <v>11177.17378900628</v>
      </c>
      <c r="O55" s="27">
        <f t="shared" ca="1" si="10"/>
        <v>9584.5362447026801</v>
      </c>
      <c r="P55" s="27">
        <f t="shared" ca="1" si="11"/>
        <v>6212.3827244165795</v>
      </c>
      <c r="Q55" s="27">
        <f t="shared" ca="1" si="12"/>
        <v>114.90152653730291</v>
      </c>
      <c r="T55" s="25">
        <f t="shared" ca="1" si="13"/>
        <v>10090286.290080521</v>
      </c>
      <c r="V55" s="25">
        <f t="shared" ca="1" si="14"/>
        <v>90286.290080521256</v>
      </c>
      <c r="X55" s="14">
        <v>-87709.591546796262</v>
      </c>
    </row>
    <row r="56" spans="1:24">
      <c r="A56" s="1">
        <v>52</v>
      </c>
      <c r="B56" s="9">
        <v>39014</v>
      </c>
      <c r="C56" s="37">
        <v>12127.88</v>
      </c>
      <c r="D56" s="38">
        <v>11571.166999999999</v>
      </c>
      <c r="E56" s="38">
        <v>6780.2534186425792</v>
      </c>
      <c r="F56" s="38">
        <v>140.45760441951955</v>
      </c>
      <c r="I56" s="28">
        <f t="shared" si="5"/>
        <v>9.0493675124593402E-4</v>
      </c>
      <c r="J56" s="28">
        <f t="shared" si="6"/>
        <v>2.4424750659989198E-3</v>
      </c>
      <c r="K56" s="28">
        <f t="shared" si="7"/>
        <v>-1.8462064841350289E-3</v>
      </c>
      <c r="L56" s="28">
        <f t="shared" si="8"/>
        <v>-1.8376244506326633E-3</v>
      </c>
      <c r="N56" s="27">
        <f t="shared" ca="1" si="9"/>
        <v>11004.221696519597</v>
      </c>
      <c r="O56" s="27">
        <f t="shared" ca="1" si="10"/>
        <v>9638.5143448474464</v>
      </c>
      <c r="P56" s="27">
        <f t="shared" ca="1" si="11"/>
        <v>6105.2312442046114</v>
      </c>
      <c r="Q56" s="27">
        <f t="shared" ca="1" si="12"/>
        <v>109.56507815862122</v>
      </c>
      <c r="T56" s="25">
        <f t="shared" ca="1" si="13"/>
        <v>9932508.1077416334</v>
      </c>
      <c r="V56" s="25">
        <f t="shared" ca="1" si="14"/>
        <v>-67491.89225836657</v>
      </c>
      <c r="X56" s="14">
        <v>-86551.935347989202</v>
      </c>
    </row>
    <row r="57" spans="1:24">
      <c r="A57" s="1">
        <v>53</v>
      </c>
      <c r="B57" s="9">
        <v>39015</v>
      </c>
      <c r="C57" s="37">
        <v>12134.68</v>
      </c>
      <c r="D57" s="38">
        <v>11664.18274</v>
      </c>
      <c r="E57" s="38">
        <v>6825.6294058408857</v>
      </c>
      <c r="F57" s="38">
        <v>140.17711743473515</v>
      </c>
      <c r="I57" s="28">
        <f t="shared" si="5"/>
        <v>5.6053443478735197E-4</v>
      </c>
      <c r="J57" s="28">
        <f t="shared" si="6"/>
        <v>8.0064417298198447E-3</v>
      </c>
      <c r="K57" s="28">
        <f t="shared" si="7"/>
        <v>6.6700788202906152E-3</v>
      </c>
      <c r="L57" s="28">
        <f t="shared" si="8"/>
        <v>-1.9989477875611821E-3</v>
      </c>
      <c r="N57" s="27">
        <f t="shared" ca="1" si="9"/>
        <v>11251.46311867238</v>
      </c>
      <c r="O57" s="27">
        <f t="shared" ca="1" si="10"/>
        <v>9806.3070695365677</v>
      </c>
      <c r="P57" s="27">
        <f t="shared" ca="1" si="11"/>
        <v>6360.4471496733677</v>
      </c>
      <c r="Q57" s="27">
        <f t="shared" ca="1" si="12"/>
        <v>112.09175147509731</v>
      </c>
      <c r="T57" s="25">
        <f t="shared" ca="1" si="13"/>
        <v>10160621.534579996</v>
      </c>
      <c r="V57" s="25">
        <f t="shared" ca="1" si="14"/>
        <v>160621.53457999602</v>
      </c>
      <c r="X57" s="14">
        <v>-86381.416989073157</v>
      </c>
    </row>
    <row r="58" spans="1:24">
      <c r="A58" s="1">
        <v>54</v>
      </c>
      <c r="B58" s="9">
        <v>39016</v>
      </c>
      <c r="C58" s="37">
        <v>12163.66</v>
      </c>
      <c r="D58" s="38">
        <v>11672.573039999999</v>
      </c>
      <c r="E58" s="38">
        <v>6884.3152160141899</v>
      </c>
      <c r="F58" s="38">
        <v>141.75042158516018</v>
      </c>
      <c r="I58" s="28">
        <f t="shared" si="5"/>
        <v>2.3853492659238786E-3</v>
      </c>
      <c r="J58" s="28">
        <f t="shared" si="6"/>
        <v>7.190631329063149E-4</v>
      </c>
      <c r="K58" s="28">
        <f t="shared" si="7"/>
        <v>8.5611095052266287E-3</v>
      </c>
      <c r="L58" s="28">
        <f t="shared" si="8"/>
        <v>1.1161169201784713E-2</v>
      </c>
      <c r="N58" s="27">
        <f t="shared" ca="1" si="9"/>
        <v>11038.54448258638</v>
      </c>
      <c r="O58" s="27">
        <f t="shared" ca="1" si="10"/>
        <v>9300.8811127831905</v>
      </c>
      <c r="P58" s="27">
        <f t="shared" ca="1" si="11"/>
        <v>6248.6179975877012</v>
      </c>
      <c r="Q58" s="27">
        <f t="shared" ca="1" si="12"/>
        <v>113.79333953988133</v>
      </c>
      <c r="T58" s="25">
        <f t="shared" ca="1" si="13"/>
        <v>9937532.5325453263</v>
      </c>
      <c r="V58" s="25">
        <f t="shared" ca="1" si="14"/>
        <v>-62467.467454673722</v>
      </c>
      <c r="X58" s="14">
        <v>-85184.338588638231</v>
      </c>
    </row>
    <row r="59" spans="1:24">
      <c r="A59" s="1">
        <v>55</v>
      </c>
      <c r="B59" s="9">
        <v>39017</v>
      </c>
      <c r="C59" s="37">
        <v>12090.26</v>
      </c>
      <c r="D59" s="38">
        <v>11685.37903</v>
      </c>
      <c r="E59" s="38">
        <v>6865.1781170483455</v>
      </c>
      <c r="F59" s="38">
        <v>141.73174049825695</v>
      </c>
      <c r="I59" s="28">
        <f t="shared" si="5"/>
        <v>-6.0526483208655233E-3</v>
      </c>
      <c r="J59" s="28">
        <f t="shared" si="6"/>
        <v>1.0964994914527111E-3</v>
      </c>
      <c r="K59" s="28">
        <f t="shared" si="7"/>
        <v>-2.7836824033985229E-3</v>
      </c>
      <c r="L59" s="28">
        <f t="shared" si="8"/>
        <v>-1.3179726578187295E-4</v>
      </c>
      <c r="N59" s="27">
        <f t="shared" ca="1" si="9"/>
        <v>11015.830855210956</v>
      </c>
      <c r="O59" s="27">
        <f t="shared" ca="1" si="10"/>
        <v>9719.645151403709</v>
      </c>
      <c r="P59" s="27">
        <f t="shared" ca="1" si="11"/>
        <v>6089.8673557483326</v>
      </c>
      <c r="Q59" s="27">
        <f t="shared" ca="1" si="12"/>
        <v>112.6282700030057</v>
      </c>
      <c r="T59" s="25">
        <f t="shared" ca="1" si="13"/>
        <v>10013898.19177088</v>
      </c>
      <c r="V59" s="25">
        <f t="shared" ca="1" si="14"/>
        <v>13898.191770879552</v>
      </c>
      <c r="X59" s="14">
        <v>-84782.405939644203</v>
      </c>
    </row>
    <row r="60" spans="1:24">
      <c r="A60" s="1">
        <v>56</v>
      </c>
      <c r="B60" s="9">
        <v>39020</v>
      </c>
      <c r="C60" s="37">
        <v>12086.49</v>
      </c>
      <c r="D60" s="38">
        <v>11656.237000000001</v>
      </c>
      <c r="E60" s="38">
        <v>6819.5726821823728</v>
      </c>
      <c r="F60" s="38">
        <v>139.18837248893428</v>
      </c>
      <c r="I60" s="28">
        <f t="shared" si="5"/>
        <v>-3.1186987751100547E-4</v>
      </c>
      <c r="J60" s="28">
        <f t="shared" si="6"/>
        <v>-2.4970032155714468E-3</v>
      </c>
      <c r="K60" s="28">
        <f t="shared" si="7"/>
        <v>-6.6651712359512413E-3</v>
      </c>
      <c r="L60" s="28">
        <f t="shared" si="8"/>
        <v>-1.8107906042293839E-2</v>
      </c>
      <c r="N60" s="27">
        <f t="shared" ca="1" si="9"/>
        <v>11075.616562480061</v>
      </c>
      <c r="O60" s="27">
        <f t="shared" ca="1" si="10"/>
        <v>9567.2825070308209</v>
      </c>
      <c r="P60" s="27">
        <f t="shared" ca="1" si="11"/>
        <v>6208.2561753862565</v>
      </c>
      <c r="Q60" s="27">
        <f t="shared" ca="1" si="12"/>
        <v>111.16436807728988</v>
      </c>
      <c r="T60" s="25">
        <f t="shared" ca="1" si="13"/>
        <v>9981124.238977788</v>
      </c>
      <c r="V60" s="25">
        <f t="shared" ca="1" si="14"/>
        <v>-18875.761022211984</v>
      </c>
      <c r="X60" s="14">
        <v>-84386.949005953968</v>
      </c>
    </row>
    <row r="61" spans="1:24">
      <c r="A61" s="1">
        <v>57</v>
      </c>
      <c r="B61" s="9">
        <v>39021</v>
      </c>
      <c r="C61" s="37">
        <v>12080.73</v>
      </c>
      <c r="D61" s="38">
        <v>11690.22316</v>
      </c>
      <c r="E61" s="38">
        <v>6826.7134652201657</v>
      </c>
      <c r="F61" s="38">
        <v>139.98625693555269</v>
      </c>
      <c r="I61" s="28">
        <f t="shared" si="5"/>
        <v>-4.7667874989905531E-4</v>
      </c>
      <c r="J61" s="28">
        <f t="shared" si="6"/>
        <v>2.9114635601622243E-3</v>
      </c>
      <c r="K61" s="28">
        <f t="shared" si="7"/>
        <v>1.0465534156942737E-3</v>
      </c>
      <c r="L61" s="28">
        <f t="shared" si="8"/>
        <v>5.7160396036643095E-3</v>
      </c>
      <c r="N61" s="27">
        <f t="shared" ca="1" si="9"/>
        <v>11027.771746741657</v>
      </c>
      <c r="O61" s="27">
        <f t="shared" ca="1" si="10"/>
        <v>9489.58334524573</v>
      </c>
      <c r="P61" s="27">
        <f t="shared" ca="1" si="11"/>
        <v>6153.2153832230806</v>
      </c>
      <c r="Q61" s="27">
        <f t="shared" ca="1" si="12"/>
        <v>111.36481899260434</v>
      </c>
      <c r="T61" s="25">
        <f t="shared" ca="1" si="13"/>
        <v>9934156.1178094149</v>
      </c>
      <c r="V61" s="25">
        <f t="shared" ca="1" si="14"/>
        <v>-65843.882190585136</v>
      </c>
      <c r="X61" s="14">
        <v>-84346.644039953128</v>
      </c>
    </row>
    <row r="62" spans="1:24">
      <c r="A62" s="1">
        <v>58</v>
      </c>
      <c r="B62" s="9">
        <v>39022</v>
      </c>
      <c r="C62" s="37">
        <v>12031.02</v>
      </c>
      <c r="D62" s="38">
        <v>11727.287200000001</v>
      </c>
      <c r="E62" s="38">
        <v>6861.0884006131828</v>
      </c>
      <c r="F62" s="38">
        <v>139.99538343164915</v>
      </c>
      <c r="I62" s="28">
        <f t="shared" si="5"/>
        <v>-4.1233067221872607E-3</v>
      </c>
      <c r="J62" s="28">
        <f t="shared" si="6"/>
        <v>3.1655005489391696E-3</v>
      </c>
      <c r="K62" s="28">
        <f t="shared" si="7"/>
        <v>5.0227213977418542E-3</v>
      </c>
      <c r="L62" s="28">
        <f t="shared" si="8"/>
        <v>6.5193532602568654E-5</v>
      </c>
      <c r="N62" s="27">
        <f t="shared" ca="1" si="9"/>
        <v>11116.853675200146</v>
      </c>
      <c r="O62" s="27">
        <f t="shared" ca="1" si="10"/>
        <v>9690.4032383872654</v>
      </c>
      <c r="P62" s="27">
        <f t="shared" ca="1" si="11"/>
        <v>6093.0819219687855</v>
      </c>
      <c r="Q62" s="27">
        <f t="shared" ca="1" si="12"/>
        <v>111.7141839764366</v>
      </c>
      <c r="T62" s="25">
        <f t="shared" ca="1" si="13"/>
        <v>10025736.467911113</v>
      </c>
      <c r="V62" s="25">
        <f t="shared" ca="1" si="14"/>
        <v>25736.467911113054</v>
      </c>
      <c r="X62" s="14">
        <v>-84166.248345917091</v>
      </c>
    </row>
    <row r="63" spans="1:24">
      <c r="A63" s="1">
        <v>59</v>
      </c>
      <c r="B63" s="9">
        <v>39023</v>
      </c>
      <c r="C63" s="37">
        <v>12018.54</v>
      </c>
      <c r="D63" s="38">
        <v>11727.944960000001</v>
      </c>
      <c r="E63" s="38">
        <v>6779.9668028600609</v>
      </c>
      <c r="F63" s="38">
        <v>139.61250106737256</v>
      </c>
      <c r="I63" s="28">
        <f t="shared" si="5"/>
        <v>-1.0378569188153905E-3</v>
      </c>
      <c r="J63" s="28">
        <f t="shared" si="6"/>
        <v>5.6086419924227279E-5</v>
      </c>
      <c r="K63" s="28">
        <f t="shared" si="7"/>
        <v>-1.1893882527309581E-2</v>
      </c>
      <c r="L63" s="28">
        <f t="shared" si="8"/>
        <v>-2.7387110651848766E-3</v>
      </c>
      <c r="N63" s="27">
        <f t="shared" ca="1" si="9"/>
        <v>10986.985747461067</v>
      </c>
      <c r="O63" s="27">
        <f t="shared" ca="1" si="10"/>
        <v>9754.1462269664753</v>
      </c>
      <c r="P63" s="27">
        <f t="shared" ca="1" si="11"/>
        <v>6154.7428970493929</v>
      </c>
      <c r="Q63" s="27">
        <f t="shared" ca="1" si="12"/>
        <v>112.40249285751069</v>
      </c>
      <c r="T63" s="25">
        <f t="shared" ca="1" si="13"/>
        <v>10020672.527828243</v>
      </c>
      <c r="V63" s="25">
        <f t="shared" ca="1" si="14"/>
        <v>20672.52782824263</v>
      </c>
      <c r="X63" s="14">
        <v>-83866.304659340531</v>
      </c>
    </row>
    <row r="64" spans="1:24">
      <c r="A64" s="1">
        <v>60</v>
      </c>
      <c r="B64" s="9">
        <v>39027</v>
      </c>
      <c r="C64" s="37">
        <v>12105.55</v>
      </c>
      <c r="D64" s="38">
        <v>11804.76425</v>
      </c>
      <c r="E64" s="38">
        <v>6867.9888126112382</v>
      </c>
      <c r="F64" s="38">
        <v>138.26258871240285</v>
      </c>
      <c r="I64" s="28">
        <f t="shared" si="5"/>
        <v>7.2135676247957799E-3</v>
      </c>
      <c r="J64" s="28">
        <f t="shared" si="6"/>
        <v>6.5287478955286388E-3</v>
      </c>
      <c r="K64" s="28">
        <f t="shared" si="7"/>
        <v>1.2899108511830742E-2</v>
      </c>
      <c r="L64" s="28">
        <f t="shared" si="8"/>
        <v>-9.7160416610085829E-3</v>
      </c>
      <c r="N64" s="27">
        <f t="shared" ca="1" si="9"/>
        <v>11061.423300135823</v>
      </c>
      <c r="O64" s="27">
        <f t="shared" ca="1" si="10"/>
        <v>9631.0071507156772</v>
      </c>
      <c r="P64" s="27">
        <f t="shared" ca="1" si="11"/>
        <v>6397.4840988164433</v>
      </c>
      <c r="Q64" s="27">
        <f t="shared" ca="1" si="12"/>
        <v>112.2190807891196</v>
      </c>
      <c r="T64" s="25">
        <f t="shared" ca="1" si="13"/>
        <v>10045103.14116635</v>
      </c>
      <c r="V64" s="25">
        <f t="shared" ca="1" si="14"/>
        <v>45103.141166349873</v>
      </c>
      <c r="X64" s="14">
        <v>-83478.190357273445</v>
      </c>
    </row>
    <row r="65" spans="1:24">
      <c r="A65" s="1">
        <v>61</v>
      </c>
      <c r="B65" s="9">
        <v>39028</v>
      </c>
      <c r="C65" s="37">
        <v>12156.77</v>
      </c>
      <c r="D65" s="38">
        <v>11919.796</v>
      </c>
      <c r="E65" s="38">
        <v>6960.8038914490526</v>
      </c>
      <c r="F65" s="38">
        <v>139.57777777777778</v>
      </c>
      <c r="I65" s="28">
        <f t="shared" si="5"/>
        <v>4.2221911252610976E-3</v>
      </c>
      <c r="J65" s="28">
        <f t="shared" si="6"/>
        <v>9.697347410276105E-3</v>
      </c>
      <c r="K65" s="28">
        <f t="shared" si="7"/>
        <v>1.3423655202682096E-2</v>
      </c>
      <c r="L65" s="28">
        <f t="shared" si="8"/>
        <v>9.4672988328739736E-3</v>
      </c>
      <c r="N65" s="27">
        <f t="shared" ca="1" si="9"/>
        <v>11117.780175307304</v>
      </c>
      <c r="O65" s="27">
        <f t="shared" ca="1" si="10"/>
        <v>9478.820614274071</v>
      </c>
      <c r="P65" s="27">
        <f t="shared" ca="1" si="11"/>
        <v>6188.7938838761329</v>
      </c>
      <c r="Q65" s="27">
        <f t="shared" ca="1" si="12"/>
        <v>108.7386602434531</v>
      </c>
      <c r="T65" s="25">
        <f t="shared" ca="1" si="13"/>
        <v>9922641.6906701401</v>
      </c>
      <c r="V65" s="25">
        <f t="shared" ca="1" si="14"/>
        <v>-77358.309329859912</v>
      </c>
      <c r="X65" s="14">
        <v>-82212.672838980332</v>
      </c>
    </row>
    <row r="66" spans="1:24">
      <c r="A66" s="1">
        <v>62</v>
      </c>
      <c r="B66" s="9">
        <v>39029</v>
      </c>
      <c r="C66" s="37">
        <v>12176.54</v>
      </c>
      <c r="D66" s="38">
        <v>11874.688700000001</v>
      </c>
      <c r="E66" s="38">
        <v>6936.0377599183566</v>
      </c>
      <c r="F66" s="38">
        <v>137.51475576662145</v>
      </c>
      <c r="I66" s="28">
        <f t="shared" si="5"/>
        <v>1.6249334225449299E-3</v>
      </c>
      <c r="J66" s="28">
        <f t="shared" si="6"/>
        <v>-3.7914125565456265E-3</v>
      </c>
      <c r="K66" s="28">
        <f t="shared" si="7"/>
        <v>-3.5642858098777386E-3</v>
      </c>
      <c r="L66" s="28">
        <f t="shared" si="8"/>
        <v>-1.4890766668904125E-2</v>
      </c>
      <c r="N66" s="27">
        <f t="shared" ca="1" si="9"/>
        <v>10915.436204977477</v>
      </c>
      <c r="O66" s="27">
        <f t="shared" ca="1" si="10"/>
        <v>9610.3142901773226</v>
      </c>
      <c r="P66" s="27">
        <f t="shared" ca="1" si="11"/>
        <v>6058.4373812583426</v>
      </c>
      <c r="Q66" s="27">
        <f t="shared" ca="1" si="12"/>
        <v>113.18166812536214</v>
      </c>
      <c r="T66" s="25">
        <f t="shared" ca="1" si="13"/>
        <v>9948038.930190485</v>
      </c>
      <c r="V66" s="25">
        <f t="shared" ca="1" si="14"/>
        <v>-51961.069809515029</v>
      </c>
      <c r="X66" s="14">
        <v>-81480.106768103316</v>
      </c>
    </row>
    <row r="67" spans="1:24">
      <c r="A67" s="1">
        <v>63</v>
      </c>
      <c r="B67" s="9">
        <v>39030</v>
      </c>
      <c r="C67" s="37">
        <v>12103.3</v>
      </c>
      <c r="D67" s="38">
        <v>11832.3722</v>
      </c>
      <c r="E67" s="38">
        <v>6971.0849539406354</v>
      </c>
      <c r="F67" s="38">
        <v>136.93947079212106</v>
      </c>
      <c r="I67" s="28">
        <f t="shared" si="5"/>
        <v>-6.0330069838967606E-3</v>
      </c>
      <c r="J67" s="28">
        <f t="shared" si="6"/>
        <v>-3.5699528609301886E-3</v>
      </c>
      <c r="K67" s="28">
        <f t="shared" si="7"/>
        <v>5.0401896836369383E-3</v>
      </c>
      <c r="L67" s="28">
        <f t="shared" si="8"/>
        <v>-4.1922168534326556E-3</v>
      </c>
      <c r="N67" s="27">
        <f t="shared" ca="1" si="9"/>
        <v>11209.817058249284</v>
      </c>
      <c r="O67" s="27">
        <f t="shared" ca="1" si="10"/>
        <v>9473.7242068867126</v>
      </c>
      <c r="P67" s="27">
        <f t="shared" ca="1" si="11"/>
        <v>6238.0826366267875</v>
      </c>
      <c r="Q67" s="27">
        <f t="shared" ca="1" si="12"/>
        <v>113.53700471432421</v>
      </c>
      <c r="T67" s="25">
        <f t="shared" ca="1" si="13"/>
        <v>10047459.660244521</v>
      </c>
      <c r="V67" s="25">
        <f t="shared" ca="1" si="14"/>
        <v>47459.660244520754</v>
      </c>
      <c r="X67" s="14">
        <v>-81189.656211059541</v>
      </c>
    </row>
    <row r="68" spans="1:24">
      <c r="A68" s="1">
        <v>64</v>
      </c>
      <c r="B68" s="9">
        <v>39031</v>
      </c>
      <c r="C68" s="37">
        <v>12108.43</v>
      </c>
      <c r="D68" s="38">
        <v>11870.460799999999</v>
      </c>
      <c r="E68" s="38">
        <v>7004.6290343320052</v>
      </c>
      <c r="F68" s="38">
        <v>137.16208393632417</v>
      </c>
      <c r="I68" s="28">
        <f t="shared" si="5"/>
        <v>4.2376154671872214E-4</v>
      </c>
      <c r="J68" s="28">
        <f t="shared" si="6"/>
        <v>3.2138464447814211E-3</v>
      </c>
      <c r="K68" s="28">
        <f t="shared" si="7"/>
        <v>4.800347922612587E-3</v>
      </c>
      <c r="L68" s="28">
        <f t="shared" si="8"/>
        <v>1.6243117874224623E-3</v>
      </c>
      <c r="N68" s="27">
        <f t="shared" ca="1" si="9"/>
        <v>11041.925675115335</v>
      </c>
      <c r="O68" s="27">
        <f t="shared" ca="1" si="10"/>
        <v>9595.1110872688059</v>
      </c>
      <c r="P68" s="27">
        <f t="shared" ca="1" si="11"/>
        <v>6317.4813177151818</v>
      </c>
      <c r="Q68" s="27">
        <f t="shared" ca="1" si="12"/>
        <v>112.36670971598087</v>
      </c>
      <c r="T68" s="25">
        <f t="shared" ca="1" si="13"/>
        <v>10016523.818322826</v>
      </c>
      <c r="V68" s="25">
        <f t="shared" ca="1" si="14"/>
        <v>16523.818322826177</v>
      </c>
      <c r="X68" s="14">
        <v>-81168.10127248615</v>
      </c>
    </row>
    <row r="69" spans="1:24">
      <c r="A69" s="1">
        <v>65</v>
      </c>
      <c r="B69" s="9">
        <v>39034</v>
      </c>
      <c r="C69" s="37">
        <v>12131.88</v>
      </c>
      <c r="D69" s="38">
        <v>11788.801439999999</v>
      </c>
      <c r="E69" s="38">
        <v>7035.5715017939528</v>
      </c>
      <c r="F69" s="38">
        <v>135.65735331470663</v>
      </c>
      <c r="I69" s="28">
        <f t="shared" si="5"/>
        <v>1.9347943417624628E-3</v>
      </c>
      <c r="J69" s="28">
        <f t="shared" si="6"/>
        <v>-6.9029780755309553E-3</v>
      </c>
      <c r="K69" s="28">
        <f t="shared" si="7"/>
        <v>4.4077030777123459E-3</v>
      </c>
      <c r="L69" s="28">
        <f t="shared" si="8"/>
        <v>-1.1031075317043367E-2</v>
      </c>
      <c r="N69" s="27">
        <f t="shared" ca="1" si="9"/>
        <v>11054.976657203317</v>
      </c>
      <c r="O69" s="27">
        <f t="shared" ca="1" si="10"/>
        <v>9712.1052984978796</v>
      </c>
      <c r="P69" s="27">
        <f t="shared" ca="1" si="11"/>
        <v>6114.1664187382557</v>
      </c>
      <c r="Q69" s="27">
        <f t="shared" ca="1" si="12"/>
        <v>113.4939658288194</v>
      </c>
      <c r="T69" s="25">
        <f t="shared" ca="1" si="13"/>
        <v>10045013.470466176</v>
      </c>
      <c r="V69" s="25">
        <f t="shared" ca="1" si="14"/>
        <v>45013.470466176048</v>
      </c>
      <c r="X69" s="14">
        <v>-81090.480403617024</v>
      </c>
    </row>
    <row r="70" spans="1:24">
      <c r="A70" s="1">
        <v>66</v>
      </c>
      <c r="B70" s="9">
        <v>39035</v>
      </c>
      <c r="C70" s="37">
        <v>12218.01</v>
      </c>
      <c r="D70" s="38">
        <v>11714.945760000001</v>
      </c>
      <c r="E70" s="38">
        <v>7014.5766619700271</v>
      </c>
      <c r="F70" s="38">
        <v>138.36362864180751</v>
      </c>
      <c r="I70" s="28">
        <f t="shared" ref="I70:I133" si="15">LN(C70/C69)</f>
        <v>7.0743941112191471E-3</v>
      </c>
      <c r="J70" s="28">
        <f t="shared" ref="J70:J133" si="16">LN(D70/D69)</f>
        <v>-6.2846083611178541E-3</v>
      </c>
      <c r="K70" s="28">
        <f t="shared" ref="K70:K133" si="17">LN(E70/E69)</f>
        <v>-2.9885600074080702E-3</v>
      </c>
      <c r="L70" s="28">
        <f t="shared" ref="L70:L133" si="18">LN(F70/F69)</f>
        <v>1.9752964182931522E-2</v>
      </c>
      <c r="N70" s="27">
        <f t="shared" ref="N70:N133" ca="1" si="19">C$504*EXP((I$1-I$2/2)*(1)+I$3*_xlfn.NORM.S.INV(RAND())*SQRT(1))</f>
        <v>11168.466350046423</v>
      </c>
      <c r="O70" s="27">
        <f t="shared" ref="O70:O133" ca="1" si="20">D$504*EXP((J$1-J$2/2)*(1)+J$3*_xlfn.NORM.S.INV(RAND())*SQRT(1))</f>
        <v>9487.7954433073901</v>
      </c>
      <c r="P70" s="27">
        <f t="shared" ref="P70:P133" ca="1" si="21">E$504*EXP((K$1-K$2/2)*(1)+K$3*_xlfn.NORM.S.INV(RAND())*SQRT(1))</f>
        <v>6130.7241206950366</v>
      </c>
      <c r="Q70" s="27">
        <f t="shared" ref="Q70:Q133" ca="1" si="22">F$504*EXP((L$1-L$2/2)*(1)+L$3*_xlfn.NORM.S.INV(RAND())*SQRT(1))</f>
        <v>111.6994718217921</v>
      </c>
      <c r="T70" s="25">
        <f t="shared" ref="T70:T133" ca="1" si="23">N70/C$504*T$2+O70/D$504*U$2+P70/E$504*V$2+Q70/F$504*W$2</f>
        <v>9986961.6756147947</v>
      </c>
      <c r="V70" s="25">
        <f t="shared" ref="V70:V133" ca="1" si="24">T70-X$2</f>
        <v>-13038.324385205284</v>
      </c>
      <c r="X70" s="14">
        <v>-80438.145408248529</v>
      </c>
    </row>
    <row r="71" spans="1:24">
      <c r="A71" s="1">
        <v>67</v>
      </c>
      <c r="B71" s="9">
        <v>39036</v>
      </c>
      <c r="C71" s="37">
        <v>12251.71</v>
      </c>
      <c r="D71" s="38">
        <v>11758.747499999999</v>
      </c>
      <c r="E71" s="38">
        <v>7058.8242827868844</v>
      </c>
      <c r="F71" s="38">
        <v>137.53996613039797</v>
      </c>
      <c r="I71" s="28">
        <f t="shared" si="15"/>
        <v>2.7544263936360581E-3</v>
      </c>
      <c r="J71" s="28">
        <f t="shared" si="16"/>
        <v>3.7319897089158013E-3</v>
      </c>
      <c r="K71" s="28">
        <f t="shared" si="17"/>
        <v>6.2881412657845911E-3</v>
      </c>
      <c r="L71" s="28">
        <f t="shared" si="18"/>
        <v>-5.9706721761162204E-3</v>
      </c>
      <c r="N71" s="27">
        <f t="shared" ca="1" si="19"/>
        <v>10954.600544039977</v>
      </c>
      <c r="O71" s="27">
        <f t="shared" ca="1" si="20"/>
        <v>9656.4273116742424</v>
      </c>
      <c r="P71" s="27">
        <f t="shared" ca="1" si="21"/>
        <v>6312.6205708850293</v>
      </c>
      <c r="Q71" s="27">
        <f t="shared" ca="1" si="22"/>
        <v>112.96501790578287</v>
      </c>
      <c r="T71" s="25">
        <f t="shared" ca="1" si="23"/>
        <v>10013816.583090447</v>
      </c>
      <c r="V71" s="25">
        <f t="shared" ca="1" si="24"/>
        <v>13816.583090446889</v>
      </c>
      <c r="X71" s="14">
        <v>-79569.169933047146</v>
      </c>
    </row>
    <row r="72" spans="1:24">
      <c r="A72" s="1">
        <v>68</v>
      </c>
      <c r="B72" s="9">
        <v>39037</v>
      </c>
      <c r="C72" s="37">
        <v>12305.82</v>
      </c>
      <c r="D72" s="38">
        <v>11816.131589999999</v>
      </c>
      <c r="E72" s="38">
        <v>7051.3831967213109</v>
      </c>
      <c r="F72" s="38">
        <v>136.84278699627498</v>
      </c>
      <c r="I72" s="28">
        <f t="shared" si="15"/>
        <v>4.4068021146719131E-3</v>
      </c>
      <c r="J72" s="28">
        <f t="shared" si="16"/>
        <v>4.8682500651466148E-3</v>
      </c>
      <c r="K72" s="28">
        <f t="shared" si="17"/>
        <v>-1.0547097576242969E-3</v>
      </c>
      <c r="L72" s="28">
        <f t="shared" si="18"/>
        <v>-5.0818109123395346E-3</v>
      </c>
      <c r="N72" s="27">
        <f t="shared" ca="1" si="19"/>
        <v>10863.134598098079</v>
      </c>
      <c r="O72" s="27">
        <f t="shared" ca="1" si="20"/>
        <v>9591.2575445739458</v>
      </c>
      <c r="P72" s="27">
        <f t="shared" ca="1" si="21"/>
        <v>6230.1207588190455</v>
      </c>
      <c r="Q72" s="27">
        <f t="shared" ca="1" si="22"/>
        <v>113.17481550162358</v>
      </c>
      <c r="T72" s="25">
        <f t="shared" ca="1" si="23"/>
        <v>9950670.5548709482</v>
      </c>
      <c r="V72" s="25">
        <f t="shared" ca="1" si="24"/>
        <v>-49329.445129051805</v>
      </c>
      <c r="X72" s="14">
        <v>-79318.912770444527</v>
      </c>
    </row>
    <row r="73" spans="1:24">
      <c r="A73" s="1">
        <v>69</v>
      </c>
      <c r="B73" s="9">
        <v>39038</v>
      </c>
      <c r="C73" s="37">
        <v>12342.55</v>
      </c>
      <c r="D73" s="38">
        <v>11730.744000000001</v>
      </c>
      <c r="E73" s="38">
        <v>6978.4605516356642</v>
      </c>
      <c r="F73" s="38">
        <v>136.74141740312712</v>
      </c>
      <c r="I73" s="28">
        <f t="shared" si="15"/>
        <v>2.9803209857103287E-3</v>
      </c>
      <c r="J73" s="28">
        <f t="shared" si="16"/>
        <v>-7.2525939975709589E-3</v>
      </c>
      <c r="K73" s="28">
        <f t="shared" si="17"/>
        <v>-1.0395454588680065E-2</v>
      </c>
      <c r="L73" s="28">
        <f t="shared" si="18"/>
        <v>-7.4104861433323772E-4</v>
      </c>
      <c r="N73" s="27">
        <f t="shared" ca="1" si="19"/>
        <v>11050.387501604037</v>
      </c>
      <c r="O73" s="27">
        <f t="shared" ca="1" si="20"/>
        <v>9599.2136677258168</v>
      </c>
      <c r="P73" s="27">
        <f t="shared" ca="1" si="21"/>
        <v>6236.5850140402763</v>
      </c>
      <c r="Q73" s="27">
        <f t="shared" ca="1" si="22"/>
        <v>115.36280625199689</v>
      </c>
      <c r="T73" s="25">
        <f t="shared" ca="1" si="23"/>
        <v>10060941.664014958</v>
      </c>
      <c r="V73" s="25">
        <f t="shared" ca="1" si="24"/>
        <v>60941.664014957845</v>
      </c>
      <c r="X73" s="14">
        <v>-79044.598577853292</v>
      </c>
    </row>
    <row r="74" spans="1:24">
      <c r="A74" s="1">
        <v>70</v>
      </c>
      <c r="B74" s="9">
        <v>39041</v>
      </c>
      <c r="C74" s="37">
        <v>12316.54</v>
      </c>
      <c r="D74" s="38">
        <v>11771.797849999999</v>
      </c>
      <c r="E74" s="38">
        <v>6991.4637272494228</v>
      </c>
      <c r="F74" s="38">
        <v>133.06769334912843</v>
      </c>
      <c r="I74" s="28">
        <f t="shared" si="15"/>
        <v>-2.1095676803945377E-3</v>
      </c>
      <c r="J74" s="28">
        <f t="shared" si="16"/>
        <v>3.4935703565435712E-3</v>
      </c>
      <c r="K74" s="28">
        <f t="shared" si="17"/>
        <v>1.8615962562754447E-3</v>
      </c>
      <c r="L74" s="28">
        <f t="shared" si="18"/>
        <v>-2.7233706823248865E-2</v>
      </c>
      <c r="N74" s="27">
        <f t="shared" ca="1" si="19"/>
        <v>11080.957979813002</v>
      </c>
      <c r="O74" s="27">
        <f t="shared" ca="1" si="20"/>
        <v>9506.4028070143122</v>
      </c>
      <c r="P74" s="27">
        <f t="shared" ca="1" si="21"/>
        <v>6444.2083830267629</v>
      </c>
      <c r="Q74" s="27">
        <f t="shared" ca="1" si="22"/>
        <v>109.62463859055147</v>
      </c>
      <c r="T74" s="25">
        <f t="shared" ca="1" si="23"/>
        <v>9974797.1384421196</v>
      </c>
      <c r="V74" s="25">
        <f t="shared" ca="1" si="24"/>
        <v>-25202.861557880417</v>
      </c>
      <c r="X74" s="14">
        <v>-78497.341246390715</v>
      </c>
    </row>
    <row r="75" spans="1:24">
      <c r="A75" s="1">
        <v>71</v>
      </c>
      <c r="B75" s="9">
        <v>39042</v>
      </c>
      <c r="C75" s="37">
        <v>12321.59</v>
      </c>
      <c r="D75" s="38">
        <v>11779.977920000001</v>
      </c>
      <c r="E75" s="38">
        <v>7002.7578245253981</v>
      </c>
      <c r="F75" s="38">
        <v>133.45326547921965</v>
      </c>
      <c r="I75" s="28">
        <f t="shared" si="15"/>
        <v>4.0993371418346889E-4</v>
      </c>
      <c r="J75" s="28">
        <f t="shared" si="16"/>
        <v>6.9464573786842112E-4</v>
      </c>
      <c r="K75" s="28">
        <f t="shared" si="17"/>
        <v>1.6141090358299704E-3</v>
      </c>
      <c r="L75" s="28">
        <f t="shared" si="18"/>
        <v>2.8933739453330387E-3</v>
      </c>
      <c r="N75" s="27">
        <f t="shared" ca="1" si="19"/>
        <v>11071.50247895352</v>
      </c>
      <c r="O75" s="27">
        <f t="shared" ca="1" si="20"/>
        <v>9654.6240641806962</v>
      </c>
      <c r="P75" s="27">
        <f t="shared" ca="1" si="21"/>
        <v>6156.4339486400086</v>
      </c>
      <c r="Q75" s="27">
        <f t="shared" ca="1" si="22"/>
        <v>112.5143867855402</v>
      </c>
      <c r="T75" s="25">
        <f t="shared" ca="1" si="23"/>
        <v>10022499.647476654</v>
      </c>
      <c r="V75" s="25">
        <f t="shared" ca="1" si="24"/>
        <v>22499.6474766545</v>
      </c>
      <c r="X75" s="14">
        <v>-78435.611685538664</v>
      </c>
    </row>
    <row r="76" spans="1:24">
      <c r="A76" s="1">
        <v>72</v>
      </c>
      <c r="B76" s="9">
        <v>39043</v>
      </c>
      <c r="C76" s="37">
        <v>12326.95</v>
      </c>
      <c r="D76" s="38">
        <v>11790.814200000001</v>
      </c>
      <c r="E76" s="38">
        <v>7052.7616091061955</v>
      </c>
      <c r="F76" s="38">
        <v>136.46227062253473</v>
      </c>
      <c r="I76" s="28">
        <f t="shared" si="15"/>
        <v>4.3491420461323223E-4</v>
      </c>
      <c r="J76" s="28">
        <f t="shared" si="16"/>
        <v>9.1946683066614402E-4</v>
      </c>
      <c r="K76" s="28">
        <f t="shared" si="17"/>
        <v>7.1152113268147972E-3</v>
      </c>
      <c r="L76" s="28">
        <f t="shared" si="18"/>
        <v>2.2296825487873411E-2</v>
      </c>
      <c r="N76" s="27">
        <f t="shared" ca="1" si="19"/>
        <v>10925.708532142218</v>
      </c>
      <c r="O76" s="27">
        <f t="shared" ca="1" si="20"/>
        <v>9506.1241741088197</v>
      </c>
      <c r="P76" s="27">
        <f t="shared" ca="1" si="21"/>
        <v>6125.4135576405879</v>
      </c>
      <c r="Q76" s="27">
        <f t="shared" ca="1" si="22"/>
        <v>112.30595480052355</v>
      </c>
      <c r="T76" s="25">
        <f t="shared" ca="1" si="23"/>
        <v>9914485.2210943773</v>
      </c>
      <c r="V76" s="25">
        <f t="shared" ca="1" si="24"/>
        <v>-85514.778905622661</v>
      </c>
      <c r="X76" s="14">
        <v>-77670.185905389488</v>
      </c>
    </row>
    <row r="77" spans="1:24">
      <c r="A77" s="1">
        <v>73</v>
      </c>
      <c r="B77" s="9">
        <v>39045</v>
      </c>
      <c r="C77" s="37">
        <v>12280.17</v>
      </c>
      <c r="D77" s="38">
        <v>11827.897199999999</v>
      </c>
      <c r="E77" s="38">
        <v>7056.1141660120447</v>
      </c>
      <c r="F77" s="38">
        <v>135.80700845848438</v>
      </c>
      <c r="I77" s="28">
        <f t="shared" si="15"/>
        <v>-3.8021561528386334E-3</v>
      </c>
      <c r="J77" s="28">
        <f t="shared" si="16"/>
        <v>3.140140022316309E-3</v>
      </c>
      <c r="K77" s="28">
        <f t="shared" si="17"/>
        <v>4.7524083738282512E-4</v>
      </c>
      <c r="L77" s="28">
        <f t="shared" si="18"/>
        <v>-4.8133482512013447E-3</v>
      </c>
      <c r="N77" s="27">
        <f t="shared" ca="1" si="19"/>
        <v>11182.217755365744</v>
      </c>
      <c r="O77" s="27">
        <f t="shared" ca="1" si="20"/>
        <v>9630.9053307755803</v>
      </c>
      <c r="P77" s="27">
        <f t="shared" ca="1" si="21"/>
        <v>6203.9296847867263</v>
      </c>
      <c r="Q77" s="27">
        <f t="shared" ca="1" si="22"/>
        <v>113.83609608405557</v>
      </c>
      <c r="T77" s="25">
        <f t="shared" ca="1" si="23"/>
        <v>10086357.067861203</v>
      </c>
      <c r="V77" s="25">
        <f t="shared" ca="1" si="24"/>
        <v>86357.067861203104</v>
      </c>
      <c r="X77" s="14">
        <v>-77598.478712406009</v>
      </c>
    </row>
    <row r="78" spans="1:24">
      <c r="A78" s="1">
        <v>74</v>
      </c>
      <c r="B78" s="9">
        <v>39048</v>
      </c>
      <c r="C78" s="37">
        <v>12121.71</v>
      </c>
      <c r="D78" s="38">
        <v>11719.0437</v>
      </c>
      <c r="E78" s="38">
        <v>6966.7322834645665</v>
      </c>
      <c r="F78" s="38">
        <v>136.83676457920578</v>
      </c>
      <c r="I78" s="28">
        <f t="shared" si="15"/>
        <v>-1.2987706473435452E-2</v>
      </c>
      <c r="J78" s="28">
        <f t="shared" si="16"/>
        <v>-9.2457254547113014E-3</v>
      </c>
      <c r="K78" s="28">
        <f t="shared" si="17"/>
        <v>-1.2748209626540196E-2</v>
      </c>
      <c r="L78" s="28">
        <f t="shared" si="18"/>
        <v>7.5538935354812009E-3</v>
      </c>
      <c r="N78" s="27">
        <f t="shared" ca="1" si="19"/>
        <v>11008.745828697329</v>
      </c>
      <c r="O78" s="27">
        <f t="shared" ca="1" si="20"/>
        <v>9458.1693916944841</v>
      </c>
      <c r="P78" s="27">
        <f t="shared" ca="1" si="21"/>
        <v>6107.1794408798241</v>
      </c>
      <c r="Q78" s="27">
        <f t="shared" ca="1" si="22"/>
        <v>115.18180981661357</v>
      </c>
      <c r="T78" s="25">
        <f t="shared" ca="1" si="23"/>
        <v>9977673.6805784982</v>
      </c>
      <c r="V78" s="25">
        <f t="shared" ca="1" si="24"/>
        <v>-22326.31942150183</v>
      </c>
      <c r="X78" s="14">
        <v>-76596.386935561895</v>
      </c>
    </row>
    <row r="79" spans="1:24">
      <c r="A79" s="1">
        <v>75</v>
      </c>
      <c r="B79" s="9">
        <v>39049</v>
      </c>
      <c r="C79" s="37">
        <v>12136.44</v>
      </c>
      <c r="D79" s="38">
        <v>11734.837659999999</v>
      </c>
      <c r="E79" s="38">
        <v>6978.2219884271435</v>
      </c>
      <c r="F79" s="38">
        <v>136.40106675843083</v>
      </c>
      <c r="I79" s="28">
        <f t="shared" si="15"/>
        <v>1.2144373590227268E-3</v>
      </c>
      <c r="J79" s="28">
        <f t="shared" si="16"/>
        <v>1.3468101202490869E-3</v>
      </c>
      <c r="K79" s="28">
        <f t="shared" si="17"/>
        <v>1.647865936100478E-3</v>
      </c>
      <c r="L79" s="28">
        <f t="shared" si="18"/>
        <v>-3.1891498180936185E-3</v>
      </c>
      <c r="N79" s="27">
        <f t="shared" ca="1" si="19"/>
        <v>10918.592372650206</v>
      </c>
      <c r="O79" s="27">
        <f t="shared" ca="1" si="20"/>
        <v>9664.8931441010482</v>
      </c>
      <c r="P79" s="27">
        <f t="shared" ca="1" si="21"/>
        <v>6148.0883989287549</v>
      </c>
      <c r="Q79" s="27">
        <f t="shared" ca="1" si="22"/>
        <v>113.35105055266436</v>
      </c>
      <c r="T79" s="25">
        <f t="shared" ca="1" si="23"/>
        <v>9983701.9664461799</v>
      </c>
      <c r="V79" s="25">
        <f t="shared" ca="1" si="24"/>
        <v>-16298.033553820103</v>
      </c>
      <c r="X79" s="14">
        <v>-74256.549562932923</v>
      </c>
    </row>
    <row r="80" spans="1:24">
      <c r="A80" s="1">
        <v>76</v>
      </c>
      <c r="B80" s="9">
        <v>39050</v>
      </c>
      <c r="C80" s="37">
        <v>12226.73</v>
      </c>
      <c r="D80" s="38">
        <v>11860.92936</v>
      </c>
      <c r="E80" s="38">
        <v>7077.7982375378142</v>
      </c>
      <c r="F80" s="38">
        <v>138.39703856749313</v>
      </c>
      <c r="I80" s="28">
        <f t="shared" si="15"/>
        <v>7.4120414843380006E-3</v>
      </c>
      <c r="J80" s="28">
        <f t="shared" si="16"/>
        <v>1.0687755999546777E-2</v>
      </c>
      <c r="K80" s="28">
        <f t="shared" si="17"/>
        <v>1.41687210681249E-2</v>
      </c>
      <c r="L80" s="28">
        <f t="shared" si="18"/>
        <v>1.4527079132526932E-2</v>
      </c>
      <c r="N80" s="27">
        <f t="shared" ca="1" si="19"/>
        <v>11034.068379314574</v>
      </c>
      <c r="O80" s="27">
        <f t="shared" ca="1" si="20"/>
        <v>9629.7640548389772</v>
      </c>
      <c r="P80" s="27">
        <f t="shared" ca="1" si="21"/>
        <v>6047.3170319610035</v>
      </c>
      <c r="Q80" s="27">
        <f t="shared" ca="1" si="22"/>
        <v>112.23877815893843</v>
      </c>
      <c r="T80" s="25">
        <f t="shared" ca="1" si="23"/>
        <v>9978661.5587157253</v>
      </c>
      <c r="V80" s="25">
        <f t="shared" ca="1" si="24"/>
        <v>-21338.441284274682</v>
      </c>
      <c r="X80" s="14">
        <v>-74025.840956214815</v>
      </c>
    </row>
    <row r="81" spans="1:24">
      <c r="A81" s="1">
        <v>77</v>
      </c>
      <c r="B81" s="9">
        <v>39051</v>
      </c>
      <c r="C81" s="37">
        <v>12221.93</v>
      </c>
      <c r="D81" s="38">
        <v>11897.989600000001</v>
      </c>
      <c r="E81" s="38">
        <v>7062.0890774125137</v>
      </c>
      <c r="F81" s="38">
        <v>140.72053610030264</v>
      </c>
      <c r="I81" s="28">
        <f t="shared" si="15"/>
        <v>-3.9265956184684819E-4</v>
      </c>
      <c r="J81" s="28">
        <f t="shared" si="16"/>
        <v>3.1196932924217233E-3</v>
      </c>
      <c r="K81" s="28">
        <f t="shared" si="17"/>
        <v>-2.2219648910311047E-3</v>
      </c>
      <c r="L81" s="28">
        <f t="shared" si="18"/>
        <v>1.6649264796287491E-2</v>
      </c>
      <c r="N81" s="27">
        <f t="shared" ca="1" si="19"/>
        <v>10929.510554754397</v>
      </c>
      <c r="O81" s="27">
        <f t="shared" ca="1" si="20"/>
        <v>9644.576247806981</v>
      </c>
      <c r="P81" s="27">
        <f t="shared" ca="1" si="21"/>
        <v>6136.5780519114669</v>
      </c>
      <c r="Q81" s="27">
        <f t="shared" ca="1" si="22"/>
        <v>113.33206043484249</v>
      </c>
      <c r="T81" s="25">
        <f t="shared" ca="1" si="23"/>
        <v>9979122.1437853631</v>
      </c>
      <c r="V81" s="25">
        <f t="shared" ca="1" si="24"/>
        <v>-20877.856214636937</v>
      </c>
      <c r="X81" s="14">
        <v>-74007.386596430093</v>
      </c>
    </row>
    <row r="82" spans="1:24">
      <c r="A82" s="1">
        <v>78</v>
      </c>
      <c r="B82" s="9">
        <v>39052</v>
      </c>
      <c r="C82" s="37">
        <v>12194.13</v>
      </c>
      <c r="D82" s="38">
        <v>11926.785049999999</v>
      </c>
      <c r="E82" s="38">
        <v>7006.3341778903859</v>
      </c>
      <c r="F82" s="38">
        <v>141.71902405140227</v>
      </c>
      <c r="I82" s="28">
        <f t="shared" si="15"/>
        <v>-2.2771906698541844E-3</v>
      </c>
      <c r="J82" s="28">
        <f t="shared" si="16"/>
        <v>2.4172706306335354E-3</v>
      </c>
      <c r="K82" s="28">
        <f t="shared" si="17"/>
        <v>-7.9262885989471298E-3</v>
      </c>
      <c r="L82" s="28">
        <f t="shared" si="18"/>
        <v>7.0704833999788025E-3</v>
      </c>
      <c r="N82" s="27">
        <f t="shared" ca="1" si="19"/>
        <v>11008.522269597384</v>
      </c>
      <c r="O82" s="27">
        <f t="shared" ca="1" si="20"/>
        <v>9524.4749641631242</v>
      </c>
      <c r="P82" s="27">
        <f t="shared" ca="1" si="21"/>
        <v>6288.573074907702</v>
      </c>
      <c r="Q82" s="27">
        <f t="shared" ca="1" si="22"/>
        <v>110.57931651543022</v>
      </c>
      <c r="T82" s="25">
        <f t="shared" ca="1" si="23"/>
        <v>9945979.9368420355</v>
      </c>
      <c r="V82" s="25">
        <f t="shared" ca="1" si="24"/>
        <v>-54020.063157964498</v>
      </c>
      <c r="X82" s="14">
        <v>-73290.453286513686</v>
      </c>
    </row>
    <row r="83" spans="1:24">
      <c r="A83" s="1">
        <v>79</v>
      </c>
      <c r="B83" s="9">
        <v>39055</v>
      </c>
      <c r="C83" s="37">
        <v>12283.85</v>
      </c>
      <c r="D83" s="38">
        <v>11973.136559999999</v>
      </c>
      <c r="E83" s="38">
        <v>7056.7355096602269</v>
      </c>
      <c r="F83" s="38">
        <v>141.24222472494151</v>
      </c>
      <c r="I83" s="28">
        <f t="shared" si="15"/>
        <v>7.3307030882275078E-3</v>
      </c>
      <c r="J83" s="28">
        <f t="shared" si="16"/>
        <v>3.8788050329247596E-3</v>
      </c>
      <c r="K83" s="28">
        <f t="shared" si="17"/>
        <v>7.1679297177465974E-3</v>
      </c>
      <c r="L83" s="28">
        <f t="shared" si="18"/>
        <v>-3.370071200834122E-3</v>
      </c>
      <c r="N83" s="27">
        <f t="shared" ca="1" si="19"/>
        <v>11107.795511918226</v>
      </c>
      <c r="O83" s="27">
        <f t="shared" ca="1" si="20"/>
        <v>9467.0520816946664</v>
      </c>
      <c r="P83" s="27">
        <f t="shared" ca="1" si="21"/>
        <v>6236.7296730555736</v>
      </c>
      <c r="Q83" s="27">
        <f t="shared" ca="1" si="22"/>
        <v>113.79831576215977</v>
      </c>
      <c r="T83" s="25">
        <f t="shared" ca="1" si="23"/>
        <v>10012764.166108375</v>
      </c>
      <c r="V83" s="25">
        <f t="shared" ca="1" si="24"/>
        <v>12764.166108375415</v>
      </c>
      <c r="X83" s="14">
        <v>-72900.935078227893</v>
      </c>
    </row>
    <row r="84" spans="1:24">
      <c r="A84" s="1">
        <v>80</v>
      </c>
      <c r="B84" s="9">
        <v>39056</v>
      </c>
      <c r="C84" s="37">
        <v>12331.6</v>
      </c>
      <c r="D84" s="38">
        <v>11996.294400000001</v>
      </c>
      <c r="E84" s="38">
        <v>7132.9385147724242</v>
      </c>
      <c r="F84" s="38">
        <v>141.33078460335389</v>
      </c>
      <c r="I84" s="28">
        <f t="shared" si="15"/>
        <v>3.8796820609929314E-3</v>
      </c>
      <c r="J84" s="28">
        <f t="shared" si="16"/>
        <v>1.9322817670590468E-3</v>
      </c>
      <c r="K84" s="28">
        <f t="shared" si="17"/>
        <v>1.0740731262109809E-2</v>
      </c>
      <c r="L84" s="28">
        <f t="shared" si="18"/>
        <v>6.268106180588477E-4</v>
      </c>
      <c r="N84" s="27">
        <f t="shared" ca="1" si="19"/>
        <v>10849.516409327611</v>
      </c>
      <c r="O84" s="27">
        <f t="shared" ca="1" si="20"/>
        <v>9452.1960318489309</v>
      </c>
      <c r="P84" s="27">
        <f t="shared" ca="1" si="21"/>
        <v>6109.035358416957</v>
      </c>
      <c r="Q84" s="27">
        <f t="shared" ca="1" si="22"/>
        <v>113.27267531120414</v>
      </c>
      <c r="T84" s="25">
        <f t="shared" ca="1" si="23"/>
        <v>9884477.3219129033</v>
      </c>
      <c r="V84" s="25">
        <f t="shared" ca="1" si="24"/>
        <v>-115522.67808709666</v>
      </c>
      <c r="X84" s="14">
        <v>-72495.812320392579</v>
      </c>
    </row>
    <row r="85" spans="1:24">
      <c r="A85" s="1">
        <v>81</v>
      </c>
      <c r="B85" s="9">
        <v>39057</v>
      </c>
      <c r="C85" s="37">
        <v>12309.25</v>
      </c>
      <c r="D85" s="38">
        <v>11999.71809</v>
      </c>
      <c r="E85" s="38">
        <v>7125.6092688773469</v>
      </c>
      <c r="F85" s="38">
        <v>142.4828546562228</v>
      </c>
      <c r="I85" s="28">
        <f t="shared" si="15"/>
        <v>-1.8140612948943386E-3</v>
      </c>
      <c r="J85" s="28">
        <f t="shared" si="16"/>
        <v>2.853549125845293E-4</v>
      </c>
      <c r="K85" s="28">
        <f t="shared" si="17"/>
        <v>-1.0280495113249451E-3</v>
      </c>
      <c r="L85" s="28">
        <f t="shared" si="18"/>
        <v>8.1185413335370295E-3</v>
      </c>
      <c r="N85" s="27">
        <f t="shared" ca="1" si="19"/>
        <v>11021.09817015195</v>
      </c>
      <c r="O85" s="27">
        <f t="shared" ca="1" si="20"/>
        <v>9360.5714599423009</v>
      </c>
      <c r="P85" s="27">
        <f t="shared" ca="1" si="21"/>
        <v>6257.6809157052949</v>
      </c>
      <c r="Q85" s="27">
        <f t="shared" ca="1" si="22"/>
        <v>115.26186493067355</v>
      </c>
      <c r="T85" s="25">
        <f t="shared" ca="1" si="23"/>
        <v>9977348.7941015158</v>
      </c>
      <c r="V85" s="25">
        <f t="shared" ca="1" si="24"/>
        <v>-22651.205898484215</v>
      </c>
      <c r="X85" s="14">
        <v>-72263.965585760772</v>
      </c>
    </row>
    <row r="86" spans="1:24">
      <c r="A86" s="1">
        <v>82</v>
      </c>
      <c r="B86" s="9">
        <v>39058</v>
      </c>
      <c r="C86" s="37">
        <v>12278.41</v>
      </c>
      <c r="D86" s="38">
        <v>12044.7186</v>
      </c>
      <c r="E86" s="38">
        <v>7153.2047872340427</v>
      </c>
      <c r="F86" s="38">
        <v>143.04758596734979</v>
      </c>
      <c r="I86" s="28">
        <f t="shared" si="15"/>
        <v>-2.5085767554048201E-3</v>
      </c>
      <c r="J86" s="28">
        <f t="shared" si="16"/>
        <v>3.7431163908488289E-3</v>
      </c>
      <c r="K86" s="28">
        <f t="shared" si="17"/>
        <v>3.8652443550182989E-3</v>
      </c>
      <c r="L86" s="28">
        <f t="shared" si="18"/>
        <v>3.9556696390844409E-3</v>
      </c>
      <c r="N86" s="27">
        <f t="shared" ca="1" si="19"/>
        <v>10871.786525453146</v>
      </c>
      <c r="O86" s="27">
        <f t="shared" ca="1" si="20"/>
        <v>9449.3286226112505</v>
      </c>
      <c r="P86" s="27">
        <f t="shared" ca="1" si="21"/>
        <v>6154.2379225863815</v>
      </c>
      <c r="Q86" s="27">
        <f t="shared" ca="1" si="22"/>
        <v>112.82960269723961</v>
      </c>
      <c r="T86" s="25">
        <f t="shared" ca="1" si="23"/>
        <v>9891099.1762280911</v>
      </c>
      <c r="V86" s="25">
        <f t="shared" ca="1" si="24"/>
        <v>-108900.82377190888</v>
      </c>
      <c r="X86" s="14">
        <v>-71326.911050451919</v>
      </c>
    </row>
    <row r="87" spans="1:24">
      <c r="A87" s="1">
        <v>83</v>
      </c>
      <c r="B87" s="9">
        <v>39059</v>
      </c>
      <c r="C87" s="37">
        <v>12307.48</v>
      </c>
      <c r="D87" s="38">
        <v>12099.925079999999</v>
      </c>
      <c r="E87" s="38">
        <v>7169.3209054593872</v>
      </c>
      <c r="F87" s="38">
        <v>142.15793575201317</v>
      </c>
      <c r="I87" s="28">
        <f t="shared" si="15"/>
        <v>2.3647721149794528E-3</v>
      </c>
      <c r="J87" s="28">
        <f t="shared" si="16"/>
        <v>4.5729874450932059E-3</v>
      </c>
      <c r="K87" s="28">
        <f t="shared" si="17"/>
        <v>2.2504585256668164E-3</v>
      </c>
      <c r="L87" s="28">
        <f t="shared" si="18"/>
        <v>-6.238680762476175E-3</v>
      </c>
      <c r="N87" s="27">
        <f t="shared" ca="1" si="19"/>
        <v>11075.922746779243</v>
      </c>
      <c r="O87" s="27">
        <f t="shared" ca="1" si="20"/>
        <v>9608.2697409907687</v>
      </c>
      <c r="P87" s="27">
        <f t="shared" ca="1" si="21"/>
        <v>6110.2480213023628</v>
      </c>
      <c r="Q87" s="27">
        <f t="shared" ca="1" si="22"/>
        <v>112.91250952677815</v>
      </c>
      <c r="T87" s="25">
        <f t="shared" ca="1" si="23"/>
        <v>10009226.583844421</v>
      </c>
      <c r="V87" s="25">
        <f t="shared" ca="1" si="24"/>
        <v>9226.5838444214314</v>
      </c>
      <c r="X87" s="14">
        <v>-71145.105935946107</v>
      </c>
    </row>
    <row r="88" spans="1:24">
      <c r="A88" s="1">
        <v>84</v>
      </c>
      <c r="B88" s="9">
        <v>39062</v>
      </c>
      <c r="C88" s="37">
        <v>12328.48</v>
      </c>
      <c r="D88" s="38">
        <v>12035.63322</v>
      </c>
      <c r="E88" s="38">
        <v>7172.6708074534163</v>
      </c>
      <c r="F88" s="38">
        <v>141.19246540235778</v>
      </c>
      <c r="I88" s="28">
        <f t="shared" si="15"/>
        <v>1.7048253923331459E-3</v>
      </c>
      <c r="J88" s="28">
        <f t="shared" si="16"/>
        <v>-5.3275761237816235E-3</v>
      </c>
      <c r="K88" s="28">
        <f t="shared" si="17"/>
        <v>4.6714600342897644E-4</v>
      </c>
      <c r="L88" s="28">
        <f t="shared" si="18"/>
        <v>-6.81470068227255E-3</v>
      </c>
      <c r="N88" s="27">
        <f t="shared" ca="1" si="19"/>
        <v>11056.368575354769</v>
      </c>
      <c r="O88" s="27">
        <f t="shared" ca="1" si="20"/>
        <v>9519.890783321247</v>
      </c>
      <c r="P88" s="27">
        <f t="shared" ca="1" si="21"/>
        <v>6135.516871754523</v>
      </c>
      <c r="Q88" s="27">
        <f t="shared" ca="1" si="22"/>
        <v>112.1311128102882</v>
      </c>
      <c r="T88" s="25">
        <f t="shared" ca="1" si="23"/>
        <v>9964735.0162546542</v>
      </c>
      <c r="V88" s="25">
        <f t="shared" ca="1" si="24"/>
        <v>-35264.983745345846</v>
      </c>
      <c r="X88" s="14">
        <v>-71056.931334050372</v>
      </c>
    </row>
    <row r="89" spans="1:24">
      <c r="A89" s="1">
        <v>85</v>
      </c>
      <c r="B89" s="9">
        <v>39063</v>
      </c>
      <c r="C89" s="37">
        <v>12315.58</v>
      </c>
      <c r="D89" s="38">
        <v>12105.944959999999</v>
      </c>
      <c r="E89" s="38">
        <v>7184.9860982391101</v>
      </c>
      <c r="F89" s="38">
        <v>142.10608131192348</v>
      </c>
      <c r="I89" s="28">
        <f t="shared" si="15"/>
        <v>-1.0469055162348972E-3</v>
      </c>
      <c r="J89" s="28">
        <f t="shared" si="16"/>
        <v>5.824966229087551E-3</v>
      </c>
      <c r="K89" s="28">
        <f t="shared" si="17"/>
        <v>1.7155018937778893E-3</v>
      </c>
      <c r="L89" s="28">
        <f t="shared" si="18"/>
        <v>6.4498677273283943E-3</v>
      </c>
      <c r="N89" s="27">
        <f t="shared" ca="1" si="19"/>
        <v>11341.051706507127</v>
      </c>
      <c r="O89" s="27">
        <f t="shared" ca="1" si="20"/>
        <v>9612.2353413570545</v>
      </c>
      <c r="P89" s="27">
        <f t="shared" ca="1" si="21"/>
        <v>6270.1460470689462</v>
      </c>
      <c r="Q89" s="27">
        <f t="shared" ca="1" si="22"/>
        <v>111.54728463662842</v>
      </c>
      <c r="T89" s="25">
        <f t="shared" ca="1" si="23"/>
        <v>10108270.4054396</v>
      </c>
      <c r="V89" s="25">
        <f t="shared" ca="1" si="24"/>
        <v>108270.40543960035</v>
      </c>
      <c r="X89" s="14">
        <v>-70802.16566228494</v>
      </c>
    </row>
    <row r="90" spans="1:24">
      <c r="A90" s="1">
        <v>86</v>
      </c>
      <c r="B90" s="9">
        <v>39064</v>
      </c>
      <c r="C90" s="37">
        <v>12317.5</v>
      </c>
      <c r="D90" s="38">
        <v>12181.886</v>
      </c>
      <c r="E90" s="38">
        <v>7240.3146899378562</v>
      </c>
      <c r="F90" s="38">
        <v>142.35826368753197</v>
      </c>
      <c r="I90" s="28">
        <f t="shared" si="15"/>
        <v>1.5588793637555043E-4</v>
      </c>
      <c r="J90" s="28">
        <f t="shared" si="16"/>
        <v>6.2534433479283086E-3</v>
      </c>
      <c r="K90" s="28">
        <f t="shared" si="17"/>
        <v>7.6710862159642445E-3</v>
      </c>
      <c r="L90" s="28">
        <f t="shared" si="18"/>
        <v>1.7730337464498974E-3</v>
      </c>
      <c r="N90" s="27">
        <f t="shared" ca="1" si="19"/>
        <v>11003.929351347038</v>
      </c>
      <c r="O90" s="27">
        <f t="shared" ca="1" si="20"/>
        <v>9507.4231738997332</v>
      </c>
      <c r="P90" s="27">
        <f t="shared" ca="1" si="21"/>
        <v>6203.3703779321559</v>
      </c>
      <c r="Q90" s="27">
        <f t="shared" ca="1" si="22"/>
        <v>114.56681568439916</v>
      </c>
      <c r="T90" s="25">
        <f t="shared" ca="1" si="23"/>
        <v>9995929.3723312635</v>
      </c>
      <c r="V90" s="25">
        <f t="shared" ca="1" si="24"/>
        <v>-4070.6276687365025</v>
      </c>
      <c r="X90" s="14">
        <v>-70364.336688961834</v>
      </c>
    </row>
    <row r="91" spans="1:24">
      <c r="A91" s="1">
        <v>87</v>
      </c>
      <c r="B91" s="9">
        <v>39065</v>
      </c>
      <c r="C91" s="37">
        <v>12416.76</v>
      </c>
      <c r="D91" s="38">
        <v>12223.695599999999</v>
      </c>
      <c r="E91" s="38">
        <v>7257.0864067439406</v>
      </c>
      <c r="F91" s="38">
        <v>143.06894499702457</v>
      </c>
      <c r="I91" s="28">
        <f t="shared" si="15"/>
        <v>8.0261574717504485E-3</v>
      </c>
      <c r="J91" s="28">
        <f t="shared" si="16"/>
        <v>3.4262359804246982E-3</v>
      </c>
      <c r="K91" s="28">
        <f t="shared" si="17"/>
        <v>2.3137559865344937E-3</v>
      </c>
      <c r="L91" s="28">
        <f t="shared" si="18"/>
        <v>4.979782981477986E-3</v>
      </c>
      <c r="N91" s="27">
        <f t="shared" ca="1" si="19"/>
        <v>11072.015237397527</v>
      </c>
      <c r="O91" s="27">
        <f t="shared" ca="1" si="20"/>
        <v>9390.1828168443135</v>
      </c>
      <c r="P91" s="27">
        <f t="shared" ca="1" si="21"/>
        <v>6176.2426852500166</v>
      </c>
      <c r="Q91" s="27">
        <f t="shared" ca="1" si="22"/>
        <v>113.30717370533358</v>
      </c>
      <c r="T91" s="25">
        <f t="shared" ca="1" si="23"/>
        <v>9957295.4707048647</v>
      </c>
      <c r="V91" s="25">
        <f t="shared" ca="1" si="24"/>
        <v>-42704.529295135289</v>
      </c>
      <c r="X91" s="14">
        <v>-69840.354409692809</v>
      </c>
    </row>
    <row r="92" spans="1:24">
      <c r="A92" s="1">
        <v>88</v>
      </c>
      <c r="B92" s="9">
        <v>39066</v>
      </c>
      <c r="C92" s="37">
        <v>12445.52</v>
      </c>
      <c r="D92" s="38">
        <v>12219.52</v>
      </c>
      <c r="E92" s="38">
        <v>7254.3788453986117</v>
      </c>
      <c r="F92" s="38">
        <v>143.70696686491081</v>
      </c>
      <c r="I92" s="28">
        <f t="shared" si="15"/>
        <v>2.3135458878384783E-3</v>
      </c>
      <c r="J92" s="28">
        <f t="shared" si="16"/>
        <v>-3.4165717874014919E-4</v>
      </c>
      <c r="K92" s="28">
        <f t="shared" si="17"/>
        <v>-3.7316168005134396E-4</v>
      </c>
      <c r="L92" s="28">
        <f t="shared" si="18"/>
        <v>4.4496270027419745E-3</v>
      </c>
      <c r="N92" s="27">
        <f t="shared" ca="1" si="19"/>
        <v>11078.908650375117</v>
      </c>
      <c r="O92" s="27">
        <f t="shared" ca="1" si="20"/>
        <v>9622.3244585405337</v>
      </c>
      <c r="P92" s="27">
        <f t="shared" ca="1" si="21"/>
        <v>6126.0038421479749</v>
      </c>
      <c r="Q92" s="27">
        <f t="shared" ca="1" si="22"/>
        <v>111.37136036490671</v>
      </c>
      <c r="T92" s="25">
        <f t="shared" ca="1" si="23"/>
        <v>9989923.4563095625</v>
      </c>
      <c r="V92" s="25">
        <f t="shared" ca="1" si="24"/>
        <v>-10076.543690437451</v>
      </c>
      <c r="X92" s="14">
        <v>-69477.58196374774</v>
      </c>
    </row>
    <row r="93" spans="1:24">
      <c r="A93" s="1">
        <v>89</v>
      </c>
      <c r="B93" s="9">
        <v>39069</v>
      </c>
      <c r="C93" s="37">
        <v>12441.27</v>
      </c>
      <c r="D93" s="38">
        <v>12156.190919999999</v>
      </c>
      <c r="E93" s="38">
        <v>7226.3426107408859</v>
      </c>
      <c r="F93" s="38">
        <v>143.60066034541146</v>
      </c>
      <c r="I93" s="28">
        <f t="shared" si="15"/>
        <v>-3.4154666321491162E-4</v>
      </c>
      <c r="J93" s="28">
        <f t="shared" si="16"/>
        <v>-5.1960923474122832E-3</v>
      </c>
      <c r="K93" s="28">
        <f t="shared" si="17"/>
        <v>-3.8722200097717572E-3</v>
      </c>
      <c r="L93" s="28">
        <f t="shared" si="18"/>
        <v>-7.4001881107670932E-4</v>
      </c>
      <c r="N93" s="27">
        <f t="shared" ca="1" si="19"/>
        <v>10976.197572619263</v>
      </c>
      <c r="O93" s="27">
        <f t="shared" ca="1" si="20"/>
        <v>9696.7389891328476</v>
      </c>
      <c r="P93" s="27">
        <f t="shared" ca="1" si="21"/>
        <v>6128.3594361330724</v>
      </c>
      <c r="Q93" s="27">
        <f t="shared" ca="1" si="22"/>
        <v>114.21574898408507</v>
      </c>
      <c r="T93" s="25">
        <f t="shared" ca="1" si="23"/>
        <v>10026705.957979869</v>
      </c>
      <c r="V93" s="25">
        <f t="shared" ca="1" si="24"/>
        <v>26705.957979869097</v>
      </c>
      <c r="X93" s="14">
        <v>-69073.595418520272</v>
      </c>
    </row>
    <row r="94" spans="1:24">
      <c r="A94" s="1">
        <v>90</v>
      </c>
      <c r="B94" s="9">
        <v>39070</v>
      </c>
      <c r="C94" s="37">
        <v>12471.32</v>
      </c>
      <c r="D94" s="38">
        <v>12176.394529999998</v>
      </c>
      <c r="E94" s="38">
        <v>7222.4914406110092</v>
      </c>
      <c r="F94" s="38">
        <v>142.03250931256349</v>
      </c>
      <c r="I94" s="28">
        <f t="shared" si="15"/>
        <v>2.4124360071646968E-3</v>
      </c>
      <c r="J94" s="28">
        <f t="shared" si="16"/>
        <v>1.6606221056463229E-3</v>
      </c>
      <c r="K94" s="28">
        <f t="shared" si="17"/>
        <v>-5.3307695380665492E-4</v>
      </c>
      <c r="L94" s="28">
        <f t="shared" si="18"/>
        <v>-1.0980284889563837E-2</v>
      </c>
      <c r="N94" s="27">
        <f t="shared" ca="1" si="19"/>
        <v>10984.520572273543</v>
      </c>
      <c r="O94" s="27">
        <f t="shared" ca="1" si="20"/>
        <v>9668.3063733817398</v>
      </c>
      <c r="P94" s="27">
        <f t="shared" ca="1" si="21"/>
        <v>6165.092852035451</v>
      </c>
      <c r="Q94" s="27">
        <f t="shared" ca="1" si="22"/>
        <v>112.76833196512439</v>
      </c>
      <c r="T94" s="25">
        <f t="shared" ca="1" si="23"/>
        <v>10001107.134687178</v>
      </c>
      <c r="V94" s="25">
        <f t="shared" ca="1" si="24"/>
        <v>1107.1346871778369</v>
      </c>
      <c r="X94" s="14">
        <v>-68295.611435463652</v>
      </c>
    </row>
    <row r="95" spans="1:24">
      <c r="A95" s="1">
        <v>91</v>
      </c>
      <c r="B95" s="9">
        <v>39071</v>
      </c>
      <c r="C95" s="37">
        <v>12463.87</v>
      </c>
      <c r="D95" s="38">
        <v>12183.96816</v>
      </c>
      <c r="E95" s="38">
        <v>7271.1234177215192</v>
      </c>
      <c r="F95" s="38">
        <v>143.7471691735677</v>
      </c>
      <c r="I95" s="28">
        <f t="shared" si="15"/>
        <v>-5.9754910403137722E-4</v>
      </c>
      <c r="J95" s="28">
        <f t="shared" si="16"/>
        <v>6.2179946500808773E-4</v>
      </c>
      <c r="K95" s="28">
        <f t="shared" si="17"/>
        <v>6.7108392349260679E-3</v>
      </c>
      <c r="L95" s="28">
        <f t="shared" si="18"/>
        <v>1.2000016558302356E-2</v>
      </c>
      <c r="N95" s="27">
        <f t="shared" ca="1" si="19"/>
        <v>11095.164210374251</v>
      </c>
      <c r="O95" s="27">
        <f t="shared" ca="1" si="20"/>
        <v>9655.3001407948177</v>
      </c>
      <c r="P95" s="27">
        <f t="shared" ca="1" si="21"/>
        <v>6167.2303464815295</v>
      </c>
      <c r="Q95" s="27">
        <f t="shared" ca="1" si="22"/>
        <v>112.43750764860947</v>
      </c>
      <c r="T95" s="25">
        <f t="shared" ca="1" si="23"/>
        <v>10031676.373939291</v>
      </c>
      <c r="V95" s="25">
        <f t="shared" ca="1" si="24"/>
        <v>31676.373939290643</v>
      </c>
      <c r="X95" s="14">
        <v>-68056.228265367448</v>
      </c>
    </row>
    <row r="96" spans="1:24">
      <c r="A96" s="1">
        <v>92</v>
      </c>
      <c r="B96" s="9">
        <v>39072</v>
      </c>
      <c r="C96" s="37">
        <v>12421.25</v>
      </c>
      <c r="D96" s="38">
        <v>12131.801029999999</v>
      </c>
      <c r="E96" s="38">
        <v>7254.331226961559</v>
      </c>
      <c r="F96" s="38">
        <v>143.92427184466021</v>
      </c>
      <c r="I96" s="28">
        <f t="shared" si="15"/>
        <v>-3.4253434720523074E-3</v>
      </c>
      <c r="J96" s="28">
        <f t="shared" si="16"/>
        <v>-4.2908130629224781E-3</v>
      </c>
      <c r="K96" s="28">
        <f t="shared" si="17"/>
        <v>-2.3121063886007852E-3</v>
      </c>
      <c r="L96" s="28">
        <f t="shared" si="18"/>
        <v>1.2312845017950604E-3</v>
      </c>
      <c r="N96" s="27">
        <f t="shared" ca="1" si="19"/>
        <v>10894.984841302357</v>
      </c>
      <c r="O96" s="27">
        <f t="shared" ca="1" si="20"/>
        <v>9740.8432644312888</v>
      </c>
      <c r="P96" s="27">
        <f t="shared" ca="1" si="21"/>
        <v>6231.5074908371435</v>
      </c>
      <c r="Q96" s="27">
        <f t="shared" ca="1" si="22"/>
        <v>111.91434935053189</v>
      </c>
      <c r="T96" s="25">
        <f t="shared" ca="1" si="23"/>
        <v>9986854.6564038694</v>
      </c>
      <c r="V96" s="25">
        <f t="shared" ca="1" si="24"/>
        <v>-13145.34359613061</v>
      </c>
      <c r="X96" s="14">
        <v>-67246.836338369176</v>
      </c>
    </row>
    <row r="97" spans="1:24">
      <c r="A97" s="1">
        <v>93</v>
      </c>
      <c r="B97" s="9">
        <v>39073</v>
      </c>
      <c r="C97" s="37">
        <v>12343.21</v>
      </c>
      <c r="D97" s="38">
        <v>12133.637999999999</v>
      </c>
      <c r="E97" s="38">
        <v>7175.2927246414938</v>
      </c>
      <c r="F97" s="38">
        <v>143.96902617624778</v>
      </c>
      <c r="I97" s="28">
        <f t="shared" si="15"/>
        <v>-6.3026012544045587E-3</v>
      </c>
      <c r="J97" s="28">
        <f t="shared" si="16"/>
        <v>1.5140628621959811E-4</v>
      </c>
      <c r="K97" s="28">
        <f t="shared" si="17"/>
        <v>-1.0955142430372801E-2</v>
      </c>
      <c r="L97" s="28">
        <f t="shared" si="18"/>
        <v>3.1090916152444942E-4</v>
      </c>
      <c r="N97" s="27">
        <f t="shared" ca="1" si="19"/>
        <v>11078.683861002466</v>
      </c>
      <c r="O97" s="27">
        <f t="shared" ca="1" si="20"/>
        <v>9955.9643167657032</v>
      </c>
      <c r="P97" s="27">
        <f t="shared" ca="1" si="21"/>
        <v>6201.5552208342588</v>
      </c>
      <c r="Q97" s="27">
        <f t="shared" ca="1" si="22"/>
        <v>112.59126937924634</v>
      </c>
      <c r="T97" s="25">
        <f t="shared" ca="1" si="23"/>
        <v>10127915.717068914</v>
      </c>
      <c r="V97" s="25">
        <f t="shared" ca="1" si="24"/>
        <v>127915.71706891432</v>
      </c>
      <c r="X97" s="14">
        <v>-67115.334981834516</v>
      </c>
    </row>
    <row r="98" spans="1:24">
      <c r="A98" s="1">
        <v>94</v>
      </c>
      <c r="B98" s="9">
        <v>39078</v>
      </c>
      <c r="C98" s="37">
        <v>12510.57</v>
      </c>
      <c r="D98" s="38">
        <v>12210.615040000001</v>
      </c>
      <c r="E98" s="38">
        <v>7272.263061170911</v>
      </c>
      <c r="F98" s="38">
        <v>145.32504844553037</v>
      </c>
      <c r="I98" s="28">
        <f t="shared" si="15"/>
        <v>1.3467772680962008E-2</v>
      </c>
      <c r="J98" s="28">
        <f t="shared" si="16"/>
        <v>6.3240631309202464E-3</v>
      </c>
      <c r="K98" s="28">
        <f t="shared" si="17"/>
        <v>1.3423972076432015E-2</v>
      </c>
      <c r="L98" s="28">
        <f t="shared" si="18"/>
        <v>9.3747665060193372E-3</v>
      </c>
      <c r="N98" s="27">
        <f t="shared" ca="1" si="19"/>
        <v>10916.283404958307</v>
      </c>
      <c r="O98" s="27">
        <f t="shared" ca="1" si="20"/>
        <v>9430.5779318017139</v>
      </c>
      <c r="P98" s="27">
        <f t="shared" ca="1" si="21"/>
        <v>6222.2636579361379</v>
      </c>
      <c r="Q98" s="27">
        <f t="shared" ca="1" si="22"/>
        <v>108.8934310091953</v>
      </c>
      <c r="T98" s="25">
        <f t="shared" ca="1" si="23"/>
        <v>9842582.4189724494</v>
      </c>
      <c r="V98" s="25">
        <f t="shared" ca="1" si="24"/>
        <v>-157417.58102755062</v>
      </c>
      <c r="X98" s="14">
        <v>-65898.069742662832</v>
      </c>
    </row>
    <row r="99" spans="1:24">
      <c r="A99" s="1">
        <v>95</v>
      </c>
      <c r="B99" s="9">
        <v>39079</v>
      </c>
      <c r="C99" s="37">
        <v>12501.52</v>
      </c>
      <c r="D99" s="38">
        <v>12231.53991</v>
      </c>
      <c r="E99" s="38">
        <v>7274.0370711187052</v>
      </c>
      <c r="F99" s="38">
        <v>144.77063371995294</v>
      </c>
      <c r="I99" s="28">
        <f t="shared" si="15"/>
        <v>-7.2365007441863743E-4</v>
      </c>
      <c r="J99" s="28">
        <f t="shared" si="16"/>
        <v>1.7121956026195683E-3</v>
      </c>
      <c r="K99" s="28">
        <f t="shared" si="17"/>
        <v>2.4391218941674514E-4</v>
      </c>
      <c r="L99" s="28">
        <f t="shared" si="18"/>
        <v>-3.8222933649701301E-3</v>
      </c>
      <c r="N99" s="27">
        <f t="shared" ca="1" si="19"/>
        <v>11032.342594093398</v>
      </c>
      <c r="O99" s="27">
        <f t="shared" ca="1" si="20"/>
        <v>9508.1902706258043</v>
      </c>
      <c r="P99" s="27">
        <f t="shared" ca="1" si="21"/>
        <v>6284.3776215205244</v>
      </c>
      <c r="Q99" s="27">
        <f t="shared" ca="1" si="22"/>
        <v>112.31350493235183</v>
      </c>
      <c r="T99" s="25">
        <f t="shared" ca="1" si="23"/>
        <v>9979600.8663965147</v>
      </c>
      <c r="V99" s="25">
        <f t="shared" ca="1" si="24"/>
        <v>-20399.133603485301</v>
      </c>
      <c r="X99" s="14">
        <v>-64936.523396147415</v>
      </c>
    </row>
    <row r="100" spans="1:24">
      <c r="A100" s="1">
        <v>96</v>
      </c>
      <c r="B100" s="9">
        <v>39080</v>
      </c>
      <c r="C100" s="37">
        <v>12463.15</v>
      </c>
      <c r="D100" s="38">
        <v>12174.105600000001</v>
      </c>
      <c r="E100" s="38">
        <v>7307.172995780591</v>
      </c>
      <c r="F100" s="38">
        <v>144.56050688150387</v>
      </c>
      <c r="I100" s="28">
        <f t="shared" si="15"/>
        <v>-3.0739465183112148E-3</v>
      </c>
      <c r="J100" s="28">
        <f t="shared" si="16"/>
        <v>-4.7066500251194722E-3</v>
      </c>
      <c r="K100" s="28">
        <f t="shared" si="17"/>
        <v>4.5450249398046342E-3</v>
      </c>
      <c r="L100" s="28">
        <f t="shared" si="18"/>
        <v>-1.4525009299402626E-3</v>
      </c>
      <c r="N100" s="27">
        <f t="shared" ca="1" si="19"/>
        <v>11335.768184157292</v>
      </c>
      <c r="O100" s="27">
        <f t="shared" ca="1" si="20"/>
        <v>9461.5516811245107</v>
      </c>
      <c r="P100" s="27">
        <f t="shared" ca="1" si="21"/>
        <v>6259.2302307811115</v>
      </c>
      <c r="Q100" s="27">
        <f t="shared" ca="1" si="22"/>
        <v>113.77337388946984</v>
      </c>
      <c r="T100" s="25">
        <f t="shared" ca="1" si="23"/>
        <v>10096965.253847813</v>
      </c>
      <c r="V100" s="25">
        <f t="shared" ca="1" si="24"/>
        <v>96965.253847813234</v>
      </c>
      <c r="X100" s="14">
        <v>-64205.475916156545</v>
      </c>
    </row>
    <row r="101" spans="1:24">
      <c r="A101" s="1">
        <v>97</v>
      </c>
      <c r="B101" s="9">
        <v>39086</v>
      </c>
      <c r="C101" s="37">
        <v>12480.69</v>
      </c>
      <c r="D101" s="38">
        <v>12226.3289</v>
      </c>
      <c r="E101" s="38">
        <v>7297.4996727320331</v>
      </c>
      <c r="F101" s="38">
        <v>145.53564240187856</v>
      </c>
      <c r="I101" s="28">
        <f t="shared" si="15"/>
        <v>1.4063594772057955E-3</v>
      </c>
      <c r="J101" s="28">
        <f t="shared" si="16"/>
        <v>4.2805286717562535E-3</v>
      </c>
      <c r="K101" s="28">
        <f t="shared" si="17"/>
        <v>-1.3246889790246646E-3</v>
      </c>
      <c r="L101" s="28">
        <f t="shared" si="18"/>
        <v>6.722868921526565E-3</v>
      </c>
      <c r="N101" s="27">
        <f t="shared" ca="1" si="19"/>
        <v>10918.849460164216</v>
      </c>
      <c r="O101" s="27">
        <f t="shared" ca="1" si="20"/>
        <v>9326.158653860175</v>
      </c>
      <c r="P101" s="27">
        <f t="shared" ca="1" si="21"/>
        <v>6098.3396103660734</v>
      </c>
      <c r="Q101" s="27">
        <f t="shared" ca="1" si="22"/>
        <v>114.97238814627866</v>
      </c>
      <c r="T101" s="25">
        <f t="shared" ca="1" si="23"/>
        <v>9898657.6158973277</v>
      </c>
      <c r="V101" s="25">
        <f t="shared" ca="1" si="24"/>
        <v>-101342.38410267234</v>
      </c>
      <c r="X101" s="14">
        <v>-63906.074898796156</v>
      </c>
    </row>
    <row r="102" spans="1:24">
      <c r="A102" s="1">
        <v>98</v>
      </c>
      <c r="B102" s="9">
        <v>39087</v>
      </c>
      <c r="C102" s="37">
        <v>12398.01</v>
      </c>
      <c r="D102" s="38">
        <v>11989.242750000001</v>
      </c>
      <c r="E102" s="38">
        <v>7167.2512340867761</v>
      </c>
      <c r="F102" s="38">
        <v>143.94130032002695</v>
      </c>
      <c r="I102" s="28">
        <f t="shared" si="15"/>
        <v>-6.6466740133603788E-3</v>
      </c>
      <c r="J102" s="28">
        <f t="shared" si="16"/>
        <v>-1.9581922682006283E-2</v>
      </c>
      <c r="K102" s="28">
        <f t="shared" si="17"/>
        <v>-1.8009568213497078E-2</v>
      </c>
      <c r="L102" s="28">
        <f t="shared" si="18"/>
        <v>-1.1015441770785154E-2</v>
      </c>
      <c r="N102" s="27">
        <f t="shared" ca="1" si="19"/>
        <v>10937.806005647035</v>
      </c>
      <c r="O102" s="27">
        <f t="shared" ca="1" si="20"/>
        <v>9509.6590798823017</v>
      </c>
      <c r="P102" s="27">
        <f t="shared" ca="1" si="21"/>
        <v>6331.637930727652</v>
      </c>
      <c r="Q102" s="27">
        <f t="shared" ca="1" si="22"/>
        <v>115.4082019646908</v>
      </c>
      <c r="T102" s="25">
        <f t="shared" ca="1" si="23"/>
        <v>10008233.636749856</v>
      </c>
      <c r="V102" s="25">
        <f t="shared" ca="1" si="24"/>
        <v>8233.636749856174</v>
      </c>
      <c r="X102" s="14">
        <v>-63315.257546585053</v>
      </c>
    </row>
    <row r="103" spans="1:24">
      <c r="A103" s="1">
        <v>99</v>
      </c>
      <c r="B103" s="9">
        <v>39091</v>
      </c>
      <c r="C103" s="37">
        <v>12416.6</v>
      </c>
      <c r="D103" s="38">
        <v>12024.151660000001</v>
      </c>
      <c r="E103" s="38">
        <v>7194.162007541282</v>
      </c>
      <c r="F103" s="38">
        <v>144.36993299832494</v>
      </c>
      <c r="I103" s="28">
        <f t="shared" si="15"/>
        <v>1.4983111544191912E-3</v>
      </c>
      <c r="J103" s="28">
        <f t="shared" si="16"/>
        <v>2.9074552306307439E-3</v>
      </c>
      <c r="K103" s="28">
        <f t="shared" si="17"/>
        <v>3.7476541477288591E-3</v>
      </c>
      <c r="L103" s="28">
        <f t="shared" si="18"/>
        <v>2.9734047415670753E-3</v>
      </c>
      <c r="N103" s="27">
        <f t="shared" ca="1" si="19"/>
        <v>11145.278777854197</v>
      </c>
      <c r="O103" s="27">
        <f t="shared" ca="1" si="20"/>
        <v>9461.1665406383563</v>
      </c>
      <c r="P103" s="27">
        <f t="shared" ca="1" si="21"/>
        <v>6202.2753566007659</v>
      </c>
      <c r="Q103" s="27">
        <f t="shared" ca="1" si="22"/>
        <v>114.37451064388007</v>
      </c>
      <c r="T103" s="25">
        <f t="shared" ca="1" si="23"/>
        <v>10029185.338869169</v>
      </c>
      <c r="V103" s="25">
        <f t="shared" ca="1" si="24"/>
        <v>29185.338869169354</v>
      </c>
      <c r="X103" s="14">
        <v>-63243.350888101384</v>
      </c>
    </row>
    <row r="104" spans="1:24">
      <c r="A104" s="1">
        <v>100</v>
      </c>
      <c r="B104" s="9">
        <v>39092</v>
      </c>
      <c r="C104" s="37">
        <v>12442.16</v>
      </c>
      <c r="D104" s="38">
        <v>11921.57057</v>
      </c>
      <c r="E104" s="38">
        <v>7123.1874676333509</v>
      </c>
      <c r="F104" s="38">
        <v>141.62333862743461</v>
      </c>
      <c r="I104" s="28">
        <f t="shared" si="15"/>
        <v>2.0564186634784449E-3</v>
      </c>
      <c r="J104" s="28">
        <f t="shared" si="16"/>
        <v>-8.5678532923410683E-3</v>
      </c>
      <c r="K104" s="28">
        <f t="shared" si="17"/>
        <v>-9.9145615494163029E-3</v>
      </c>
      <c r="L104" s="28">
        <f t="shared" si="18"/>
        <v>-1.9207996051299338E-2</v>
      </c>
      <c r="N104" s="27">
        <f t="shared" ca="1" si="19"/>
        <v>10859.234282016132</v>
      </c>
      <c r="O104" s="27">
        <f t="shared" ca="1" si="20"/>
        <v>9624.6122161049716</v>
      </c>
      <c r="P104" s="27">
        <f t="shared" ca="1" si="21"/>
        <v>6152.2721500223133</v>
      </c>
      <c r="Q104" s="27">
        <f t="shared" ca="1" si="22"/>
        <v>112.27091247298112</v>
      </c>
      <c r="T104" s="25">
        <f t="shared" ca="1" si="23"/>
        <v>9931099.609500451</v>
      </c>
      <c r="V104" s="25">
        <f t="shared" ca="1" si="24"/>
        <v>-68900.390499548987</v>
      </c>
      <c r="X104" s="14">
        <v>-61134.890397014096</v>
      </c>
    </row>
    <row r="105" spans="1:24">
      <c r="A105" s="1">
        <v>101</v>
      </c>
      <c r="B105" s="9">
        <v>39093</v>
      </c>
      <c r="C105" s="37">
        <v>12514.98</v>
      </c>
      <c r="D105" s="38">
        <v>12095.739150000001</v>
      </c>
      <c r="E105" s="38">
        <v>7230.9873678783188</v>
      </c>
      <c r="F105" s="38">
        <v>139.79385637193855</v>
      </c>
      <c r="I105" s="28">
        <f t="shared" si="15"/>
        <v>5.8356211211526825E-3</v>
      </c>
      <c r="J105" s="28">
        <f t="shared" si="16"/>
        <v>1.4503842038584036E-2</v>
      </c>
      <c r="K105" s="28">
        <f t="shared" si="17"/>
        <v>1.502028896713014E-2</v>
      </c>
      <c r="L105" s="28">
        <f t="shared" si="18"/>
        <v>-1.3002105496663406E-2</v>
      </c>
      <c r="N105" s="27">
        <f t="shared" ca="1" si="19"/>
        <v>10940.556885031468</v>
      </c>
      <c r="O105" s="27">
        <f t="shared" ca="1" si="20"/>
        <v>9845.7651734141709</v>
      </c>
      <c r="P105" s="27">
        <f t="shared" ca="1" si="21"/>
        <v>6245.8014434499582</v>
      </c>
      <c r="Q105" s="27">
        <f t="shared" ca="1" si="22"/>
        <v>116.2342610217691</v>
      </c>
      <c r="T105" s="25">
        <f t="shared" ca="1" si="23"/>
        <v>10115066.075530965</v>
      </c>
      <c r="V105" s="25">
        <f t="shared" ca="1" si="24"/>
        <v>115066.07553096488</v>
      </c>
      <c r="X105" s="14">
        <v>-61038.413081491366</v>
      </c>
    </row>
    <row r="106" spans="1:24">
      <c r="A106" s="1">
        <v>102</v>
      </c>
      <c r="B106" s="9">
        <v>39094</v>
      </c>
      <c r="C106" s="37">
        <v>12556.08</v>
      </c>
      <c r="D106" s="38">
        <v>12230.935599999999</v>
      </c>
      <c r="E106" s="38">
        <v>7265.4164511122608</v>
      </c>
      <c r="F106" s="38">
        <v>141.72837557125052</v>
      </c>
      <c r="I106" s="28">
        <f t="shared" si="15"/>
        <v>3.278683615127744E-3</v>
      </c>
      <c r="J106" s="28">
        <f t="shared" si="16"/>
        <v>1.111519295741348E-2</v>
      </c>
      <c r="K106" s="28">
        <f t="shared" si="17"/>
        <v>4.7500260614117022E-3</v>
      </c>
      <c r="L106" s="28">
        <f t="shared" si="18"/>
        <v>1.3743494684473135E-2</v>
      </c>
      <c r="N106" s="27">
        <f t="shared" ca="1" si="19"/>
        <v>11230.092293910415</v>
      </c>
      <c r="O106" s="27">
        <f t="shared" ca="1" si="20"/>
        <v>9721.5967495271452</v>
      </c>
      <c r="P106" s="27">
        <f t="shared" ca="1" si="21"/>
        <v>6215.5505558664818</v>
      </c>
      <c r="Q106" s="27">
        <f t="shared" ca="1" si="22"/>
        <v>116.85544247073526</v>
      </c>
      <c r="T106" s="25">
        <f t="shared" ca="1" si="23"/>
        <v>10187470.745090012</v>
      </c>
      <c r="V106" s="25">
        <f t="shared" ca="1" si="24"/>
        <v>187470.74509001151</v>
      </c>
      <c r="X106" s="14">
        <v>-60737.950467184186</v>
      </c>
    </row>
    <row r="107" spans="1:24">
      <c r="A107" s="1">
        <v>103</v>
      </c>
      <c r="B107" s="9">
        <v>39098</v>
      </c>
      <c r="C107" s="37">
        <v>12582.59</v>
      </c>
      <c r="D107" s="38">
        <v>12188.9877</v>
      </c>
      <c r="E107" s="38">
        <v>7230.7513254881678</v>
      </c>
      <c r="F107" s="38">
        <v>142.47523604439291</v>
      </c>
      <c r="I107" s="28">
        <f t="shared" si="15"/>
        <v>2.1091020190854913E-3</v>
      </c>
      <c r="J107" s="28">
        <f t="shared" si="16"/>
        <v>-3.4355506152859002E-3</v>
      </c>
      <c r="K107" s="28">
        <f t="shared" si="17"/>
        <v>-4.7826697697758158E-3</v>
      </c>
      <c r="L107" s="28">
        <f t="shared" si="18"/>
        <v>5.2558247810406541E-3</v>
      </c>
      <c r="N107" s="27">
        <f t="shared" ca="1" si="19"/>
        <v>10885.126287634022</v>
      </c>
      <c r="O107" s="27">
        <f t="shared" ca="1" si="20"/>
        <v>9589.4767862712779</v>
      </c>
      <c r="P107" s="27">
        <f t="shared" ca="1" si="21"/>
        <v>6171.0910788240753</v>
      </c>
      <c r="Q107" s="27">
        <f t="shared" ca="1" si="22"/>
        <v>111.68702149513943</v>
      </c>
      <c r="T107" s="25">
        <f t="shared" ca="1" si="23"/>
        <v>9922200.5721697416</v>
      </c>
      <c r="V107" s="25">
        <f t="shared" ca="1" si="24"/>
        <v>-77799.427830258384</v>
      </c>
      <c r="X107" s="14">
        <v>-60716.937735415995</v>
      </c>
    </row>
    <row r="108" spans="1:24">
      <c r="A108" s="1">
        <v>104</v>
      </c>
      <c r="B108" s="9">
        <v>39099</v>
      </c>
      <c r="C108" s="37">
        <v>12577.15</v>
      </c>
      <c r="D108" s="38">
        <v>12231.551300000001</v>
      </c>
      <c r="E108" s="38">
        <v>7202.5123025123021</v>
      </c>
      <c r="F108" s="38">
        <v>143.21206338670868</v>
      </c>
      <c r="I108" s="28">
        <f t="shared" si="15"/>
        <v>-4.3243690791514434E-4</v>
      </c>
      <c r="J108" s="28">
        <f t="shared" si="16"/>
        <v>3.4858889151201684E-3</v>
      </c>
      <c r="K108" s="28">
        <f t="shared" si="17"/>
        <v>-3.9130524788611801E-3</v>
      </c>
      <c r="L108" s="28">
        <f t="shared" si="18"/>
        <v>5.1582900434948408E-3</v>
      </c>
      <c r="N108" s="27">
        <f t="shared" ca="1" si="19"/>
        <v>11041.286255482386</v>
      </c>
      <c r="O108" s="27">
        <f t="shared" ca="1" si="20"/>
        <v>9763.4511656740124</v>
      </c>
      <c r="P108" s="27">
        <f t="shared" ca="1" si="21"/>
        <v>6114.7375569469314</v>
      </c>
      <c r="Q108" s="27">
        <f t="shared" ca="1" si="22"/>
        <v>110.18099346547146</v>
      </c>
      <c r="T108" s="25">
        <f t="shared" ca="1" si="23"/>
        <v>9997453.8448368646</v>
      </c>
      <c r="V108" s="25">
        <f t="shared" ca="1" si="24"/>
        <v>-2546.1551631353796</v>
      </c>
      <c r="X108" s="14">
        <v>-60687.594260046259</v>
      </c>
    </row>
    <row r="109" spans="1:24">
      <c r="A109" s="1">
        <v>105</v>
      </c>
      <c r="B109" s="9">
        <v>39100</v>
      </c>
      <c r="C109" s="37">
        <v>12567.93</v>
      </c>
      <c r="D109" s="38">
        <v>12247.953659999999</v>
      </c>
      <c r="E109" s="38">
        <v>7194.7157104002072</v>
      </c>
      <c r="F109" s="38">
        <v>143.19454290660292</v>
      </c>
      <c r="I109" s="28">
        <f t="shared" si="15"/>
        <v>-7.3334428947566515E-4</v>
      </c>
      <c r="J109" s="28">
        <f t="shared" si="16"/>
        <v>1.3400893916332159E-3</v>
      </c>
      <c r="K109" s="28">
        <f t="shared" si="17"/>
        <v>-1.0830686111581455E-3</v>
      </c>
      <c r="L109" s="28">
        <f t="shared" si="18"/>
        <v>-1.2234689942646011E-4</v>
      </c>
      <c r="N109" s="27">
        <f t="shared" ca="1" si="19"/>
        <v>11110.136586005328</v>
      </c>
      <c r="O109" s="27">
        <f t="shared" ca="1" si="20"/>
        <v>9405.1846645111145</v>
      </c>
      <c r="P109" s="27">
        <f t="shared" ca="1" si="21"/>
        <v>6117.1022493157798</v>
      </c>
      <c r="Q109" s="27">
        <f t="shared" ca="1" si="22"/>
        <v>111.69104520114927</v>
      </c>
      <c r="T109" s="25">
        <f t="shared" ca="1" si="23"/>
        <v>9937630.8483798206</v>
      </c>
      <c r="V109" s="25">
        <f t="shared" ca="1" si="24"/>
        <v>-62369.151620179415</v>
      </c>
      <c r="X109" s="14">
        <v>-60624.168587569147</v>
      </c>
    </row>
    <row r="110" spans="1:24">
      <c r="A110" s="1">
        <v>106</v>
      </c>
      <c r="B110" s="9">
        <v>39101</v>
      </c>
      <c r="C110" s="37">
        <v>12565.53</v>
      </c>
      <c r="D110" s="38">
        <v>12312.2328</v>
      </c>
      <c r="E110" s="38">
        <v>7268.2200647249192</v>
      </c>
      <c r="F110" s="38">
        <v>142.61361014994233</v>
      </c>
      <c r="I110" s="28">
        <f t="shared" si="15"/>
        <v>-1.9098047044020479E-4</v>
      </c>
      <c r="J110" s="28">
        <f t="shared" si="16"/>
        <v>5.2344298665108913E-3</v>
      </c>
      <c r="K110" s="28">
        <f t="shared" si="17"/>
        <v>1.0164601203184444E-2</v>
      </c>
      <c r="L110" s="28">
        <f t="shared" si="18"/>
        <v>-4.0651993337586477E-3</v>
      </c>
      <c r="N110" s="27">
        <f t="shared" ca="1" si="19"/>
        <v>11202.372214289773</v>
      </c>
      <c r="O110" s="27">
        <f t="shared" ca="1" si="20"/>
        <v>9826.2357597105365</v>
      </c>
      <c r="P110" s="27">
        <f t="shared" ca="1" si="21"/>
        <v>6114.95936964057</v>
      </c>
      <c r="Q110" s="27">
        <f t="shared" ca="1" si="22"/>
        <v>113.60602701768578</v>
      </c>
      <c r="T110" s="25">
        <f t="shared" ca="1" si="23"/>
        <v>10136285.1255637</v>
      </c>
      <c r="V110" s="25">
        <f t="shared" ca="1" si="24"/>
        <v>136285.12556369975</v>
      </c>
      <c r="X110" s="14">
        <v>-60596.563500918448</v>
      </c>
    </row>
    <row r="111" spans="1:24">
      <c r="A111" s="1">
        <v>107</v>
      </c>
      <c r="B111" s="9">
        <v>39104</v>
      </c>
      <c r="C111" s="37">
        <v>12477.16</v>
      </c>
      <c r="D111" s="38">
        <v>12289.423919999999</v>
      </c>
      <c r="E111" s="38">
        <v>7230.5040818971092</v>
      </c>
      <c r="F111" s="38">
        <v>143.31452541536439</v>
      </c>
      <c r="I111" s="28">
        <f t="shared" si="15"/>
        <v>-7.057577824463322E-3</v>
      </c>
      <c r="J111" s="28">
        <f t="shared" si="16"/>
        <v>-1.8542561417586513E-3</v>
      </c>
      <c r="K111" s="28">
        <f t="shared" si="17"/>
        <v>-5.2026740450358223E-3</v>
      </c>
      <c r="L111" s="28">
        <f t="shared" si="18"/>
        <v>4.9027471047805504E-3</v>
      </c>
      <c r="N111" s="27">
        <f t="shared" ca="1" si="19"/>
        <v>10922.060232132677</v>
      </c>
      <c r="O111" s="27">
        <f t="shared" ca="1" si="20"/>
        <v>9417.7536434854646</v>
      </c>
      <c r="P111" s="27">
        <f t="shared" ca="1" si="21"/>
        <v>6271.1095577872511</v>
      </c>
      <c r="Q111" s="27">
        <f t="shared" ca="1" si="22"/>
        <v>113.64809956179107</v>
      </c>
      <c r="T111" s="25">
        <f t="shared" ca="1" si="23"/>
        <v>9932835.219759414</v>
      </c>
      <c r="V111" s="25">
        <f t="shared" ca="1" si="24"/>
        <v>-67164.780240586028</v>
      </c>
      <c r="X111" s="14">
        <v>-59388.827805062756</v>
      </c>
    </row>
    <row r="112" spans="1:24">
      <c r="A112" s="1">
        <v>108</v>
      </c>
      <c r="B112" s="9">
        <v>39105</v>
      </c>
      <c r="C112" s="37">
        <v>12533.8</v>
      </c>
      <c r="D112" s="38">
        <v>12371.127399999999</v>
      </c>
      <c r="E112" s="38">
        <v>7265.8282288544242</v>
      </c>
      <c r="F112" s="38">
        <v>143.4220629428242</v>
      </c>
      <c r="I112" s="28">
        <f t="shared" si="15"/>
        <v>4.5292221350442174E-3</v>
      </c>
      <c r="J112" s="28">
        <f t="shared" si="16"/>
        <v>6.6262735077743671E-3</v>
      </c>
      <c r="K112" s="28">
        <f t="shared" si="17"/>
        <v>4.8735385084291696E-3</v>
      </c>
      <c r="L112" s="28">
        <f t="shared" si="18"/>
        <v>7.5007890075995474E-4</v>
      </c>
      <c r="N112" s="27">
        <f t="shared" ca="1" si="19"/>
        <v>10964.762644445183</v>
      </c>
      <c r="O112" s="27">
        <f t="shared" ca="1" si="20"/>
        <v>9388.9151927054536</v>
      </c>
      <c r="P112" s="27">
        <f t="shared" ca="1" si="21"/>
        <v>6175.6012129057272</v>
      </c>
      <c r="Q112" s="27">
        <f t="shared" ca="1" si="22"/>
        <v>112.33661720089196</v>
      </c>
      <c r="T112" s="25">
        <f t="shared" ca="1" si="23"/>
        <v>9900667.9177089669</v>
      </c>
      <c r="V112" s="25">
        <f t="shared" ca="1" si="24"/>
        <v>-99332.082291033119</v>
      </c>
      <c r="X112" s="14">
        <v>-59373.674496501684</v>
      </c>
    </row>
    <row r="113" spans="1:24">
      <c r="A113" s="1">
        <v>109</v>
      </c>
      <c r="B113" s="9">
        <v>39106</v>
      </c>
      <c r="C113" s="37">
        <v>12621.77</v>
      </c>
      <c r="D113" s="38">
        <v>12411.7394</v>
      </c>
      <c r="E113" s="38">
        <v>7308.8929219600732</v>
      </c>
      <c r="F113" s="38">
        <v>144.71317573152587</v>
      </c>
      <c r="I113" s="28">
        <f t="shared" si="15"/>
        <v>6.9941057671014635E-3</v>
      </c>
      <c r="J113" s="28">
        <f t="shared" si="16"/>
        <v>3.277428449313708E-3</v>
      </c>
      <c r="K113" s="28">
        <f t="shared" si="17"/>
        <v>5.9095221084520472E-3</v>
      </c>
      <c r="L113" s="28">
        <f t="shared" si="18"/>
        <v>8.9619127187303381E-3</v>
      </c>
      <c r="N113" s="27">
        <f t="shared" ca="1" si="19"/>
        <v>10997.292136450435</v>
      </c>
      <c r="O113" s="27">
        <f t="shared" ca="1" si="20"/>
        <v>9728.4180731896722</v>
      </c>
      <c r="P113" s="27">
        <f t="shared" ca="1" si="21"/>
        <v>6209.3173737785019</v>
      </c>
      <c r="Q113" s="27">
        <f t="shared" ca="1" si="22"/>
        <v>113.37061607493479</v>
      </c>
      <c r="T113" s="25">
        <f t="shared" ca="1" si="23"/>
        <v>10042336.384065891</v>
      </c>
      <c r="V113" s="25">
        <f t="shared" ca="1" si="24"/>
        <v>42336.384065890685</v>
      </c>
      <c r="X113" s="14">
        <v>-58488.629754045978</v>
      </c>
    </row>
    <row r="114" spans="1:24">
      <c r="A114" s="1">
        <v>110</v>
      </c>
      <c r="B114" s="9">
        <v>39107</v>
      </c>
      <c r="C114" s="37">
        <v>12502.56</v>
      </c>
      <c r="D114" s="38">
        <v>12355.536440000002</v>
      </c>
      <c r="E114" s="38">
        <v>7279.0033739942901</v>
      </c>
      <c r="F114" s="38">
        <v>144.34311699049192</v>
      </c>
      <c r="I114" s="28">
        <f t="shared" si="15"/>
        <v>-9.4896775046256349E-3</v>
      </c>
      <c r="J114" s="28">
        <f t="shared" si="16"/>
        <v>-4.538493198448899E-3</v>
      </c>
      <c r="K114" s="28">
        <f t="shared" si="17"/>
        <v>-4.0978615676985084E-3</v>
      </c>
      <c r="L114" s="28">
        <f t="shared" si="18"/>
        <v>-2.560462806214029E-3</v>
      </c>
      <c r="N114" s="27">
        <f t="shared" ca="1" si="19"/>
        <v>11069.659051855775</v>
      </c>
      <c r="O114" s="27">
        <f t="shared" ca="1" si="20"/>
        <v>9697.898909983096</v>
      </c>
      <c r="P114" s="27">
        <f t="shared" ca="1" si="21"/>
        <v>6065.8578269915288</v>
      </c>
      <c r="Q114" s="27">
        <f t="shared" ca="1" si="22"/>
        <v>112.27889014135258</v>
      </c>
      <c r="T114" s="25">
        <f t="shared" ca="1" si="23"/>
        <v>10016571.41197354</v>
      </c>
      <c r="V114" s="25">
        <f t="shared" ca="1" si="24"/>
        <v>16571.41197353974</v>
      </c>
      <c r="X114" s="14">
        <v>-58366.72438454628</v>
      </c>
    </row>
    <row r="115" spans="1:24">
      <c r="A115" s="1">
        <v>111</v>
      </c>
      <c r="B115" s="9">
        <v>39108</v>
      </c>
      <c r="C115" s="37">
        <v>12487.02</v>
      </c>
      <c r="D115" s="38">
        <v>12204.388800000001</v>
      </c>
      <c r="E115" s="38">
        <v>7204.8270521424884</v>
      </c>
      <c r="F115" s="38">
        <v>143.40217301835543</v>
      </c>
      <c r="I115" s="28">
        <f t="shared" si="15"/>
        <v>-1.2437185421405202E-3</v>
      </c>
      <c r="J115" s="28">
        <f t="shared" si="16"/>
        <v>-1.2308632602729221E-2</v>
      </c>
      <c r="K115" s="28">
        <f t="shared" si="17"/>
        <v>-1.0242728363464366E-2</v>
      </c>
      <c r="L115" s="28">
        <f t="shared" si="18"/>
        <v>-6.540140594871016E-3</v>
      </c>
      <c r="N115" s="27">
        <f t="shared" ca="1" si="19"/>
        <v>10974.264875229252</v>
      </c>
      <c r="O115" s="27">
        <f t="shared" ca="1" si="20"/>
        <v>9624.7517240239613</v>
      </c>
      <c r="P115" s="27">
        <f t="shared" ca="1" si="21"/>
        <v>6259.1797468160794</v>
      </c>
      <c r="Q115" s="27">
        <f t="shared" ca="1" si="22"/>
        <v>111.82076512214383</v>
      </c>
      <c r="T115" s="25">
        <f t="shared" ca="1" si="23"/>
        <v>9982151.0820588488</v>
      </c>
      <c r="V115" s="25">
        <f t="shared" ca="1" si="24"/>
        <v>-17848.917941151187</v>
      </c>
      <c r="X115" s="14">
        <v>-57636.823543751612</v>
      </c>
    </row>
    <row r="116" spans="1:24">
      <c r="A116" s="1">
        <v>112</v>
      </c>
      <c r="B116" s="9">
        <v>39111</v>
      </c>
      <c r="C116" s="37">
        <v>12490.78</v>
      </c>
      <c r="D116" s="38">
        <v>12217.100209999999</v>
      </c>
      <c r="E116" s="38">
        <v>7269.9870633893916</v>
      </c>
      <c r="F116" s="38">
        <v>143.3062094988106</v>
      </c>
      <c r="I116" s="28">
        <f t="shared" si="15"/>
        <v>3.0106735007904043E-4</v>
      </c>
      <c r="J116" s="28">
        <f t="shared" si="16"/>
        <v>1.0410021389541447E-3</v>
      </c>
      <c r="K116" s="28">
        <f t="shared" si="17"/>
        <v>9.0032867956177254E-3</v>
      </c>
      <c r="L116" s="28">
        <f t="shared" si="18"/>
        <v>-6.6941553843583392E-4</v>
      </c>
      <c r="N116" s="27">
        <f t="shared" ca="1" si="19"/>
        <v>10675.942648586857</v>
      </c>
      <c r="O116" s="27">
        <f t="shared" ca="1" si="20"/>
        <v>9378.8671497095511</v>
      </c>
      <c r="P116" s="27">
        <f t="shared" ca="1" si="21"/>
        <v>6357.3164810617845</v>
      </c>
      <c r="Q116" s="27">
        <f t="shared" ca="1" si="22"/>
        <v>113.82805834296514</v>
      </c>
      <c r="T116" s="25">
        <f t="shared" ca="1" si="23"/>
        <v>9848458.4695197325</v>
      </c>
      <c r="V116" s="25">
        <f t="shared" ca="1" si="24"/>
        <v>-151541.53048026748</v>
      </c>
      <c r="X116" s="14">
        <v>-57128.197287678719</v>
      </c>
    </row>
    <row r="117" spans="1:24">
      <c r="A117" s="1">
        <v>113</v>
      </c>
      <c r="B117" s="9">
        <v>39112</v>
      </c>
      <c r="C117" s="37">
        <v>12523.31</v>
      </c>
      <c r="D117" s="38">
        <v>12243.058800000001</v>
      </c>
      <c r="E117" s="38">
        <v>7314.8354495983413</v>
      </c>
      <c r="F117" s="38">
        <v>143.91664609561423</v>
      </c>
      <c r="I117" s="28">
        <f t="shared" si="15"/>
        <v>2.6009355797808613E-3</v>
      </c>
      <c r="J117" s="28">
        <f t="shared" si="16"/>
        <v>2.122520931681777E-3</v>
      </c>
      <c r="K117" s="28">
        <f t="shared" si="17"/>
        <v>6.1500271980246346E-3</v>
      </c>
      <c r="L117" s="28">
        <f t="shared" si="18"/>
        <v>4.2506193641316968E-3</v>
      </c>
      <c r="N117" s="27">
        <f t="shared" ca="1" si="19"/>
        <v>11141.852872134614</v>
      </c>
      <c r="O117" s="27">
        <f t="shared" ca="1" si="20"/>
        <v>9392.2903375611331</v>
      </c>
      <c r="P117" s="27">
        <f t="shared" ca="1" si="21"/>
        <v>6265.2122012702066</v>
      </c>
      <c r="Q117" s="27">
        <f t="shared" ca="1" si="22"/>
        <v>112.26605819107412</v>
      </c>
      <c r="T117" s="25">
        <f t="shared" ca="1" si="23"/>
        <v>9979191.8833737951</v>
      </c>
      <c r="V117" s="25">
        <f t="shared" ca="1" si="24"/>
        <v>-20808.116626204923</v>
      </c>
      <c r="X117" s="14">
        <v>-56471.755263626575</v>
      </c>
    </row>
    <row r="118" spans="1:24">
      <c r="A118" s="1">
        <v>114</v>
      </c>
      <c r="B118" s="9">
        <v>39113</v>
      </c>
      <c r="C118" s="37">
        <v>12621.69</v>
      </c>
      <c r="D118" s="38">
        <v>12141.94794</v>
      </c>
      <c r="E118" s="38">
        <v>7288.2521117608849</v>
      </c>
      <c r="F118" s="38">
        <v>143.72401818933443</v>
      </c>
      <c r="I118" s="28">
        <f t="shared" si="15"/>
        <v>7.8250548415668957E-3</v>
      </c>
      <c r="J118" s="28">
        <f t="shared" si="16"/>
        <v>-8.2929187223916741E-3</v>
      </c>
      <c r="K118" s="28">
        <f t="shared" si="17"/>
        <v>-3.6407872088690713E-3</v>
      </c>
      <c r="L118" s="28">
        <f t="shared" si="18"/>
        <v>-1.3393651106661454E-3</v>
      </c>
      <c r="N118" s="27">
        <f t="shared" ca="1" si="19"/>
        <v>11089.057019146012</v>
      </c>
      <c r="O118" s="27">
        <f t="shared" ca="1" si="20"/>
        <v>9378.070578997389</v>
      </c>
      <c r="P118" s="27">
        <f t="shared" ca="1" si="21"/>
        <v>6207.7227191652673</v>
      </c>
      <c r="Q118" s="27">
        <f t="shared" ca="1" si="22"/>
        <v>112.53159750768671</v>
      </c>
      <c r="T118" s="25">
        <f t="shared" ca="1" si="23"/>
        <v>9951023.4104690254</v>
      </c>
      <c r="V118" s="25">
        <f t="shared" ca="1" si="24"/>
        <v>-48976.589530974627</v>
      </c>
      <c r="X118" s="14">
        <v>-55678.091563126072</v>
      </c>
    </row>
    <row r="119" spans="1:24">
      <c r="A119" s="1">
        <v>115</v>
      </c>
      <c r="B119" s="9">
        <v>39114</v>
      </c>
      <c r="C119" s="37">
        <v>12673.68</v>
      </c>
      <c r="D119" s="38">
        <v>12379.0751</v>
      </c>
      <c r="E119" s="38">
        <v>7373.6814689412686</v>
      </c>
      <c r="F119" s="38">
        <v>145.39004149377593</v>
      </c>
      <c r="I119" s="28">
        <f t="shared" si="15"/>
        <v>4.1106394733723172E-3</v>
      </c>
      <c r="J119" s="28">
        <f t="shared" si="16"/>
        <v>1.9341326154898569E-2</v>
      </c>
      <c r="K119" s="28">
        <f t="shared" si="17"/>
        <v>1.1653350288024245E-2</v>
      </c>
      <c r="L119" s="28">
        <f t="shared" si="18"/>
        <v>1.1525152028894882E-2</v>
      </c>
      <c r="N119" s="27">
        <f t="shared" ca="1" si="19"/>
        <v>11149.262795550881</v>
      </c>
      <c r="O119" s="27">
        <f t="shared" ca="1" si="20"/>
        <v>9445.880500086143</v>
      </c>
      <c r="P119" s="27">
        <f t="shared" ca="1" si="21"/>
        <v>6200.7323612263144</v>
      </c>
      <c r="Q119" s="27">
        <f t="shared" ca="1" si="22"/>
        <v>114.85358862693131</v>
      </c>
      <c r="T119" s="25">
        <f t="shared" ca="1" si="23"/>
        <v>10034098.005558752</v>
      </c>
      <c r="V119" s="25">
        <f t="shared" ca="1" si="24"/>
        <v>34098.005558751523</v>
      </c>
      <c r="X119" s="14">
        <v>-54397.63714633882</v>
      </c>
    </row>
    <row r="120" spans="1:24">
      <c r="A120" s="1">
        <v>116</v>
      </c>
      <c r="B120" s="9">
        <v>39115</v>
      </c>
      <c r="C120" s="37">
        <v>12653.49</v>
      </c>
      <c r="D120" s="38">
        <v>12422.375559999999</v>
      </c>
      <c r="E120" s="38">
        <v>7366.4201375373032</v>
      </c>
      <c r="F120" s="38">
        <v>144.84984315667822</v>
      </c>
      <c r="I120" s="28">
        <f t="shared" si="15"/>
        <v>-1.594335591126666E-3</v>
      </c>
      <c r="J120" s="28">
        <f t="shared" si="16"/>
        <v>3.491771879682149E-3</v>
      </c>
      <c r="K120" s="28">
        <f t="shared" si="17"/>
        <v>-9.8524856682995275E-4</v>
      </c>
      <c r="L120" s="28">
        <f t="shared" si="18"/>
        <v>-3.7224309230917993E-3</v>
      </c>
      <c r="N120" s="27">
        <f t="shared" ca="1" si="19"/>
        <v>11166.893002545348</v>
      </c>
      <c r="O120" s="27">
        <f t="shared" ca="1" si="20"/>
        <v>9504.0761324596442</v>
      </c>
      <c r="P120" s="27">
        <f t="shared" ca="1" si="21"/>
        <v>6133.2431299942391</v>
      </c>
      <c r="Q120" s="27">
        <f t="shared" ca="1" si="22"/>
        <v>110.23442836846462</v>
      </c>
      <c r="T120" s="25">
        <f t="shared" ca="1" si="23"/>
        <v>9965913.8744924758</v>
      </c>
      <c r="V120" s="25">
        <f t="shared" ca="1" si="24"/>
        <v>-34086.125507524237</v>
      </c>
      <c r="X120" s="14">
        <v>-54333.547443419695</v>
      </c>
    </row>
    <row r="121" spans="1:24">
      <c r="A121" s="1">
        <v>117</v>
      </c>
      <c r="B121" s="9">
        <v>39118</v>
      </c>
      <c r="C121" s="37">
        <v>12661.74</v>
      </c>
      <c r="D121" s="38">
        <v>12383.715789999998</v>
      </c>
      <c r="E121" s="38">
        <v>7343.7306101344366</v>
      </c>
      <c r="F121" s="38">
        <v>144.19153711862995</v>
      </c>
      <c r="I121" s="28">
        <f t="shared" si="15"/>
        <v>6.5178157907812295E-4</v>
      </c>
      <c r="J121" s="28">
        <f t="shared" si="16"/>
        <v>-3.1169603267403052E-3</v>
      </c>
      <c r="K121" s="28">
        <f t="shared" si="17"/>
        <v>-3.084882784114095E-3</v>
      </c>
      <c r="L121" s="28">
        <f t="shared" si="18"/>
        <v>-4.5551067856562976E-3</v>
      </c>
      <c r="N121" s="27">
        <f t="shared" ca="1" si="19"/>
        <v>11185.519065514194</v>
      </c>
      <c r="O121" s="27">
        <f t="shared" ca="1" si="20"/>
        <v>9723.6540915417427</v>
      </c>
      <c r="P121" s="27">
        <f t="shared" ca="1" si="21"/>
        <v>6267.0991511822776</v>
      </c>
      <c r="Q121" s="27">
        <f t="shared" ca="1" si="22"/>
        <v>112.82703284739344</v>
      </c>
      <c r="T121" s="25">
        <f t="shared" ca="1" si="23"/>
        <v>10108839.7244773</v>
      </c>
      <c r="V121" s="25">
        <f t="shared" ca="1" si="24"/>
        <v>108839.72447730042</v>
      </c>
      <c r="X121" s="14">
        <v>-54224.504432307556</v>
      </c>
    </row>
    <row r="122" spans="1:24">
      <c r="A122" s="1">
        <v>118</v>
      </c>
      <c r="B122" s="9">
        <v>39119</v>
      </c>
      <c r="C122" s="37">
        <v>12666.31</v>
      </c>
      <c r="D122" s="38">
        <v>12493.96081</v>
      </c>
      <c r="E122" s="38">
        <v>7353.3419689119164</v>
      </c>
      <c r="F122" s="38">
        <v>144.50323758924125</v>
      </c>
      <c r="I122" s="28">
        <f t="shared" si="15"/>
        <v>3.6086473688997305E-4</v>
      </c>
      <c r="J122" s="28">
        <f t="shared" si="16"/>
        <v>8.8630255507208024E-3</v>
      </c>
      <c r="K122" s="28">
        <f t="shared" si="17"/>
        <v>1.3079285137834679E-3</v>
      </c>
      <c r="L122" s="28">
        <f t="shared" si="18"/>
        <v>2.1593781324657398E-3</v>
      </c>
      <c r="N122" s="27">
        <f t="shared" ca="1" si="19"/>
        <v>11046.349958470131</v>
      </c>
      <c r="O122" s="27">
        <f t="shared" ca="1" si="20"/>
        <v>9605.7011176699052</v>
      </c>
      <c r="P122" s="27">
        <f t="shared" ca="1" si="21"/>
        <v>6073.4483163658761</v>
      </c>
      <c r="Q122" s="27">
        <f t="shared" ca="1" si="22"/>
        <v>110.9988057048683</v>
      </c>
      <c r="T122" s="25">
        <f t="shared" ca="1" si="23"/>
        <v>9957832.33886436</v>
      </c>
      <c r="V122" s="25">
        <f t="shared" ca="1" si="24"/>
        <v>-42167.661135639995</v>
      </c>
      <c r="X122" s="14">
        <v>-54120.054164119065</v>
      </c>
    </row>
    <row r="123" spans="1:24">
      <c r="A123" s="1">
        <v>119</v>
      </c>
      <c r="B123" s="9">
        <v>39120</v>
      </c>
      <c r="C123" s="37">
        <v>12666.87</v>
      </c>
      <c r="D123" s="38">
        <v>12548.551949999999</v>
      </c>
      <c r="E123" s="38">
        <v>7423.8479562613902</v>
      </c>
      <c r="F123" s="38">
        <v>143.31443726172716</v>
      </c>
      <c r="I123" s="28">
        <f t="shared" si="15"/>
        <v>4.4210793914713937E-5</v>
      </c>
      <c r="J123" s="28">
        <f t="shared" si="16"/>
        <v>4.3598840897640535E-3</v>
      </c>
      <c r="K123" s="28">
        <f t="shared" si="17"/>
        <v>9.5426157121234739E-3</v>
      </c>
      <c r="L123" s="28">
        <f t="shared" si="18"/>
        <v>-8.2608344923257998E-3</v>
      </c>
      <c r="N123" s="27">
        <f t="shared" ca="1" si="19"/>
        <v>11036.182416020887</v>
      </c>
      <c r="O123" s="27">
        <f t="shared" ca="1" si="20"/>
        <v>9803.4958422689269</v>
      </c>
      <c r="P123" s="27">
        <f t="shared" ca="1" si="21"/>
        <v>6225.4709275646774</v>
      </c>
      <c r="Q123" s="27">
        <f t="shared" ca="1" si="22"/>
        <v>112.1032616939539</v>
      </c>
      <c r="T123" s="25">
        <f t="shared" ca="1" si="23"/>
        <v>10060050.879582755</v>
      </c>
      <c r="V123" s="25">
        <f t="shared" ca="1" si="24"/>
        <v>60050.879582755268</v>
      </c>
      <c r="X123" s="14">
        <v>-54100.209967447445</v>
      </c>
    </row>
    <row r="124" spans="1:24">
      <c r="A124" s="1">
        <v>120</v>
      </c>
      <c r="B124" s="9">
        <v>39121</v>
      </c>
      <c r="C124" s="37">
        <v>12637.63</v>
      </c>
      <c r="D124" s="38">
        <v>12428.155119999999</v>
      </c>
      <c r="E124" s="38">
        <v>7386.0495436766623</v>
      </c>
      <c r="F124" s="38">
        <v>142.70077570556197</v>
      </c>
      <c r="I124" s="28">
        <f t="shared" si="15"/>
        <v>-2.3110524226242382E-3</v>
      </c>
      <c r="J124" s="28">
        <f t="shared" si="16"/>
        <v>-9.6408035042942954E-3</v>
      </c>
      <c r="K124" s="28">
        <f t="shared" si="17"/>
        <v>-5.1044910550210858E-3</v>
      </c>
      <c r="L124" s="28">
        <f t="shared" si="18"/>
        <v>-4.2911178845793955E-3</v>
      </c>
      <c r="N124" s="27">
        <f t="shared" ca="1" si="19"/>
        <v>11030.345339221923</v>
      </c>
      <c r="O124" s="27">
        <f t="shared" ca="1" si="20"/>
        <v>9471.1848992330888</v>
      </c>
      <c r="P124" s="27">
        <f t="shared" ca="1" si="21"/>
        <v>6220.155118637389</v>
      </c>
      <c r="Q124" s="27">
        <f t="shared" ca="1" si="22"/>
        <v>111.83198736970812</v>
      </c>
      <c r="T124" s="25">
        <f t="shared" ca="1" si="23"/>
        <v>9948418.0664489772</v>
      </c>
      <c r="V124" s="25">
        <f t="shared" ca="1" si="24"/>
        <v>-51581.933551022783</v>
      </c>
      <c r="X124" s="14">
        <v>-53363.631270134822</v>
      </c>
    </row>
    <row r="125" spans="1:24">
      <c r="A125" s="1">
        <v>121</v>
      </c>
      <c r="B125" s="9">
        <v>39122</v>
      </c>
      <c r="C125" s="37">
        <v>12580.83</v>
      </c>
      <c r="D125" s="38">
        <v>12436.247519999999</v>
      </c>
      <c r="E125" s="38">
        <v>7398.5573173901739</v>
      </c>
      <c r="F125" s="38">
        <v>143.8317995069844</v>
      </c>
      <c r="I125" s="28">
        <f t="shared" si="15"/>
        <v>-4.5046443000814713E-3</v>
      </c>
      <c r="J125" s="28">
        <f t="shared" si="16"/>
        <v>6.5092255807599293E-4</v>
      </c>
      <c r="K125" s="28">
        <f t="shared" si="17"/>
        <v>1.6919999043670917E-3</v>
      </c>
      <c r="L125" s="28">
        <f t="shared" si="18"/>
        <v>7.8945974976917018E-3</v>
      </c>
      <c r="N125" s="27">
        <f t="shared" ca="1" si="19"/>
        <v>11009.319518965467</v>
      </c>
      <c r="O125" s="27">
        <f t="shared" ca="1" si="20"/>
        <v>9847.0341950082493</v>
      </c>
      <c r="P125" s="27">
        <f t="shared" ca="1" si="21"/>
        <v>6135.6345127277209</v>
      </c>
      <c r="Q125" s="27">
        <f t="shared" ca="1" si="22"/>
        <v>112.03627428778479</v>
      </c>
      <c r="T125" s="25">
        <f t="shared" ca="1" si="23"/>
        <v>10048231.677477047</v>
      </c>
      <c r="V125" s="25">
        <f t="shared" ca="1" si="24"/>
        <v>48231.677477046847</v>
      </c>
      <c r="X125" s="14">
        <v>-53237.278787456453</v>
      </c>
    </row>
    <row r="126" spans="1:24">
      <c r="A126" s="1">
        <v>122</v>
      </c>
      <c r="B126" s="9">
        <v>39126</v>
      </c>
      <c r="C126" s="37">
        <v>12654.85</v>
      </c>
      <c r="D126" s="38">
        <v>12399.19922</v>
      </c>
      <c r="E126" s="38">
        <v>7395.4841228526802</v>
      </c>
      <c r="F126" s="38">
        <v>145.27164056059357</v>
      </c>
      <c r="I126" s="28">
        <f t="shared" si="15"/>
        <v>5.8663140660117326E-3</v>
      </c>
      <c r="J126" s="28">
        <f t="shared" si="16"/>
        <v>-2.9835040109679103E-3</v>
      </c>
      <c r="K126" s="28">
        <f t="shared" si="17"/>
        <v>-4.1546383307258707E-4</v>
      </c>
      <c r="L126" s="28">
        <f t="shared" si="18"/>
        <v>9.9608151191786717E-3</v>
      </c>
      <c r="N126" s="27">
        <f t="shared" ca="1" si="19"/>
        <v>10998.477223942922</v>
      </c>
      <c r="O126" s="27">
        <f t="shared" ca="1" si="20"/>
        <v>9836.3089615843273</v>
      </c>
      <c r="P126" s="27">
        <f t="shared" ca="1" si="21"/>
        <v>6175.5185870477262</v>
      </c>
      <c r="Q126" s="27">
        <f t="shared" ca="1" si="22"/>
        <v>112.92831652017648</v>
      </c>
      <c r="T126" s="25">
        <f t="shared" ca="1" si="23"/>
        <v>10063190.999786597</v>
      </c>
      <c r="V126" s="25">
        <f t="shared" ca="1" si="24"/>
        <v>63190.999786596745</v>
      </c>
      <c r="X126" s="14">
        <v>-53236.42646022886</v>
      </c>
    </row>
    <row r="127" spans="1:24">
      <c r="A127" s="1">
        <v>123</v>
      </c>
      <c r="B127" s="9">
        <v>39127</v>
      </c>
      <c r="C127" s="37">
        <v>12741.86</v>
      </c>
      <c r="D127" s="38">
        <v>12590.046840000001</v>
      </c>
      <c r="E127" s="38">
        <v>7515.2119700748126</v>
      </c>
      <c r="F127" s="38">
        <v>146.98327537671798</v>
      </c>
      <c r="I127" s="28">
        <f t="shared" si="15"/>
        <v>6.8520954434764421E-3</v>
      </c>
      <c r="J127" s="28">
        <f t="shared" si="16"/>
        <v>1.5274676968943709E-2</v>
      </c>
      <c r="K127" s="28">
        <f t="shared" si="17"/>
        <v>1.6059668810254262E-2</v>
      </c>
      <c r="L127" s="28">
        <f t="shared" si="18"/>
        <v>1.1713434355276411E-2</v>
      </c>
      <c r="N127" s="27">
        <f t="shared" ca="1" si="19"/>
        <v>10978.948209139435</v>
      </c>
      <c r="O127" s="27">
        <f t="shared" ca="1" si="20"/>
        <v>9540.359288676198</v>
      </c>
      <c r="P127" s="27">
        <f t="shared" ca="1" si="21"/>
        <v>6145.5491222926639</v>
      </c>
      <c r="Q127" s="27">
        <f t="shared" ca="1" si="22"/>
        <v>112.08260493338277</v>
      </c>
      <c r="T127" s="25">
        <f t="shared" ca="1" si="23"/>
        <v>9943793.079164071</v>
      </c>
      <c r="V127" s="25">
        <f t="shared" ca="1" si="24"/>
        <v>-56206.920835928991</v>
      </c>
      <c r="X127" s="14">
        <v>-51357.21367030777</v>
      </c>
    </row>
    <row r="128" spans="1:24">
      <c r="A128" s="1">
        <v>124</v>
      </c>
      <c r="B128" s="9">
        <v>39128</v>
      </c>
      <c r="C128" s="37">
        <v>12765.01</v>
      </c>
      <c r="D128" s="38">
        <v>12571.95486</v>
      </c>
      <c r="E128" s="38">
        <v>7518.5701143382839</v>
      </c>
      <c r="F128" s="38">
        <v>149.79268496819552</v>
      </c>
      <c r="I128" s="28">
        <f t="shared" si="15"/>
        <v>1.8151977374324571E-3</v>
      </c>
      <c r="J128" s="28">
        <f t="shared" si="16"/>
        <v>-1.4380400520989174E-3</v>
      </c>
      <c r="K128" s="28">
        <f t="shared" si="17"/>
        <v>4.4674644084474155E-4</v>
      </c>
      <c r="L128" s="28">
        <f t="shared" si="18"/>
        <v>1.8933430544178027E-2</v>
      </c>
      <c r="N128" s="27">
        <f t="shared" ca="1" si="19"/>
        <v>11186.871974616835</v>
      </c>
      <c r="O128" s="27">
        <f t="shared" ca="1" si="20"/>
        <v>9705.817874336919</v>
      </c>
      <c r="P128" s="27">
        <f t="shared" ca="1" si="21"/>
        <v>6249.6981981995941</v>
      </c>
      <c r="Q128" s="27">
        <f t="shared" ca="1" si="22"/>
        <v>115.05999688713302</v>
      </c>
      <c r="T128" s="25">
        <f t="shared" ca="1" si="23"/>
        <v>10140534.202542491</v>
      </c>
      <c r="V128" s="25">
        <f t="shared" ca="1" si="24"/>
        <v>140534.20254249126</v>
      </c>
      <c r="X128" s="14">
        <v>-50788.050418045372</v>
      </c>
    </row>
    <row r="129" spans="1:24">
      <c r="A129" s="1">
        <v>125</v>
      </c>
      <c r="B129" s="9">
        <v>39129</v>
      </c>
      <c r="C129" s="37">
        <v>12767.57</v>
      </c>
      <c r="D129" s="38">
        <v>12518.025</v>
      </c>
      <c r="E129" s="38">
        <v>7498.1496062992128</v>
      </c>
      <c r="F129" s="38">
        <v>149.8252451596681</v>
      </c>
      <c r="I129" s="28">
        <f t="shared" si="15"/>
        <v>2.0052811024800051E-4</v>
      </c>
      <c r="J129" s="28">
        <f t="shared" si="16"/>
        <v>-4.2989227856057429E-3</v>
      </c>
      <c r="K129" s="28">
        <f t="shared" si="17"/>
        <v>-2.7197045701259194E-3</v>
      </c>
      <c r="L129" s="28">
        <f t="shared" si="18"/>
        <v>2.1734474693721497E-4</v>
      </c>
      <c r="N129" s="27">
        <f t="shared" ca="1" si="19"/>
        <v>10849.300010907595</v>
      </c>
      <c r="O129" s="27">
        <f t="shared" ca="1" si="20"/>
        <v>9518.3175276849943</v>
      </c>
      <c r="P129" s="27">
        <f t="shared" ca="1" si="21"/>
        <v>6342.8263402097555</v>
      </c>
      <c r="Q129" s="27">
        <f t="shared" ca="1" si="22"/>
        <v>114.79769770167033</v>
      </c>
      <c r="T129" s="25">
        <f t="shared" ca="1" si="23"/>
        <v>9969801.8920933325</v>
      </c>
      <c r="V129" s="25">
        <f t="shared" ca="1" si="24"/>
        <v>-30198.107906667516</v>
      </c>
      <c r="X129" s="14">
        <v>-48874.963523514569</v>
      </c>
    </row>
    <row r="130" spans="1:24">
      <c r="A130" s="1">
        <v>126</v>
      </c>
      <c r="B130" s="9">
        <v>39133</v>
      </c>
      <c r="C130" s="37">
        <v>12786.64</v>
      </c>
      <c r="D130" s="38">
        <v>12549.512330000001</v>
      </c>
      <c r="E130" s="38">
        <v>7515.7195474875034</v>
      </c>
      <c r="F130" s="38">
        <v>149.355757222546</v>
      </c>
      <c r="I130" s="28">
        <f t="shared" si="15"/>
        <v>1.4925136437419345E-3</v>
      </c>
      <c r="J130" s="28">
        <f t="shared" si="16"/>
        <v>2.5122010308075804E-3</v>
      </c>
      <c r="K130" s="28">
        <f t="shared" si="17"/>
        <v>2.3404958480566949E-3</v>
      </c>
      <c r="L130" s="28">
        <f t="shared" si="18"/>
        <v>-3.138490203320641E-3</v>
      </c>
      <c r="N130" s="27">
        <f t="shared" ca="1" si="19"/>
        <v>11056.319965276434</v>
      </c>
      <c r="O130" s="27">
        <f t="shared" ca="1" si="20"/>
        <v>9602.2057740849741</v>
      </c>
      <c r="P130" s="27">
        <f t="shared" ca="1" si="21"/>
        <v>6298.5414432510752</v>
      </c>
      <c r="Q130" s="27">
        <f t="shared" ca="1" si="22"/>
        <v>112.3167451804466</v>
      </c>
      <c r="T130" s="25">
        <f t="shared" ca="1" si="23"/>
        <v>10020024.396974951</v>
      </c>
      <c r="V130" s="25">
        <f t="shared" ca="1" si="24"/>
        <v>20024.396974951029</v>
      </c>
      <c r="X130" s="14">
        <v>-48831.257353998721</v>
      </c>
    </row>
    <row r="131" spans="1:24">
      <c r="A131" s="1">
        <v>127</v>
      </c>
      <c r="B131" s="9">
        <v>39134</v>
      </c>
      <c r="C131" s="37">
        <v>12738.41</v>
      </c>
      <c r="D131" s="38">
        <v>12410.966330000001</v>
      </c>
      <c r="E131" s="38">
        <v>7477.1008403361348</v>
      </c>
      <c r="F131" s="38">
        <v>148.05529382593602</v>
      </c>
      <c r="I131" s="28">
        <f t="shared" si="15"/>
        <v>-3.7790372514997809E-3</v>
      </c>
      <c r="J131" s="28">
        <f t="shared" si="16"/>
        <v>-1.1101343427721554E-2</v>
      </c>
      <c r="K131" s="28">
        <f t="shared" si="17"/>
        <v>-5.1516381257247666E-3</v>
      </c>
      <c r="L131" s="28">
        <f t="shared" si="18"/>
        <v>-8.7452815239781375E-3</v>
      </c>
      <c r="N131" s="27">
        <f t="shared" ca="1" si="19"/>
        <v>10973.962972028816</v>
      </c>
      <c r="O131" s="27">
        <f t="shared" ca="1" si="20"/>
        <v>9515.4042044243524</v>
      </c>
      <c r="P131" s="27">
        <f t="shared" ca="1" si="21"/>
        <v>6206.6149480359236</v>
      </c>
      <c r="Q131" s="27">
        <f t="shared" ca="1" si="22"/>
        <v>113.70960604657618</v>
      </c>
      <c r="T131" s="25">
        <f t="shared" ca="1" si="23"/>
        <v>9972875.9267430883</v>
      </c>
      <c r="V131" s="25">
        <f t="shared" ca="1" si="24"/>
        <v>-27124.07325691171</v>
      </c>
      <c r="X131" s="14">
        <v>-48477.795771514997</v>
      </c>
    </row>
    <row r="132" spans="1:24">
      <c r="A132" s="1">
        <v>128</v>
      </c>
      <c r="B132" s="9">
        <v>39135</v>
      </c>
      <c r="C132" s="37">
        <v>12686.02</v>
      </c>
      <c r="D132" s="38">
        <v>12458.707249999999</v>
      </c>
      <c r="E132" s="38">
        <v>7481.79315768777</v>
      </c>
      <c r="F132" s="38">
        <v>149.11717720685112</v>
      </c>
      <c r="I132" s="28">
        <f t="shared" si="15"/>
        <v>-4.1212388361864753E-3</v>
      </c>
      <c r="J132" s="28">
        <f t="shared" si="16"/>
        <v>3.8392927425320938E-3</v>
      </c>
      <c r="K132" s="28">
        <f t="shared" si="17"/>
        <v>6.273615557614785E-4</v>
      </c>
      <c r="L132" s="28">
        <f t="shared" si="18"/>
        <v>7.1466101606026955E-3</v>
      </c>
      <c r="N132" s="27">
        <f t="shared" ca="1" si="19"/>
        <v>10945.970395998678</v>
      </c>
      <c r="O132" s="27">
        <f t="shared" ca="1" si="20"/>
        <v>9716.3521865149978</v>
      </c>
      <c r="P132" s="27">
        <f t="shared" ca="1" si="21"/>
        <v>6126.7305941700333</v>
      </c>
      <c r="Q132" s="27">
        <f t="shared" ca="1" si="22"/>
        <v>109.85818234373032</v>
      </c>
      <c r="T132" s="25">
        <f t="shared" ca="1" si="23"/>
        <v>9944356.0740995239</v>
      </c>
      <c r="V132" s="25">
        <f t="shared" ca="1" si="24"/>
        <v>-55643.925900476053</v>
      </c>
      <c r="X132" s="14">
        <v>-46849.921332594007</v>
      </c>
    </row>
    <row r="133" spans="1:24">
      <c r="A133" s="1">
        <v>129</v>
      </c>
      <c r="B133" s="9">
        <v>39136</v>
      </c>
      <c r="C133" s="37">
        <v>12647.48</v>
      </c>
      <c r="D133" s="38">
        <v>12564.8642</v>
      </c>
      <c r="E133" s="38">
        <v>7526.5042791310079</v>
      </c>
      <c r="F133" s="38">
        <v>150.2182028410968</v>
      </c>
      <c r="I133" s="28">
        <f t="shared" si="15"/>
        <v>-3.0426139090135866E-3</v>
      </c>
      <c r="J133" s="28">
        <f t="shared" si="16"/>
        <v>8.4846071674331176E-3</v>
      </c>
      <c r="K133" s="28">
        <f t="shared" si="17"/>
        <v>5.9582046401383103E-3</v>
      </c>
      <c r="L133" s="28">
        <f t="shared" si="18"/>
        <v>7.3565015904070406E-3</v>
      </c>
      <c r="N133" s="27">
        <f t="shared" ca="1" si="19"/>
        <v>10852.151379395489</v>
      </c>
      <c r="O133" s="27">
        <f t="shared" ca="1" si="20"/>
        <v>9797.9680302337565</v>
      </c>
      <c r="P133" s="27">
        <f t="shared" ca="1" si="21"/>
        <v>6245.6587068756799</v>
      </c>
      <c r="Q133" s="27">
        <f t="shared" ca="1" si="22"/>
        <v>112.96181593061152</v>
      </c>
      <c r="T133" s="25">
        <f t="shared" ca="1" si="23"/>
        <v>10010012.474006018</v>
      </c>
      <c r="V133" s="25">
        <f t="shared" ca="1" si="24"/>
        <v>10012.47400601767</v>
      </c>
      <c r="X133" s="14">
        <v>-46312.448979793116</v>
      </c>
    </row>
    <row r="134" spans="1:24">
      <c r="A134" s="1">
        <v>130</v>
      </c>
      <c r="B134" s="9">
        <v>39139</v>
      </c>
      <c r="C134" s="37">
        <v>12632.26</v>
      </c>
      <c r="D134" s="38">
        <v>12631.959570000001</v>
      </c>
      <c r="E134" s="38">
        <v>7590.2792413066391</v>
      </c>
      <c r="F134" s="38">
        <v>151.11456777833084</v>
      </c>
      <c r="I134" s="28">
        <f t="shared" ref="I134:I197" si="25">LN(C134/C133)</f>
        <v>-1.2041264537516589E-3</v>
      </c>
      <c r="J134" s="28">
        <f t="shared" ref="J134:J197" si="26">LN(D134/D133)</f>
        <v>5.3257132088646046E-3</v>
      </c>
      <c r="K134" s="28">
        <f t="shared" ref="K134:K197" si="27">LN(E134/E133)</f>
        <v>8.4376865565517264E-3</v>
      </c>
      <c r="L134" s="28">
        <f t="shared" ref="L134:L197" si="28">LN(F134/F133)</f>
        <v>5.9493534624760983E-3</v>
      </c>
      <c r="N134" s="27">
        <f t="shared" ref="N134:N197" ca="1" si="29">C$504*EXP((I$1-I$2/2)*(1)+I$3*_xlfn.NORM.S.INV(RAND())*SQRT(1))</f>
        <v>11006.732995988896</v>
      </c>
      <c r="O134" s="27">
        <f t="shared" ref="O134:O197" ca="1" si="30">D$504*EXP((J$1-J$2/2)*(1)+J$3*_xlfn.NORM.S.INV(RAND())*SQRT(1))</f>
        <v>9551.5084110478456</v>
      </c>
      <c r="P134" s="27">
        <f t="shared" ref="P134:P197" ca="1" si="31">E$504*EXP((K$1-K$2/2)*(1)+K$3*_xlfn.NORM.S.INV(RAND())*SQRT(1))</f>
        <v>6137.1884793899735</v>
      </c>
      <c r="Q134" s="27">
        <f t="shared" ref="Q134:Q197" ca="1" si="32">F$504*EXP((L$1-L$2/2)*(1)+L$3*_xlfn.NORM.S.INV(RAND())*SQRT(1))</f>
        <v>115.85672013912354</v>
      </c>
      <c r="T134" s="25">
        <f t="shared" ref="T134:T197" ca="1" si="33">N134/C$504*T$2+O134/D$504*U$2+P134/E$504*V$2+Q134/F$504*W$2</f>
        <v>10022915.965846041</v>
      </c>
      <c r="V134" s="25">
        <f t="shared" ref="V134:V197" ca="1" si="34">T134-X$2</f>
        <v>22915.965846041217</v>
      </c>
      <c r="X134" s="14">
        <v>-46159.344182627276</v>
      </c>
    </row>
    <row r="135" spans="1:24">
      <c r="A135" s="1">
        <v>131</v>
      </c>
      <c r="B135" s="9">
        <v>39140</v>
      </c>
      <c r="C135" s="37">
        <v>12216.24</v>
      </c>
      <c r="D135" s="38">
        <v>12355.95816</v>
      </c>
      <c r="E135" s="38">
        <v>7401.8410596026497</v>
      </c>
      <c r="F135" s="38">
        <v>152.61450349532552</v>
      </c>
      <c r="I135" s="28">
        <f t="shared" si="25"/>
        <v>-3.3487645299999889E-2</v>
      </c>
      <c r="J135" s="28">
        <f t="shared" si="26"/>
        <v>-2.2091687505099555E-2</v>
      </c>
      <c r="K135" s="28">
        <f t="shared" si="27"/>
        <v>-2.5139620312001787E-2</v>
      </c>
      <c r="L135" s="28">
        <f t="shared" si="28"/>
        <v>9.8768807625763001E-3</v>
      </c>
      <c r="N135" s="27">
        <f t="shared" ca="1" si="29"/>
        <v>11010.630603649515</v>
      </c>
      <c r="O135" s="27">
        <f t="shared" ca="1" si="30"/>
        <v>9549.1155903080453</v>
      </c>
      <c r="P135" s="27">
        <f t="shared" ca="1" si="31"/>
        <v>6101.0451924205108</v>
      </c>
      <c r="Q135" s="27">
        <f t="shared" ca="1" si="32"/>
        <v>112.55954544493119</v>
      </c>
      <c r="T135" s="25">
        <f t="shared" ca="1" si="33"/>
        <v>9959304.4041776955</v>
      </c>
      <c r="V135" s="25">
        <f t="shared" ca="1" si="34"/>
        <v>-40695.595822304487</v>
      </c>
      <c r="X135" s="14">
        <v>-46113.636233430356</v>
      </c>
    </row>
    <row r="136" spans="1:24">
      <c r="A136" s="1">
        <v>132</v>
      </c>
      <c r="B136" s="9">
        <v>39141</v>
      </c>
      <c r="C136" s="37">
        <v>12268.63</v>
      </c>
      <c r="D136" s="38">
        <v>12096.14</v>
      </c>
      <c r="E136" s="38">
        <v>7288.0433346545115</v>
      </c>
      <c r="F136" s="38">
        <v>148.59559382122055</v>
      </c>
      <c r="I136" s="28">
        <f t="shared" si="25"/>
        <v>4.279383958504533E-3</v>
      </c>
      <c r="J136" s="28">
        <f t="shared" si="26"/>
        <v>-2.1251995397200782E-2</v>
      </c>
      <c r="K136" s="28">
        <f t="shared" si="27"/>
        <v>-1.5493655136447347E-2</v>
      </c>
      <c r="L136" s="28">
        <f t="shared" si="28"/>
        <v>-2.668667632482118E-2</v>
      </c>
      <c r="N136" s="27">
        <f t="shared" ca="1" si="29"/>
        <v>10973.81854560483</v>
      </c>
      <c r="O136" s="27">
        <f t="shared" ca="1" si="30"/>
        <v>9590.7929679540484</v>
      </c>
      <c r="P136" s="27">
        <f t="shared" ca="1" si="31"/>
        <v>6151.521567331788</v>
      </c>
      <c r="Q136" s="27">
        <f t="shared" ca="1" si="32"/>
        <v>112.20554661896574</v>
      </c>
      <c r="T136" s="25">
        <f t="shared" ca="1" si="33"/>
        <v>9960834.7976953499</v>
      </c>
      <c r="V136" s="25">
        <f t="shared" ca="1" si="34"/>
        <v>-39165.202304650098</v>
      </c>
      <c r="X136" s="14">
        <v>-44927.210669783875</v>
      </c>
    </row>
    <row r="137" spans="1:24">
      <c r="A137" s="1">
        <v>133</v>
      </c>
      <c r="B137" s="9">
        <v>39142</v>
      </c>
      <c r="C137" s="37">
        <v>12234.34</v>
      </c>
      <c r="D137" s="38">
        <v>11972.6816</v>
      </c>
      <c r="E137" s="38">
        <v>7184.9414242464118</v>
      </c>
      <c r="F137" s="38">
        <v>148.36373682420944</v>
      </c>
      <c r="I137" s="28">
        <f t="shared" si="25"/>
        <v>-2.7988462120581369E-3</v>
      </c>
      <c r="J137" s="28">
        <f t="shared" si="26"/>
        <v>-1.0258872231131462E-2</v>
      </c>
      <c r="K137" s="28">
        <f t="shared" si="27"/>
        <v>-1.4247738976277676E-2</v>
      </c>
      <c r="L137" s="28">
        <f t="shared" si="28"/>
        <v>-1.5615407242513708E-3</v>
      </c>
      <c r="N137" s="27">
        <f t="shared" ca="1" si="29"/>
        <v>11066.543450230211</v>
      </c>
      <c r="O137" s="27">
        <f t="shared" ca="1" si="30"/>
        <v>9430.5937048157557</v>
      </c>
      <c r="P137" s="27">
        <f t="shared" ca="1" si="31"/>
        <v>6239.397558113712</v>
      </c>
      <c r="Q137" s="27">
        <f t="shared" ca="1" si="32"/>
        <v>113.38106134530506</v>
      </c>
      <c r="T137" s="25">
        <f t="shared" ca="1" si="33"/>
        <v>9979433.67523399</v>
      </c>
      <c r="V137" s="25">
        <f t="shared" ca="1" si="34"/>
        <v>-20566.324766010046</v>
      </c>
      <c r="X137" s="14">
        <v>-44654.536115702242</v>
      </c>
    </row>
    <row r="138" spans="1:24">
      <c r="A138" s="1">
        <v>134</v>
      </c>
      <c r="B138" s="9">
        <v>39143</v>
      </c>
      <c r="C138" s="37">
        <v>12114.1</v>
      </c>
      <c r="D138" s="38">
        <v>11891.116039999999</v>
      </c>
      <c r="E138" s="38">
        <v>7144.3434742526015</v>
      </c>
      <c r="F138" s="38">
        <v>147.13664330883611</v>
      </c>
      <c r="I138" s="28">
        <f t="shared" si="25"/>
        <v>-9.8766883988565448E-3</v>
      </c>
      <c r="J138" s="28">
        <f t="shared" si="26"/>
        <v>-6.8359511643252503E-3</v>
      </c>
      <c r="K138" s="28">
        <f t="shared" si="27"/>
        <v>-5.6664458708118835E-3</v>
      </c>
      <c r="L138" s="28">
        <f t="shared" si="28"/>
        <v>-8.3052385127028675E-3</v>
      </c>
      <c r="N138" s="27">
        <f t="shared" ca="1" si="29"/>
        <v>11148.671521828228</v>
      </c>
      <c r="O138" s="27">
        <f t="shared" ca="1" si="30"/>
        <v>9433.9888084022114</v>
      </c>
      <c r="P138" s="27">
        <f t="shared" ca="1" si="31"/>
        <v>6247.1090143148776</v>
      </c>
      <c r="Q138" s="27">
        <f t="shared" ca="1" si="32"/>
        <v>108.52028268026693</v>
      </c>
      <c r="T138" s="25">
        <f t="shared" ca="1" si="33"/>
        <v>9925376.2192687243</v>
      </c>
      <c r="V138" s="25">
        <f t="shared" ca="1" si="34"/>
        <v>-74623.780731275678</v>
      </c>
      <c r="X138" s="14">
        <v>-44553.048294773325</v>
      </c>
    </row>
    <row r="139" spans="1:24">
      <c r="A139" s="1">
        <v>135</v>
      </c>
      <c r="B139" s="9">
        <v>39146</v>
      </c>
      <c r="C139" s="37">
        <v>12050.41</v>
      </c>
      <c r="D139" s="38">
        <v>11669.056199999999</v>
      </c>
      <c r="E139" s="38">
        <v>7054.0083835472888</v>
      </c>
      <c r="F139" s="38">
        <v>143.45530557710541</v>
      </c>
      <c r="I139" s="28">
        <f t="shared" si="25"/>
        <v>-5.2713791822604191E-3</v>
      </c>
      <c r="J139" s="28">
        <f t="shared" si="26"/>
        <v>-1.8851001056821772E-2</v>
      </c>
      <c r="K139" s="28">
        <f t="shared" si="27"/>
        <v>-1.272490082674378E-2</v>
      </c>
      <c r="L139" s="28">
        <f t="shared" si="28"/>
        <v>-2.5338174043578559E-2</v>
      </c>
      <c r="N139" s="27">
        <f t="shared" ca="1" si="29"/>
        <v>11051.179101410407</v>
      </c>
      <c r="O139" s="27">
        <f t="shared" ca="1" si="30"/>
        <v>9785.0137684227248</v>
      </c>
      <c r="P139" s="27">
        <f t="shared" ca="1" si="31"/>
        <v>6207.4896032738752</v>
      </c>
      <c r="Q139" s="27">
        <f t="shared" ca="1" si="32"/>
        <v>112.46212766071361</v>
      </c>
      <c r="T139" s="25">
        <f t="shared" ca="1" si="33"/>
        <v>10063179.191895042</v>
      </c>
      <c r="V139" s="25">
        <f t="shared" ca="1" si="34"/>
        <v>63179.191895041615</v>
      </c>
      <c r="X139" s="14">
        <v>-44516.884857404977</v>
      </c>
    </row>
    <row r="140" spans="1:24">
      <c r="A140" s="1">
        <v>136</v>
      </c>
      <c r="B140" s="9">
        <v>39147</v>
      </c>
      <c r="C140" s="37">
        <v>12207.59</v>
      </c>
      <c r="D140" s="38">
        <v>11819.68175</v>
      </c>
      <c r="E140" s="38">
        <v>7125.989515072084</v>
      </c>
      <c r="F140" s="38">
        <v>144.8989247311828</v>
      </c>
      <c r="I140" s="28">
        <f t="shared" si="25"/>
        <v>1.2959205189300958E-2</v>
      </c>
      <c r="J140" s="28">
        <f t="shared" si="26"/>
        <v>1.2825517919590334E-2</v>
      </c>
      <c r="K140" s="28">
        <f t="shared" si="27"/>
        <v>1.0152575525756314E-2</v>
      </c>
      <c r="L140" s="28">
        <f t="shared" si="28"/>
        <v>1.0012901241186874E-2</v>
      </c>
      <c r="N140" s="27">
        <f t="shared" ca="1" si="29"/>
        <v>10884.916079960412</v>
      </c>
      <c r="O140" s="27">
        <f t="shared" ca="1" si="30"/>
        <v>9519.6242195275863</v>
      </c>
      <c r="P140" s="27">
        <f t="shared" ca="1" si="31"/>
        <v>6291.1211312537316</v>
      </c>
      <c r="Q140" s="27">
        <f t="shared" ca="1" si="32"/>
        <v>110.75985695863638</v>
      </c>
      <c r="T140" s="25">
        <f t="shared" ca="1" si="33"/>
        <v>9903217.7126104683</v>
      </c>
      <c r="V140" s="25">
        <f t="shared" ca="1" si="34"/>
        <v>-96782.287389531732</v>
      </c>
      <c r="X140" s="14">
        <v>-44312.617107830942</v>
      </c>
    </row>
    <row r="141" spans="1:24">
      <c r="A141" s="1">
        <v>137</v>
      </c>
      <c r="B141" s="9">
        <v>39148</v>
      </c>
      <c r="C141" s="37">
        <v>12192.45</v>
      </c>
      <c r="D141" s="38">
        <v>11885.123250000001</v>
      </c>
      <c r="E141" s="38">
        <v>7171.1187064545802</v>
      </c>
      <c r="F141" s="38">
        <v>143.82824296499655</v>
      </c>
      <c r="I141" s="28">
        <f t="shared" si="25"/>
        <v>-1.2409817314242668E-3</v>
      </c>
      <c r="J141" s="28">
        <f t="shared" si="26"/>
        <v>5.5213840613591641E-3</v>
      </c>
      <c r="K141" s="28">
        <f t="shared" si="27"/>
        <v>6.3130726253221242E-3</v>
      </c>
      <c r="L141" s="28">
        <f t="shared" si="28"/>
        <v>-7.4165980468359309E-3</v>
      </c>
      <c r="N141" s="27">
        <f t="shared" ca="1" si="29"/>
        <v>10935.296601763932</v>
      </c>
      <c r="O141" s="27">
        <f t="shared" ca="1" si="30"/>
        <v>9623.6494538260777</v>
      </c>
      <c r="P141" s="27">
        <f t="shared" ca="1" si="31"/>
        <v>6298.3433132152259</v>
      </c>
      <c r="Q141" s="27">
        <f t="shared" ca="1" si="32"/>
        <v>113.78690417745241</v>
      </c>
      <c r="T141" s="25">
        <f t="shared" ca="1" si="33"/>
        <v>10008834.786229735</v>
      </c>
      <c r="V141" s="25">
        <f t="shared" ca="1" si="34"/>
        <v>8834.7862297352403</v>
      </c>
      <c r="X141" s="14">
        <v>-43943.097047155723</v>
      </c>
    </row>
    <row r="142" spans="1:24">
      <c r="A142" s="1">
        <v>138</v>
      </c>
      <c r="B142" s="9">
        <v>39149</v>
      </c>
      <c r="C142" s="37">
        <v>12260.7</v>
      </c>
      <c r="D142" s="38">
        <v>12020.083769999999</v>
      </c>
      <c r="E142" s="38">
        <v>7251.5883433972167</v>
      </c>
      <c r="F142" s="38">
        <v>145.64777569456282</v>
      </c>
      <c r="I142" s="28">
        <f t="shared" si="25"/>
        <v>5.582117414125105E-3</v>
      </c>
      <c r="J142" s="28">
        <f t="shared" si="26"/>
        <v>1.1291427327803484E-2</v>
      </c>
      <c r="K142" s="28">
        <f t="shared" si="27"/>
        <v>1.1158858273991155E-2</v>
      </c>
      <c r="L142" s="28">
        <f t="shared" si="28"/>
        <v>1.2571381222652391E-2</v>
      </c>
      <c r="N142" s="27">
        <f t="shared" ca="1" si="29"/>
        <v>10913.299660654775</v>
      </c>
      <c r="O142" s="27">
        <f t="shared" ca="1" si="30"/>
        <v>9443.9653032234</v>
      </c>
      <c r="P142" s="27">
        <f t="shared" ca="1" si="31"/>
        <v>6115.0188886314945</v>
      </c>
      <c r="Q142" s="27">
        <f t="shared" ca="1" si="32"/>
        <v>113.55883354261967</v>
      </c>
      <c r="T142" s="25">
        <f t="shared" ca="1" si="33"/>
        <v>9911090.4369567744</v>
      </c>
      <c r="V142" s="25">
        <f t="shared" ca="1" si="34"/>
        <v>-88909.563043225557</v>
      </c>
      <c r="X142" s="14">
        <v>-43192.66539057903</v>
      </c>
    </row>
    <row r="143" spans="1:24">
      <c r="A143" s="1">
        <v>139</v>
      </c>
      <c r="B143" s="9">
        <v>39150</v>
      </c>
      <c r="C143" s="37">
        <v>12276.32</v>
      </c>
      <c r="D143" s="38">
        <v>12065.10188</v>
      </c>
      <c r="E143" s="38">
        <v>7262.7409836065581</v>
      </c>
      <c r="F143" s="38">
        <v>145.33480101608808</v>
      </c>
      <c r="I143" s="28">
        <f t="shared" si="25"/>
        <v>1.2731784144919373E-3</v>
      </c>
      <c r="J143" s="28">
        <f t="shared" si="26"/>
        <v>3.73824500085274E-3</v>
      </c>
      <c r="K143" s="28">
        <f t="shared" si="27"/>
        <v>1.5367768159302523E-3</v>
      </c>
      <c r="L143" s="28">
        <f t="shared" si="28"/>
        <v>-2.1511583456514296E-3</v>
      </c>
      <c r="N143" s="27">
        <f t="shared" ca="1" si="29"/>
        <v>10874.951623644398</v>
      </c>
      <c r="O143" s="27">
        <f t="shared" ca="1" si="30"/>
        <v>9265.4264065923635</v>
      </c>
      <c r="P143" s="27">
        <f t="shared" ca="1" si="31"/>
        <v>6276.8262021306818</v>
      </c>
      <c r="Q143" s="27">
        <f t="shared" ca="1" si="32"/>
        <v>112.087972805372</v>
      </c>
      <c r="T143" s="25">
        <f t="shared" ca="1" si="33"/>
        <v>9841401.9188005812</v>
      </c>
      <c r="V143" s="25">
        <f t="shared" ca="1" si="34"/>
        <v>-158598.08119941875</v>
      </c>
      <c r="X143" s="14">
        <v>-41496.783028529957</v>
      </c>
    </row>
    <row r="144" spans="1:24">
      <c r="A144" s="1">
        <v>140</v>
      </c>
      <c r="B144" s="9">
        <v>39153</v>
      </c>
      <c r="C144" s="37">
        <v>12318.62</v>
      </c>
      <c r="D144" s="38">
        <v>12024.659030000001</v>
      </c>
      <c r="E144" s="38">
        <v>7246.9277426160334</v>
      </c>
      <c r="F144" s="38">
        <v>147.09416468186458</v>
      </c>
      <c r="I144" s="28">
        <f t="shared" si="25"/>
        <v>3.4397353038481057E-3</v>
      </c>
      <c r="J144" s="28">
        <f t="shared" si="26"/>
        <v>-3.3576828053428188E-3</v>
      </c>
      <c r="K144" s="28">
        <f t="shared" si="27"/>
        <v>-2.1796841195556105E-3</v>
      </c>
      <c r="L144" s="28">
        <f t="shared" si="28"/>
        <v>1.2032904400085156E-2</v>
      </c>
      <c r="N144" s="27">
        <f t="shared" ca="1" si="29"/>
        <v>10991.781221651745</v>
      </c>
      <c r="O144" s="27">
        <f t="shared" ca="1" si="30"/>
        <v>9547.3644030922278</v>
      </c>
      <c r="P144" s="27">
        <f t="shared" ca="1" si="31"/>
        <v>6232.0023476103443</v>
      </c>
      <c r="Q144" s="27">
        <f t="shared" ca="1" si="32"/>
        <v>113.12298795568751</v>
      </c>
      <c r="T144" s="25">
        <f t="shared" ca="1" si="33"/>
        <v>9983025.4795152321</v>
      </c>
      <c r="V144" s="25">
        <f t="shared" ca="1" si="34"/>
        <v>-16974.520484767854</v>
      </c>
      <c r="X144" s="14">
        <v>-41194.309655135497</v>
      </c>
    </row>
    <row r="145" spans="1:24">
      <c r="A145" s="1">
        <v>141</v>
      </c>
      <c r="B145" s="9">
        <v>39154</v>
      </c>
      <c r="C145" s="37">
        <v>12075.96</v>
      </c>
      <c r="D145" s="38">
        <v>11904.05452</v>
      </c>
      <c r="E145" s="38">
        <v>7171.2513199577606</v>
      </c>
      <c r="F145" s="38">
        <v>146.8527953496324</v>
      </c>
      <c r="I145" s="28">
        <f t="shared" si="25"/>
        <v>-1.9895239360415738E-2</v>
      </c>
      <c r="J145" s="28">
        <f t="shared" si="26"/>
        <v>-1.008040244289027E-2</v>
      </c>
      <c r="K145" s="28">
        <f t="shared" si="27"/>
        <v>-1.0497458419561359E-2</v>
      </c>
      <c r="L145" s="28">
        <f t="shared" si="28"/>
        <v>-1.6422648933315134E-3</v>
      </c>
      <c r="N145" s="27">
        <f t="shared" ca="1" si="29"/>
        <v>10934.01312958022</v>
      </c>
      <c r="O145" s="27">
        <f t="shared" ca="1" si="30"/>
        <v>9545.0829301065787</v>
      </c>
      <c r="P145" s="27">
        <f t="shared" ca="1" si="31"/>
        <v>6184.4886433698075</v>
      </c>
      <c r="Q145" s="27">
        <f t="shared" ca="1" si="32"/>
        <v>113.73492261345075</v>
      </c>
      <c r="T145" s="25">
        <f t="shared" ca="1" si="33"/>
        <v>9964532.7430417165</v>
      </c>
      <c r="V145" s="25">
        <f t="shared" ca="1" si="34"/>
        <v>-35467.256958283484</v>
      </c>
      <c r="X145" s="14">
        <v>-40919.861851396039</v>
      </c>
    </row>
    <row r="146" spans="1:24">
      <c r="A146" s="1">
        <v>142</v>
      </c>
      <c r="B146" s="9">
        <v>39155</v>
      </c>
      <c r="C146" s="37">
        <v>12133.4</v>
      </c>
      <c r="D146" s="38">
        <v>11603.55359</v>
      </c>
      <c r="E146" s="38">
        <v>7004.655468853327</v>
      </c>
      <c r="F146" s="38">
        <v>143.3461406223139</v>
      </c>
      <c r="I146" s="28">
        <f t="shared" si="25"/>
        <v>4.7452809809629386E-3</v>
      </c>
      <c r="J146" s="28">
        <f t="shared" si="26"/>
        <v>-2.5567662889261732E-2</v>
      </c>
      <c r="K146" s="28">
        <f t="shared" si="27"/>
        <v>-2.3505166021041139E-2</v>
      </c>
      <c r="L146" s="28">
        <f t="shared" si="28"/>
        <v>-2.4168423664562268E-2</v>
      </c>
      <c r="N146" s="27">
        <f t="shared" ca="1" si="29"/>
        <v>11207.243569677836</v>
      </c>
      <c r="O146" s="27">
        <f t="shared" ca="1" si="30"/>
        <v>9755.6343430668549</v>
      </c>
      <c r="P146" s="27">
        <f t="shared" ca="1" si="31"/>
        <v>6333.3839038467841</v>
      </c>
      <c r="Q146" s="27">
        <f t="shared" ca="1" si="32"/>
        <v>114.29850308223673</v>
      </c>
      <c r="T146" s="25">
        <f t="shared" ca="1" si="33"/>
        <v>10163492.856333485</v>
      </c>
      <c r="V146" s="25">
        <f t="shared" ca="1" si="34"/>
        <v>163492.85633348487</v>
      </c>
      <c r="X146" s="14">
        <v>-40843.978331224993</v>
      </c>
    </row>
    <row r="147" spans="1:24">
      <c r="A147" s="1">
        <v>143</v>
      </c>
      <c r="B147" s="9">
        <v>39156</v>
      </c>
      <c r="C147" s="37">
        <v>12159.68</v>
      </c>
      <c r="D147" s="38">
        <v>11876.941800000001</v>
      </c>
      <c r="E147" s="38">
        <v>7140.7657657657664</v>
      </c>
      <c r="F147" s="38">
        <v>143.76185197817188</v>
      </c>
      <c r="I147" s="28">
        <f t="shared" si="25"/>
        <v>2.1635799372957138E-3</v>
      </c>
      <c r="J147" s="28">
        <f t="shared" si="26"/>
        <v>2.3287461388662438E-2</v>
      </c>
      <c r="K147" s="28">
        <f t="shared" si="27"/>
        <v>1.9245025732537696E-2</v>
      </c>
      <c r="L147" s="28">
        <f t="shared" si="28"/>
        <v>2.8958556158947641E-3</v>
      </c>
      <c r="N147" s="27">
        <f t="shared" ca="1" si="29"/>
        <v>11081.623710174856</v>
      </c>
      <c r="O147" s="27">
        <f t="shared" ca="1" si="30"/>
        <v>9689.6213852814471</v>
      </c>
      <c r="P147" s="27">
        <f t="shared" ca="1" si="31"/>
        <v>6235.9169401164127</v>
      </c>
      <c r="Q147" s="27">
        <f t="shared" ca="1" si="32"/>
        <v>111.49864376762602</v>
      </c>
      <c r="T147" s="25">
        <f t="shared" ca="1" si="33"/>
        <v>10031922.429006934</v>
      </c>
      <c r="V147" s="25">
        <f t="shared" ca="1" si="34"/>
        <v>31922.429006934166</v>
      </c>
      <c r="X147" s="14">
        <v>-40353.990910172462</v>
      </c>
    </row>
    <row r="148" spans="1:24">
      <c r="A148" s="1">
        <v>144</v>
      </c>
      <c r="B148" s="9">
        <v>39157</v>
      </c>
      <c r="C148" s="37">
        <v>12110.41</v>
      </c>
      <c r="D148" s="38">
        <v>11908.077440000001</v>
      </c>
      <c r="E148" s="38">
        <v>7163.7960867829097</v>
      </c>
      <c r="F148" s="38">
        <v>143.406560465913</v>
      </c>
      <c r="I148" s="28">
        <f t="shared" si="25"/>
        <v>-4.0601470932987585E-3</v>
      </c>
      <c r="J148" s="28">
        <f t="shared" si="26"/>
        <v>2.6180897707493303E-3</v>
      </c>
      <c r="K148" s="28">
        <f t="shared" si="27"/>
        <v>3.2199994873656291E-3</v>
      </c>
      <c r="L148" s="28">
        <f t="shared" si="28"/>
        <v>-2.4744482899030796E-3</v>
      </c>
      <c r="N148" s="27">
        <f t="shared" ca="1" si="29"/>
        <v>11037.014622547726</v>
      </c>
      <c r="O148" s="27">
        <f t="shared" ca="1" si="30"/>
        <v>9557.4146608044484</v>
      </c>
      <c r="P148" s="27">
        <f t="shared" ca="1" si="31"/>
        <v>5871.4773499457378</v>
      </c>
      <c r="Q148" s="27">
        <f t="shared" ca="1" si="32"/>
        <v>110.45263223562624</v>
      </c>
      <c r="T148" s="25">
        <f t="shared" ca="1" si="33"/>
        <v>9897098.8784437831</v>
      </c>
      <c r="V148" s="25">
        <f t="shared" ca="1" si="34"/>
        <v>-102901.12155621685</v>
      </c>
      <c r="X148" s="14">
        <v>-39445.827783178538</v>
      </c>
    </row>
    <row r="149" spans="1:24">
      <c r="A149" s="1">
        <v>145</v>
      </c>
      <c r="B149" s="9">
        <v>39160</v>
      </c>
      <c r="C149" s="37">
        <v>12226.17</v>
      </c>
      <c r="D149" s="38">
        <v>12045.191339999999</v>
      </c>
      <c r="E149" s="38">
        <v>7260.2074743981912</v>
      </c>
      <c r="F149" s="38">
        <v>144.65133089548431</v>
      </c>
      <c r="I149" s="28">
        <f t="shared" si="25"/>
        <v>9.5133229939448147E-3</v>
      </c>
      <c r="J149" s="28">
        <f t="shared" si="26"/>
        <v>1.1448575046784946E-2</v>
      </c>
      <c r="K149" s="28">
        <f t="shared" si="27"/>
        <v>1.3368385973939283E-2</v>
      </c>
      <c r="L149" s="28">
        <f t="shared" si="28"/>
        <v>8.6425556455207667E-3</v>
      </c>
      <c r="N149" s="27">
        <f t="shared" ca="1" si="29"/>
        <v>11031.445235958205</v>
      </c>
      <c r="O149" s="27">
        <f t="shared" ca="1" si="30"/>
        <v>9414.4344799347291</v>
      </c>
      <c r="P149" s="27">
        <f t="shared" ca="1" si="31"/>
        <v>6290.7909868359493</v>
      </c>
      <c r="Q149" s="27">
        <f t="shared" ca="1" si="32"/>
        <v>113.56359514054512</v>
      </c>
      <c r="T149" s="25">
        <f t="shared" ca="1" si="33"/>
        <v>9973170.9348428324</v>
      </c>
      <c r="V149" s="25">
        <f t="shared" ca="1" si="34"/>
        <v>-26829.065157167614</v>
      </c>
      <c r="X149" s="14">
        <v>-38845.791639983654</v>
      </c>
    </row>
    <row r="150" spans="1:24">
      <c r="A150" s="1">
        <v>146</v>
      </c>
      <c r="B150" s="9">
        <v>39161</v>
      </c>
      <c r="C150" s="37">
        <v>12288.1</v>
      </c>
      <c r="D150" s="38">
        <v>12178.72537</v>
      </c>
      <c r="E150" s="38">
        <v>7314.2876129718243</v>
      </c>
      <c r="F150" s="38">
        <v>146.28142844967186</v>
      </c>
      <c r="I150" s="28">
        <f t="shared" si="25"/>
        <v>5.0525780901094237E-3</v>
      </c>
      <c r="J150" s="28">
        <f t="shared" si="26"/>
        <v>1.1025086010029049E-2</v>
      </c>
      <c r="K150" s="28">
        <f t="shared" si="27"/>
        <v>7.4212364069401841E-3</v>
      </c>
      <c r="L150" s="28">
        <f t="shared" si="28"/>
        <v>1.1206126229444786E-2</v>
      </c>
      <c r="N150" s="27">
        <f t="shared" ca="1" si="29"/>
        <v>11156.098368417446</v>
      </c>
      <c r="O150" s="27">
        <f t="shared" ca="1" si="30"/>
        <v>9614.7464365761953</v>
      </c>
      <c r="P150" s="27">
        <f t="shared" ca="1" si="31"/>
        <v>6244.4955161528933</v>
      </c>
      <c r="Q150" s="27">
        <f t="shared" ca="1" si="32"/>
        <v>113.77215820095901</v>
      </c>
      <c r="T150" s="25">
        <f t="shared" ca="1" si="33"/>
        <v>10077237.440627988</v>
      </c>
      <c r="V150" s="25">
        <f t="shared" ca="1" si="34"/>
        <v>77237.440627988428</v>
      </c>
      <c r="X150" s="14">
        <v>-38740.187491649762</v>
      </c>
    </row>
    <row r="151" spans="1:24">
      <c r="A151" s="1">
        <v>147</v>
      </c>
      <c r="B151" s="9">
        <v>39163</v>
      </c>
      <c r="C151" s="37">
        <v>12461.14</v>
      </c>
      <c r="D151" s="38">
        <v>12429.401400000001</v>
      </c>
      <c r="E151" s="38">
        <v>7478.4531124766227</v>
      </c>
      <c r="F151" s="38">
        <v>147.92119565217391</v>
      </c>
      <c r="I151" s="28">
        <f t="shared" si="25"/>
        <v>1.398368755794803E-2</v>
      </c>
      <c r="J151" s="28">
        <f t="shared" si="26"/>
        <v>2.0374139299646057E-2</v>
      </c>
      <c r="K151" s="28">
        <f t="shared" si="27"/>
        <v>2.2196324878723556E-2</v>
      </c>
      <c r="L151" s="28">
        <f t="shared" si="28"/>
        <v>1.1147311738716987E-2</v>
      </c>
      <c r="N151" s="27">
        <f t="shared" ca="1" si="29"/>
        <v>10940.692981314478</v>
      </c>
      <c r="O151" s="27">
        <f t="shared" ca="1" si="30"/>
        <v>9455.4022388999201</v>
      </c>
      <c r="P151" s="27">
        <f t="shared" ca="1" si="31"/>
        <v>6195.7989531491494</v>
      </c>
      <c r="Q151" s="27">
        <f t="shared" ca="1" si="32"/>
        <v>115.46372748187669</v>
      </c>
      <c r="T151" s="25">
        <f t="shared" ca="1" si="33"/>
        <v>9971402.0916880034</v>
      </c>
      <c r="V151" s="25">
        <f t="shared" ca="1" si="34"/>
        <v>-28597.908311996609</v>
      </c>
      <c r="X151" s="14">
        <v>-38626.676124015823</v>
      </c>
    </row>
    <row r="152" spans="1:24">
      <c r="A152" s="1">
        <v>148</v>
      </c>
      <c r="B152" s="9">
        <v>39164</v>
      </c>
      <c r="C152" s="37">
        <v>12481.01</v>
      </c>
      <c r="D152" s="38">
        <v>12445.51008</v>
      </c>
      <c r="E152" s="38">
        <v>7495.0119712689539</v>
      </c>
      <c r="F152" s="38">
        <v>148.35449376219978</v>
      </c>
      <c r="I152" s="28">
        <f t="shared" si="25"/>
        <v>1.5932872028625081E-3</v>
      </c>
      <c r="J152" s="28">
        <f t="shared" si="26"/>
        <v>1.2951750413087288E-3</v>
      </c>
      <c r="K152" s="28">
        <f t="shared" si="27"/>
        <v>2.2117613324715932E-3</v>
      </c>
      <c r="L152" s="28">
        <f t="shared" si="28"/>
        <v>2.9249677542123671E-3</v>
      </c>
      <c r="N152" s="27">
        <f t="shared" ca="1" si="29"/>
        <v>11108.817629406056</v>
      </c>
      <c r="O152" s="27">
        <f t="shared" ca="1" si="30"/>
        <v>9404.7550021316874</v>
      </c>
      <c r="P152" s="27">
        <f t="shared" ca="1" si="31"/>
        <v>6112.2280177334378</v>
      </c>
      <c r="Q152" s="27">
        <f t="shared" ca="1" si="32"/>
        <v>111.24293899086857</v>
      </c>
      <c r="T152" s="25">
        <f t="shared" ca="1" si="33"/>
        <v>9928288.2128030006</v>
      </c>
      <c r="V152" s="25">
        <f t="shared" ca="1" si="34"/>
        <v>-71711.787196999416</v>
      </c>
      <c r="X152" s="14">
        <v>-38458.436562169343</v>
      </c>
    </row>
    <row r="153" spans="1:24">
      <c r="A153" s="1">
        <v>149</v>
      </c>
      <c r="B153" s="9">
        <v>39167</v>
      </c>
      <c r="C153" s="37">
        <v>12469.07</v>
      </c>
      <c r="D153" s="38">
        <v>12385.605149999999</v>
      </c>
      <c r="E153" s="38">
        <v>7435.0666666666666</v>
      </c>
      <c r="F153" s="38">
        <v>148.65495885297361</v>
      </c>
      <c r="I153" s="28">
        <f t="shared" si="25"/>
        <v>-9.5711123262786908E-4</v>
      </c>
      <c r="J153" s="28">
        <f t="shared" si="26"/>
        <v>-4.82499844760824E-3</v>
      </c>
      <c r="K153" s="28">
        <f t="shared" si="27"/>
        <v>-8.0301823159661338E-3</v>
      </c>
      <c r="L153" s="28">
        <f t="shared" si="28"/>
        <v>2.0232702402393382E-3</v>
      </c>
      <c r="N153" s="27">
        <f t="shared" ca="1" si="29"/>
        <v>11417.432957769972</v>
      </c>
      <c r="O153" s="27">
        <f t="shared" ca="1" si="30"/>
        <v>9664.758260644825</v>
      </c>
      <c r="P153" s="27">
        <f t="shared" ca="1" si="31"/>
        <v>6089.796523873285</v>
      </c>
      <c r="Q153" s="27">
        <f t="shared" ca="1" si="32"/>
        <v>113.0478317201931</v>
      </c>
      <c r="T153" s="25">
        <f t="shared" ca="1" si="33"/>
        <v>10149916.855699215</v>
      </c>
      <c r="V153" s="25">
        <f t="shared" ca="1" si="34"/>
        <v>149916.85569921508</v>
      </c>
      <c r="X153" s="14">
        <v>-38083.435845244676</v>
      </c>
    </row>
    <row r="154" spans="1:24">
      <c r="A154" s="1">
        <v>150</v>
      </c>
      <c r="B154" s="9">
        <v>39168</v>
      </c>
      <c r="C154" s="37">
        <v>12397.29</v>
      </c>
      <c r="D154" s="38">
        <v>12366.846780000002</v>
      </c>
      <c r="E154" s="38">
        <v>7457.3678590496538</v>
      </c>
      <c r="F154" s="38">
        <v>147.24879165606714</v>
      </c>
      <c r="I154" s="28">
        <f t="shared" si="25"/>
        <v>-5.7732775825033097E-3</v>
      </c>
      <c r="J154" s="28">
        <f t="shared" si="26"/>
        <v>-1.5156780139719992E-3</v>
      </c>
      <c r="K154" s="28">
        <f t="shared" si="27"/>
        <v>2.9949715762518096E-3</v>
      </c>
      <c r="L154" s="28">
        <f t="shared" si="28"/>
        <v>-9.5042917136263522E-3</v>
      </c>
      <c r="N154" s="27">
        <f t="shared" ca="1" si="29"/>
        <v>10962.751819135503</v>
      </c>
      <c r="O154" s="27">
        <f t="shared" ca="1" si="30"/>
        <v>9713.9320356920362</v>
      </c>
      <c r="P154" s="27">
        <f t="shared" ca="1" si="31"/>
        <v>6253.0856274235521</v>
      </c>
      <c r="Q154" s="27">
        <f t="shared" ca="1" si="32"/>
        <v>112.06804549937287</v>
      </c>
      <c r="T154" s="25">
        <f t="shared" ca="1" si="33"/>
        <v>10009242.722264636</v>
      </c>
      <c r="V154" s="25">
        <f t="shared" ca="1" si="34"/>
        <v>9242.722264636308</v>
      </c>
      <c r="X154" s="14">
        <v>-37908.597258625552</v>
      </c>
    </row>
    <row r="155" spans="1:24">
      <c r="A155" s="1">
        <v>151</v>
      </c>
      <c r="B155" s="9">
        <v>39169</v>
      </c>
      <c r="C155" s="37">
        <v>12300.36</v>
      </c>
      <c r="D155" s="38">
        <v>12317.55488</v>
      </c>
      <c r="E155" s="38">
        <v>7422.3900548055071</v>
      </c>
      <c r="F155" s="38">
        <v>148.1601408208827</v>
      </c>
      <c r="I155" s="28">
        <f t="shared" si="25"/>
        <v>-7.8493700959689269E-3</v>
      </c>
      <c r="J155" s="28">
        <f t="shared" si="26"/>
        <v>-3.9937743840857149E-3</v>
      </c>
      <c r="K155" s="28">
        <f t="shared" si="27"/>
        <v>-4.7014029224637073E-3</v>
      </c>
      <c r="L155" s="28">
        <f t="shared" si="28"/>
        <v>6.1701049351637373E-3</v>
      </c>
      <c r="N155" s="27">
        <f t="shared" ca="1" si="29"/>
        <v>11024.631111357539</v>
      </c>
      <c r="O155" s="27">
        <f t="shared" ca="1" si="30"/>
        <v>9434.9146728845662</v>
      </c>
      <c r="P155" s="27">
        <f t="shared" ca="1" si="31"/>
        <v>6301.2172507025925</v>
      </c>
      <c r="Q155" s="27">
        <f t="shared" ca="1" si="32"/>
        <v>114.09701943682639</v>
      </c>
      <c r="T155" s="25">
        <f t="shared" ca="1" si="33"/>
        <v>9988235.7300041672</v>
      </c>
      <c r="V155" s="25">
        <f t="shared" ca="1" si="34"/>
        <v>-11764.269995832816</v>
      </c>
      <c r="X155" s="14">
        <v>-37434.682193979621</v>
      </c>
    </row>
    <row r="156" spans="1:24">
      <c r="A156" s="1">
        <v>152</v>
      </c>
      <c r="B156" s="9">
        <v>39170</v>
      </c>
      <c r="C156" s="37">
        <v>12348.75</v>
      </c>
      <c r="D156" s="38">
        <v>12414.4046</v>
      </c>
      <c r="E156" s="38">
        <v>7508.706666666666</v>
      </c>
      <c r="F156" s="38">
        <v>146.42866836301948</v>
      </c>
      <c r="I156" s="28">
        <f t="shared" si="25"/>
        <v>3.9263131337999571E-3</v>
      </c>
      <c r="J156" s="28">
        <f t="shared" si="26"/>
        <v>7.8319888193003132E-3</v>
      </c>
      <c r="K156" s="28">
        <f t="shared" si="27"/>
        <v>1.1562120995565441E-2</v>
      </c>
      <c r="L156" s="28">
        <f t="shared" si="28"/>
        <v>-1.1755316854009861E-2</v>
      </c>
      <c r="N156" s="27">
        <f t="shared" ca="1" si="29"/>
        <v>11097.361230706516</v>
      </c>
      <c r="O156" s="27">
        <f t="shared" ca="1" si="30"/>
        <v>9911.0886529085928</v>
      </c>
      <c r="P156" s="27">
        <f t="shared" ca="1" si="31"/>
        <v>6073.4718718288486</v>
      </c>
      <c r="Q156" s="27">
        <f t="shared" ca="1" si="32"/>
        <v>110.88482313797158</v>
      </c>
      <c r="T156" s="25">
        <f t="shared" ca="1" si="33"/>
        <v>10069762.609109204</v>
      </c>
      <c r="V156" s="25">
        <f t="shared" ca="1" si="34"/>
        <v>69762.609109204262</v>
      </c>
      <c r="X156" s="14">
        <v>-36613.449597384781</v>
      </c>
    </row>
    <row r="157" spans="1:24">
      <c r="A157" s="1">
        <v>153</v>
      </c>
      <c r="B157" s="9">
        <v>39171</v>
      </c>
      <c r="C157" s="37">
        <v>12354.35</v>
      </c>
      <c r="D157" s="38">
        <v>12371.8804</v>
      </c>
      <c r="E157" s="38">
        <v>7500.2129925452609</v>
      </c>
      <c r="F157" s="38">
        <v>146.43105200745384</v>
      </c>
      <c r="I157" s="28">
        <f t="shared" si="25"/>
        <v>4.5338440081836372E-4</v>
      </c>
      <c r="J157" s="28">
        <f t="shared" si="26"/>
        <v>-3.431271908799308E-3</v>
      </c>
      <c r="K157" s="28">
        <f t="shared" si="27"/>
        <v>-1.1318169756340578E-3</v>
      </c>
      <c r="L157" s="28">
        <f t="shared" si="28"/>
        <v>1.6278404086322179E-5</v>
      </c>
      <c r="N157" s="27">
        <f t="shared" ca="1" si="29"/>
        <v>11058.337619994067</v>
      </c>
      <c r="O157" s="27">
        <f t="shared" ca="1" si="30"/>
        <v>9489.6713680637622</v>
      </c>
      <c r="P157" s="27">
        <f t="shared" ca="1" si="31"/>
        <v>6188.1318232100457</v>
      </c>
      <c r="Q157" s="27">
        <f t="shared" ca="1" si="32"/>
        <v>114.45745191524294</v>
      </c>
      <c r="T157" s="25">
        <f t="shared" ca="1" si="33"/>
        <v>10005730.73295225</v>
      </c>
      <c r="V157" s="25">
        <f t="shared" ca="1" si="34"/>
        <v>5730.7329522501677</v>
      </c>
      <c r="X157" s="14">
        <v>-36306.264107916504</v>
      </c>
    </row>
    <row r="158" spans="1:24">
      <c r="A158" s="1">
        <v>154</v>
      </c>
      <c r="B158" s="9">
        <v>39174</v>
      </c>
      <c r="C158" s="37">
        <v>12382.3</v>
      </c>
      <c r="D158" s="38">
        <v>12490.164350000001</v>
      </c>
      <c r="E158" s="38">
        <v>7550.568409790023</v>
      </c>
      <c r="F158" s="38">
        <v>144.52902732982517</v>
      </c>
      <c r="I158" s="28">
        <f t="shared" si="25"/>
        <v>2.2598057452730583E-3</v>
      </c>
      <c r="J158" s="28">
        <f t="shared" si="26"/>
        <v>9.5152947916151212E-3</v>
      </c>
      <c r="K158" s="28">
        <f t="shared" si="27"/>
        <v>6.6914273469279723E-3</v>
      </c>
      <c r="L158" s="28">
        <f t="shared" si="28"/>
        <v>-1.3074314358589162E-2</v>
      </c>
      <c r="N158" s="27">
        <f t="shared" ca="1" si="29"/>
        <v>10919.859778779597</v>
      </c>
      <c r="O158" s="27">
        <f t="shared" ca="1" si="30"/>
        <v>9663.2796915137951</v>
      </c>
      <c r="P158" s="27">
        <f t="shared" ca="1" si="31"/>
        <v>6124.4259319314042</v>
      </c>
      <c r="Q158" s="27">
        <f t="shared" ca="1" si="32"/>
        <v>112.44730295397011</v>
      </c>
      <c r="T158" s="25">
        <f t="shared" ca="1" si="33"/>
        <v>9963820.6746259183</v>
      </c>
      <c r="V158" s="25">
        <f t="shared" ca="1" si="34"/>
        <v>-36179.325374081731</v>
      </c>
      <c r="X158" s="14">
        <v>-35850.976788224652</v>
      </c>
    </row>
    <row r="159" spans="1:24">
      <c r="A159" s="1">
        <v>155</v>
      </c>
      <c r="B159" s="9">
        <v>39175</v>
      </c>
      <c r="C159" s="37">
        <v>12510.93</v>
      </c>
      <c r="D159" s="38">
        <v>12595.32885</v>
      </c>
      <c r="E159" s="38">
        <v>7638.2856378710885</v>
      </c>
      <c r="F159" s="38">
        <v>145.17637649435932</v>
      </c>
      <c r="I159" s="28">
        <f t="shared" si="25"/>
        <v>1.0334628720639632E-2</v>
      </c>
      <c r="J159" s="28">
        <f t="shared" si="26"/>
        <v>8.3845364532781352E-3</v>
      </c>
      <c r="K159" s="28">
        <f t="shared" si="27"/>
        <v>1.1550338557770705E-2</v>
      </c>
      <c r="L159" s="28">
        <f t="shared" si="28"/>
        <v>4.4690242805484268E-3</v>
      </c>
      <c r="N159" s="27">
        <f t="shared" ca="1" si="29"/>
        <v>10954.045129721637</v>
      </c>
      <c r="O159" s="27">
        <f t="shared" ca="1" si="30"/>
        <v>9417.8347641874825</v>
      </c>
      <c r="P159" s="27">
        <f t="shared" ca="1" si="31"/>
        <v>6155.6996581929307</v>
      </c>
      <c r="Q159" s="27">
        <f t="shared" ca="1" si="32"/>
        <v>111.39359083269134</v>
      </c>
      <c r="T159" s="25">
        <f t="shared" ca="1" si="33"/>
        <v>9885889.130906973</v>
      </c>
      <c r="V159" s="25">
        <f t="shared" ca="1" si="34"/>
        <v>-114110.86909302697</v>
      </c>
      <c r="X159" s="14">
        <v>-35794.211525877938</v>
      </c>
    </row>
    <row r="160" spans="1:24">
      <c r="A160" s="1">
        <v>156</v>
      </c>
      <c r="B160" s="9">
        <v>39176</v>
      </c>
      <c r="C160" s="37">
        <v>12530.05</v>
      </c>
      <c r="D160" s="38">
        <v>12584.28484</v>
      </c>
      <c r="E160" s="38">
        <v>7675.551691855022</v>
      </c>
      <c r="F160" s="38">
        <v>147.9016186140617</v>
      </c>
      <c r="I160" s="28">
        <f t="shared" si="25"/>
        <v>1.5270970797222659E-3</v>
      </c>
      <c r="J160" s="28">
        <f t="shared" si="26"/>
        <v>-8.7721843902587428E-4</v>
      </c>
      <c r="K160" s="28">
        <f t="shared" si="27"/>
        <v>4.8669875150643728E-3</v>
      </c>
      <c r="L160" s="28">
        <f t="shared" si="28"/>
        <v>1.8597920798571366E-2</v>
      </c>
      <c r="N160" s="27">
        <f t="shared" ca="1" si="29"/>
        <v>11174.285181872265</v>
      </c>
      <c r="O160" s="27">
        <f t="shared" ca="1" si="30"/>
        <v>9845.1420556267367</v>
      </c>
      <c r="P160" s="27">
        <f t="shared" ca="1" si="31"/>
        <v>6241.1928112239693</v>
      </c>
      <c r="Q160" s="27">
        <f t="shared" ca="1" si="32"/>
        <v>112.02364912288705</v>
      </c>
      <c r="T160" s="25">
        <f t="shared" ca="1" si="33"/>
        <v>10124308.467898227</v>
      </c>
      <c r="V160" s="25">
        <f t="shared" ca="1" si="34"/>
        <v>124308.46789822727</v>
      </c>
      <c r="X160" s="14">
        <v>-34172.384456539527</v>
      </c>
    </row>
    <row r="161" spans="1:24">
      <c r="A161" s="1">
        <v>157</v>
      </c>
      <c r="B161" s="9">
        <v>39177</v>
      </c>
      <c r="C161" s="37">
        <v>12560.83</v>
      </c>
      <c r="D161" s="38">
        <v>12614.19614</v>
      </c>
      <c r="E161" s="38">
        <v>7713.7981996506787</v>
      </c>
      <c r="F161" s="38">
        <v>147.54466469843948</v>
      </c>
      <c r="I161" s="28">
        <f t="shared" si="25"/>
        <v>2.4534823362282201E-3</v>
      </c>
      <c r="J161" s="28">
        <f t="shared" si="26"/>
        <v>2.3740569181486793E-3</v>
      </c>
      <c r="K161" s="28">
        <f t="shared" si="27"/>
        <v>4.9705266055909379E-3</v>
      </c>
      <c r="L161" s="28">
        <f t="shared" si="28"/>
        <v>-2.4163721763807372E-3</v>
      </c>
      <c r="N161" s="27">
        <f t="shared" ca="1" si="29"/>
        <v>10881.961040401335</v>
      </c>
      <c r="O161" s="27">
        <f t="shared" ca="1" si="30"/>
        <v>9094.2824210076451</v>
      </c>
      <c r="P161" s="27">
        <f t="shared" ca="1" si="31"/>
        <v>6176.2737348016535</v>
      </c>
      <c r="Q161" s="27">
        <f t="shared" ca="1" si="32"/>
        <v>111.42636863602216</v>
      </c>
      <c r="T161" s="25">
        <f t="shared" ca="1" si="33"/>
        <v>9762517.2602737937</v>
      </c>
      <c r="V161" s="25">
        <f t="shared" ca="1" si="34"/>
        <v>-237482.73972620629</v>
      </c>
      <c r="X161" s="14">
        <v>-34069.376594681293</v>
      </c>
    </row>
    <row r="162" spans="1:24">
      <c r="A162" s="1">
        <v>158</v>
      </c>
      <c r="B162" s="9">
        <v>39182</v>
      </c>
      <c r="C162" s="37">
        <v>12573.85</v>
      </c>
      <c r="D162" s="38">
        <v>12658.468720000001</v>
      </c>
      <c r="E162" s="38">
        <v>7750.3629032258068</v>
      </c>
      <c r="F162" s="38">
        <v>148.34304669129995</v>
      </c>
      <c r="I162" s="28">
        <f t="shared" si="25"/>
        <v>1.0360188524037384E-3</v>
      </c>
      <c r="J162" s="28">
        <f t="shared" si="26"/>
        <v>3.503597703932714E-3</v>
      </c>
      <c r="K162" s="28">
        <f t="shared" si="27"/>
        <v>4.7289693212176484E-3</v>
      </c>
      <c r="L162" s="28">
        <f t="shared" si="28"/>
        <v>5.3965332097615261E-3</v>
      </c>
      <c r="N162" s="27">
        <f t="shared" ca="1" si="29"/>
        <v>11130.002436202738</v>
      </c>
      <c r="O162" s="27">
        <f t="shared" ca="1" si="30"/>
        <v>9566.8485264611027</v>
      </c>
      <c r="P162" s="27">
        <f t="shared" ca="1" si="31"/>
        <v>6074.2187312971719</v>
      </c>
      <c r="Q162" s="27">
        <f t="shared" ca="1" si="32"/>
        <v>110.52681569906188</v>
      </c>
      <c r="T162" s="25">
        <f t="shared" ca="1" si="33"/>
        <v>9967806.2525953688</v>
      </c>
      <c r="V162" s="25">
        <f t="shared" ca="1" si="34"/>
        <v>-32193.747404631227</v>
      </c>
      <c r="X162" s="14">
        <v>-33431.164219846949</v>
      </c>
    </row>
    <row r="163" spans="1:24">
      <c r="A163" s="1">
        <v>159</v>
      </c>
      <c r="B163" s="9">
        <v>39183</v>
      </c>
      <c r="C163" s="37">
        <v>12484.62</v>
      </c>
      <c r="D163" s="38">
        <v>12691.27937</v>
      </c>
      <c r="E163" s="38">
        <v>7730.0362854455052</v>
      </c>
      <c r="F163" s="38">
        <v>148.07734852928851</v>
      </c>
      <c r="I163" s="28">
        <f t="shared" si="25"/>
        <v>-7.1217737669244064E-3</v>
      </c>
      <c r="J163" s="28">
        <f t="shared" si="26"/>
        <v>2.588638609398365E-3</v>
      </c>
      <c r="K163" s="28">
        <f t="shared" si="27"/>
        <v>-2.6261117965213272E-3</v>
      </c>
      <c r="L163" s="28">
        <f t="shared" si="28"/>
        <v>-1.7927122253006932E-3</v>
      </c>
      <c r="N163" s="27">
        <f t="shared" ca="1" si="29"/>
        <v>10977.425286694472</v>
      </c>
      <c r="O163" s="27">
        <f t="shared" ca="1" si="30"/>
        <v>9444.5598153416286</v>
      </c>
      <c r="P163" s="27">
        <f t="shared" ca="1" si="31"/>
        <v>6132.8540723539363</v>
      </c>
      <c r="Q163" s="27">
        <f t="shared" ca="1" si="32"/>
        <v>115.43348652883341</v>
      </c>
      <c r="T163" s="25">
        <f t="shared" ca="1" si="33"/>
        <v>9970656.4331751857</v>
      </c>
      <c r="V163" s="25">
        <f t="shared" ca="1" si="34"/>
        <v>-29343.566824814305</v>
      </c>
      <c r="X163" s="14">
        <v>-32805.275638798252</v>
      </c>
    </row>
    <row r="164" spans="1:24">
      <c r="A164" s="1">
        <v>160</v>
      </c>
      <c r="B164" s="9">
        <v>39184</v>
      </c>
      <c r="C164" s="37">
        <v>12552.96</v>
      </c>
      <c r="D164" s="38">
        <v>12699.980519999999</v>
      </c>
      <c r="E164" s="38">
        <v>7758.3535762483125</v>
      </c>
      <c r="F164" s="38">
        <v>147.46044556536359</v>
      </c>
      <c r="I164" s="28">
        <f t="shared" si="25"/>
        <v>5.4590075970012593E-3</v>
      </c>
      <c r="J164" s="28">
        <f t="shared" si="26"/>
        <v>6.853657816343735E-4</v>
      </c>
      <c r="K164" s="28">
        <f t="shared" si="27"/>
        <v>3.6565869799674981E-3</v>
      </c>
      <c r="L164" s="28">
        <f t="shared" si="28"/>
        <v>-4.1747882825429435E-3</v>
      </c>
      <c r="N164" s="27">
        <f t="shared" ca="1" si="29"/>
        <v>10745.527154250178</v>
      </c>
      <c r="O164" s="27">
        <f t="shared" ca="1" si="30"/>
        <v>9577.8177661049958</v>
      </c>
      <c r="P164" s="27">
        <f t="shared" ca="1" si="31"/>
        <v>6351.7639515562532</v>
      </c>
      <c r="Q164" s="27">
        <f t="shared" ca="1" si="32"/>
        <v>112.76691007901503</v>
      </c>
      <c r="T164" s="25">
        <f t="shared" ca="1" si="33"/>
        <v>9916177.4995815847</v>
      </c>
      <c r="V164" s="25">
        <f t="shared" ca="1" si="34"/>
        <v>-83822.500418415293</v>
      </c>
      <c r="X164" s="14">
        <v>-32787.064544741064</v>
      </c>
    </row>
    <row r="165" spans="1:24">
      <c r="A165" s="1">
        <v>161</v>
      </c>
      <c r="B165" s="9">
        <v>39185</v>
      </c>
      <c r="C165" s="37">
        <v>12612.13</v>
      </c>
      <c r="D165" s="38">
        <v>12813.646719999999</v>
      </c>
      <c r="E165" s="38">
        <v>7823.4324324324325</v>
      </c>
      <c r="F165" s="38">
        <v>145.54861693210395</v>
      </c>
      <c r="I165" s="28">
        <f t="shared" si="25"/>
        <v>4.7025549314961184E-3</v>
      </c>
      <c r="J165" s="28">
        <f t="shared" si="26"/>
        <v>8.9102933861917016E-3</v>
      </c>
      <c r="K165" s="28">
        <f t="shared" si="27"/>
        <v>8.3532445591343232E-3</v>
      </c>
      <c r="L165" s="28">
        <f t="shared" si="28"/>
        <v>-1.3049806367862607E-2</v>
      </c>
      <c r="N165" s="27">
        <f t="shared" ca="1" si="29"/>
        <v>11057.339958642186</v>
      </c>
      <c r="O165" s="27">
        <f t="shared" ca="1" si="30"/>
        <v>9597.001332299973</v>
      </c>
      <c r="P165" s="27">
        <f t="shared" ca="1" si="31"/>
        <v>6187.0088130726499</v>
      </c>
      <c r="Q165" s="27">
        <f t="shared" ca="1" si="32"/>
        <v>112.44156725068189</v>
      </c>
      <c r="T165" s="25">
        <f t="shared" ca="1" si="33"/>
        <v>10002992.894606603</v>
      </c>
      <c r="V165" s="25">
        <f t="shared" ca="1" si="34"/>
        <v>2992.8946066033095</v>
      </c>
      <c r="X165" s="14">
        <v>-32117.657689249143</v>
      </c>
    </row>
    <row r="166" spans="1:24">
      <c r="A166" s="1">
        <v>162</v>
      </c>
      <c r="B166" s="9">
        <v>39188</v>
      </c>
      <c r="C166" s="37">
        <v>12720.46</v>
      </c>
      <c r="D166" s="38">
        <v>12967.88962</v>
      </c>
      <c r="E166" s="38">
        <v>7941.9726324346302</v>
      </c>
      <c r="F166" s="38">
        <v>147.13546448543525</v>
      </c>
      <c r="I166" s="28">
        <f t="shared" si="25"/>
        <v>8.5526715068992305E-3</v>
      </c>
      <c r="J166" s="28">
        <f t="shared" si="26"/>
        <v>1.1965519684697272E-2</v>
      </c>
      <c r="K166" s="28">
        <f t="shared" si="27"/>
        <v>1.50382985402613E-2</v>
      </c>
      <c r="L166" s="28">
        <f t="shared" si="28"/>
        <v>1.0843521754488845E-2</v>
      </c>
      <c r="N166" s="27">
        <f t="shared" ca="1" si="29"/>
        <v>11271.834715396739</v>
      </c>
      <c r="O166" s="27">
        <f t="shared" ca="1" si="30"/>
        <v>9718.444410442562</v>
      </c>
      <c r="P166" s="27">
        <f t="shared" ca="1" si="31"/>
        <v>6127.9347439328858</v>
      </c>
      <c r="Q166" s="27">
        <f t="shared" ca="1" si="32"/>
        <v>111.05719824473204</v>
      </c>
      <c r="T166" s="25">
        <f t="shared" ca="1" si="33"/>
        <v>10084718.038596513</v>
      </c>
      <c r="V166" s="25">
        <f t="shared" ca="1" si="34"/>
        <v>84718.03859651275</v>
      </c>
      <c r="X166" s="14">
        <v>-32087.205342840403</v>
      </c>
    </row>
    <row r="167" spans="1:24">
      <c r="A167" s="1">
        <v>163</v>
      </c>
      <c r="B167" s="9">
        <v>39189</v>
      </c>
      <c r="C167" s="37">
        <v>12773.04</v>
      </c>
      <c r="D167" s="38">
        <v>13028.738780000001</v>
      </c>
      <c r="E167" s="38">
        <v>7948.6295793758482</v>
      </c>
      <c r="F167" s="38">
        <v>146.95606606858391</v>
      </c>
      <c r="I167" s="28">
        <f t="shared" si="25"/>
        <v>4.124978881362925E-3</v>
      </c>
      <c r="J167" s="28">
        <f t="shared" si="26"/>
        <v>4.6813202226267652E-3</v>
      </c>
      <c r="K167" s="28">
        <f t="shared" si="27"/>
        <v>8.3784707991680339E-4</v>
      </c>
      <c r="L167" s="28">
        <f t="shared" si="28"/>
        <v>-1.2200177187382377E-3</v>
      </c>
      <c r="N167" s="27">
        <f t="shared" ca="1" si="29"/>
        <v>11018.738820352162</v>
      </c>
      <c r="O167" s="27">
        <f t="shared" ca="1" si="30"/>
        <v>9547.221504514433</v>
      </c>
      <c r="P167" s="27">
        <f t="shared" ca="1" si="31"/>
        <v>6144.5008981009605</v>
      </c>
      <c r="Q167" s="27">
        <f t="shared" ca="1" si="32"/>
        <v>113.25179845079575</v>
      </c>
      <c r="T167" s="25">
        <f t="shared" ca="1" si="33"/>
        <v>9980935.1575024277</v>
      </c>
      <c r="V167" s="25">
        <f t="shared" ca="1" si="34"/>
        <v>-19064.842497572303</v>
      </c>
      <c r="X167" s="14">
        <v>-31674.056255407631</v>
      </c>
    </row>
    <row r="168" spans="1:24">
      <c r="A168" s="1">
        <v>164</v>
      </c>
      <c r="B168" s="9">
        <v>39190</v>
      </c>
      <c r="C168" s="37">
        <v>12803.84</v>
      </c>
      <c r="D168" s="38">
        <v>12933.626759999999</v>
      </c>
      <c r="E168" s="38">
        <v>7927.125781037762</v>
      </c>
      <c r="F168" s="38">
        <v>149.40659619450318</v>
      </c>
      <c r="I168" s="28">
        <f t="shared" si="25"/>
        <v>2.4084262731022183E-3</v>
      </c>
      <c r="J168" s="28">
        <f t="shared" si="26"/>
        <v>-7.3269475659934486E-3</v>
      </c>
      <c r="K168" s="28">
        <f t="shared" si="27"/>
        <v>-2.7090127053255807E-3</v>
      </c>
      <c r="L168" s="28">
        <f t="shared" si="28"/>
        <v>1.6537751132669976E-2</v>
      </c>
      <c r="N168" s="27">
        <f t="shared" ca="1" si="29"/>
        <v>10972.817533669384</v>
      </c>
      <c r="O168" s="27">
        <f t="shared" ca="1" si="30"/>
        <v>9547.4552262100024</v>
      </c>
      <c r="P168" s="27">
        <f t="shared" ca="1" si="31"/>
        <v>6216.7435980273958</v>
      </c>
      <c r="Q168" s="27">
        <f t="shared" ca="1" si="32"/>
        <v>111.06602481080546</v>
      </c>
      <c r="T168" s="25">
        <f t="shared" ca="1" si="33"/>
        <v>9937247.0185290314</v>
      </c>
      <c r="V168" s="25">
        <f t="shared" ca="1" si="34"/>
        <v>-62752.981470968574</v>
      </c>
      <c r="X168" s="14">
        <v>-31667.855881536379</v>
      </c>
    </row>
    <row r="169" spans="1:24">
      <c r="A169" s="1">
        <v>165</v>
      </c>
      <c r="B169" s="9">
        <v>39191</v>
      </c>
      <c r="C169" s="37">
        <v>12808.63</v>
      </c>
      <c r="D169" s="38">
        <v>12897.945560000002</v>
      </c>
      <c r="E169" s="38">
        <v>7931.7458157572455</v>
      </c>
      <c r="F169" s="38">
        <v>146.88399425044392</v>
      </c>
      <c r="I169" s="28">
        <f t="shared" si="25"/>
        <v>3.7403655764894249E-4</v>
      </c>
      <c r="J169" s="28">
        <f t="shared" si="26"/>
        <v>-2.7626055627732629E-3</v>
      </c>
      <c r="K169" s="28">
        <f t="shared" si="27"/>
        <v>5.8264357864093615E-4</v>
      </c>
      <c r="L169" s="28">
        <f t="shared" si="28"/>
        <v>-1.7028302485722617E-2</v>
      </c>
      <c r="N169" s="27">
        <f t="shared" ca="1" si="29"/>
        <v>11007.976611140983</v>
      </c>
      <c r="O169" s="27">
        <f t="shared" ca="1" si="30"/>
        <v>9554.6596182676112</v>
      </c>
      <c r="P169" s="27">
        <f t="shared" ca="1" si="31"/>
        <v>6172.6995262944438</v>
      </c>
      <c r="Q169" s="27">
        <f t="shared" ca="1" si="32"/>
        <v>113.31913520256728</v>
      </c>
      <c r="T169" s="25">
        <f t="shared" ca="1" si="33"/>
        <v>9985095.44999782</v>
      </c>
      <c r="V169" s="25">
        <f t="shared" ca="1" si="34"/>
        <v>-14904.55000218004</v>
      </c>
      <c r="X169" s="14">
        <v>-31347.902796912938</v>
      </c>
    </row>
    <row r="170" spans="1:24">
      <c r="A170" s="1">
        <v>166</v>
      </c>
      <c r="B170" s="9">
        <v>39192</v>
      </c>
      <c r="C170" s="37">
        <v>12961.98</v>
      </c>
      <c r="D170" s="38">
        <v>12996.3038</v>
      </c>
      <c r="E170" s="38">
        <v>8072.4480086991971</v>
      </c>
      <c r="F170" s="38">
        <v>146.79636638909915</v>
      </c>
      <c r="I170" s="28">
        <f t="shared" si="25"/>
        <v>1.1901294540351786E-2</v>
      </c>
      <c r="J170" s="28">
        <f t="shared" si="26"/>
        <v>7.5969541872940678E-3</v>
      </c>
      <c r="K170" s="28">
        <f t="shared" si="27"/>
        <v>1.758361835669232E-2</v>
      </c>
      <c r="L170" s="28">
        <f t="shared" si="28"/>
        <v>-5.9675671709500853E-4</v>
      </c>
      <c r="N170" s="27">
        <f t="shared" ca="1" si="29"/>
        <v>10959.834683992663</v>
      </c>
      <c r="O170" s="27">
        <f t="shared" ca="1" si="30"/>
        <v>9578.1440333396458</v>
      </c>
      <c r="P170" s="27">
        <f t="shared" ca="1" si="31"/>
        <v>6386.039513451552</v>
      </c>
      <c r="Q170" s="27">
        <f t="shared" ca="1" si="32"/>
        <v>111.41693567574873</v>
      </c>
      <c r="T170" s="25">
        <f t="shared" ca="1" si="33"/>
        <v>9975650.4374510646</v>
      </c>
      <c r="V170" s="25">
        <f t="shared" ca="1" si="34"/>
        <v>-24349.562548935413</v>
      </c>
      <c r="X170" s="14">
        <v>-31240.473744457588</v>
      </c>
    </row>
    <row r="171" spans="1:24">
      <c r="A171" s="1">
        <v>167</v>
      </c>
      <c r="B171" s="9">
        <v>39195</v>
      </c>
      <c r="C171" s="37">
        <v>12919.4</v>
      </c>
      <c r="D171" s="38">
        <v>12961.343910000001</v>
      </c>
      <c r="E171" s="38">
        <v>8027.8388278388275</v>
      </c>
      <c r="F171" s="38">
        <v>147.01735029057525</v>
      </c>
      <c r="I171" s="28">
        <f t="shared" si="25"/>
        <v>-3.2903993849503527E-3</v>
      </c>
      <c r="J171" s="28">
        <f t="shared" si="26"/>
        <v>-2.6936116498937294E-3</v>
      </c>
      <c r="K171" s="28">
        <f t="shared" si="27"/>
        <v>-5.5414286050920738E-3</v>
      </c>
      <c r="L171" s="28">
        <f t="shared" si="28"/>
        <v>1.5042452452033003E-3</v>
      </c>
      <c r="N171" s="27">
        <f t="shared" ca="1" si="29"/>
        <v>10866.017017287466</v>
      </c>
      <c r="O171" s="27">
        <f t="shared" ca="1" si="30"/>
        <v>9666.5477763612234</v>
      </c>
      <c r="P171" s="27">
        <f t="shared" ca="1" si="31"/>
        <v>6130.2189212134899</v>
      </c>
      <c r="Q171" s="27">
        <f t="shared" ca="1" si="32"/>
        <v>112.94677659042183</v>
      </c>
      <c r="T171" s="25">
        <f t="shared" ca="1" si="33"/>
        <v>9955090.4352076389</v>
      </c>
      <c r="V171" s="25">
        <f t="shared" ca="1" si="34"/>
        <v>-44909.56479236111</v>
      </c>
      <c r="X171" s="14">
        <v>-30914.600904321298</v>
      </c>
    </row>
    <row r="172" spans="1:24">
      <c r="A172" s="1">
        <v>168</v>
      </c>
      <c r="B172" s="9">
        <v>39196</v>
      </c>
      <c r="C172" s="37">
        <v>12953.94</v>
      </c>
      <c r="D172" s="38">
        <v>12877.002600000002</v>
      </c>
      <c r="E172" s="38">
        <v>8018.0220678381693</v>
      </c>
      <c r="F172" s="38">
        <v>147.3842580863103</v>
      </c>
      <c r="I172" s="28">
        <f t="shared" si="25"/>
        <v>2.6699313284092772E-3</v>
      </c>
      <c r="J172" s="28">
        <f t="shared" si="26"/>
        <v>-6.5284061052412953E-3</v>
      </c>
      <c r="K172" s="28">
        <f t="shared" si="27"/>
        <v>-1.2235879756480976E-3</v>
      </c>
      <c r="L172" s="28">
        <f t="shared" si="28"/>
        <v>2.4925678070930454E-3</v>
      </c>
      <c r="N172" s="27">
        <f t="shared" ca="1" si="29"/>
        <v>11209.869419763929</v>
      </c>
      <c r="O172" s="27">
        <f t="shared" ca="1" si="30"/>
        <v>9356.593408555078</v>
      </c>
      <c r="P172" s="27">
        <f t="shared" ca="1" si="31"/>
        <v>6170.8216938894266</v>
      </c>
      <c r="Q172" s="27">
        <f t="shared" ca="1" si="32"/>
        <v>116.57039208182687</v>
      </c>
      <c r="T172" s="25">
        <f t="shared" ca="1" si="33"/>
        <v>10053799.973827764</v>
      </c>
      <c r="V172" s="25">
        <f t="shared" ca="1" si="34"/>
        <v>53799.973827764392</v>
      </c>
      <c r="X172" s="14">
        <v>-30518.92406591773</v>
      </c>
    </row>
    <row r="173" spans="1:24">
      <c r="A173" s="1">
        <v>169</v>
      </c>
      <c r="B173" s="9">
        <v>39197</v>
      </c>
      <c r="C173" s="37">
        <v>13089.89</v>
      </c>
      <c r="D173" s="38">
        <v>12960.632829999999</v>
      </c>
      <c r="E173" s="38">
        <v>8123.6579702226472</v>
      </c>
      <c r="F173" s="38">
        <v>145.47738014854826</v>
      </c>
      <c r="I173" s="28">
        <f t="shared" si="25"/>
        <v>1.0440187549126298E-2</v>
      </c>
      <c r="J173" s="28">
        <f t="shared" si="26"/>
        <v>6.4735430053077811E-3</v>
      </c>
      <c r="K173" s="28">
        <f t="shared" si="27"/>
        <v>1.3088775173929212E-2</v>
      </c>
      <c r="L173" s="28">
        <f t="shared" si="28"/>
        <v>-1.3022565179156408E-2</v>
      </c>
      <c r="N173" s="27">
        <f t="shared" ca="1" si="29"/>
        <v>10893.201903411724</v>
      </c>
      <c r="O173" s="27">
        <f t="shared" ca="1" si="30"/>
        <v>9428.5125060288083</v>
      </c>
      <c r="P173" s="27">
        <f t="shared" ca="1" si="31"/>
        <v>6116.31554576494</v>
      </c>
      <c r="Q173" s="27">
        <f t="shared" ca="1" si="32"/>
        <v>114.04036212574341</v>
      </c>
      <c r="T173" s="25">
        <f t="shared" ca="1" si="33"/>
        <v>9907712.9302592613</v>
      </c>
      <c r="V173" s="25">
        <f t="shared" ca="1" si="34"/>
        <v>-92287.06974073872</v>
      </c>
      <c r="X173" s="14">
        <v>-29916.33990559727</v>
      </c>
    </row>
    <row r="174" spans="1:24">
      <c r="A174" s="1">
        <v>170</v>
      </c>
      <c r="B174" s="9">
        <v>39198</v>
      </c>
      <c r="C174" s="37">
        <v>13105.5</v>
      </c>
      <c r="D174" s="38">
        <v>12886.397859999999</v>
      </c>
      <c r="E174" s="38">
        <v>8087.6734693877543</v>
      </c>
      <c r="F174" s="38">
        <v>145.98517463774184</v>
      </c>
      <c r="I174" s="28">
        <f t="shared" si="25"/>
        <v>1.1918128989664781E-3</v>
      </c>
      <c r="J174" s="28">
        <f t="shared" si="26"/>
        <v>-5.7441935988838035E-3</v>
      </c>
      <c r="K174" s="28">
        <f t="shared" si="27"/>
        <v>-4.439433006371128E-3</v>
      </c>
      <c r="L174" s="28">
        <f t="shared" si="28"/>
        <v>3.4844613459646193E-3</v>
      </c>
      <c r="N174" s="27">
        <f t="shared" ca="1" si="29"/>
        <v>10792.63747309563</v>
      </c>
      <c r="O174" s="27">
        <f t="shared" ca="1" si="30"/>
        <v>9339.9447837390398</v>
      </c>
      <c r="P174" s="27">
        <f t="shared" ca="1" si="31"/>
        <v>6268.7099506429386</v>
      </c>
      <c r="Q174" s="27">
        <f t="shared" ca="1" si="32"/>
        <v>113.81182674434288</v>
      </c>
      <c r="T174" s="25">
        <f t="shared" ca="1" si="33"/>
        <v>9864066.4521169513</v>
      </c>
      <c r="V174" s="25">
        <f t="shared" ca="1" si="34"/>
        <v>-135933.54788304865</v>
      </c>
      <c r="X174" s="14">
        <v>-29560.636234402657</v>
      </c>
    </row>
    <row r="175" spans="1:24">
      <c r="A175" s="1">
        <v>171</v>
      </c>
      <c r="B175" s="9">
        <v>39199</v>
      </c>
      <c r="C175" s="37">
        <v>13120.94</v>
      </c>
      <c r="D175" s="38">
        <v>12850.237399999998</v>
      </c>
      <c r="E175" s="38">
        <v>8099.9317126468186</v>
      </c>
      <c r="F175" s="38">
        <v>145.65888163401976</v>
      </c>
      <c r="I175" s="28">
        <f t="shared" si="25"/>
        <v>1.1774378668078897E-3</v>
      </c>
      <c r="J175" s="28">
        <f t="shared" si="26"/>
        <v>-2.8100397296888114E-3</v>
      </c>
      <c r="K175" s="28">
        <f t="shared" si="27"/>
        <v>1.5145224342153468E-3</v>
      </c>
      <c r="L175" s="28">
        <f t="shared" si="28"/>
        <v>-2.2376121360845693E-3</v>
      </c>
      <c r="N175" s="27">
        <f t="shared" ca="1" si="29"/>
        <v>11006.279110969166</v>
      </c>
      <c r="O175" s="27">
        <f t="shared" ca="1" si="30"/>
        <v>9480.4401505789392</v>
      </c>
      <c r="P175" s="27">
        <f t="shared" ca="1" si="31"/>
        <v>6299.4354990607262</v>
      </c>
      <c r="Q175" s="27">
        <f t="shared" ca="1" si="32"/>
        <v>113.04608721635778</v>
      </c>
      <c r="T175" s="25">
        <f t="shared" ca="1" si="33"/>
        <v>9976885.2365339492</v>
      </c>
      <c r="V175" s="25">
        <f t="shared" ca="1" si="34"/>
        <v>-23114.763466050848</v>
      </c>
      <c r="X175" s="14">
        <v>-29421.32091749832</v>
      </c>
    </row>
    <row r="176" spans="1:24">
      <c r="A176" s="1">
        <v>172</v>
      </c>
      <c r="B176" s="9">
        <v>39204</v>
      </c>
      <c r="C176" s="37">
        <v>13211.88</v>
      </c>
      <c r="D176" s="38">
        <v>12905.4519</v>
      </c>
      <c r="E176" s="38">
        <v>8144.2963970088376</v>
      </c>
      <c r="F176" s="38">
        <v>144.8249104987095</v>
      </c>
      <c r="I176" s="28">
        <f t="shared" si="25"/>
        <v>6.9069975442312892E-3</v>
      </c>
      <c r="J176" s="28">
        <f t="shared" si="26"/>
        <v>4.2875641138392E-3</v>
      </c>
      <c r="K176" s="28">
        <f t="shared" si="27"/>
        <v>5.4622225651370145E-3</v>
      </c>
      <c r="L176" s="28">
        <f t="shared" si="28"/>
        <v>-5.7419618528829113E-3</v>
      </c>
      <c r="N176" s="27">
        <f t="shared" ca="1" si="29"/>
        <v>11149.439960627093</v>
      </c>
      <c r="O176" s="27">
        <f t="shared" ca="1" si="30"/>
        <v>9627.6432842067188</v>
      </c>
      <c r="P176" s="27">
        <f t="shared" ca="1" si="31"/>
        <v>6289.132892468203</v>
      </c>
      <c r="Q176" s="27">
        <f t="shared" ca="1" si="32"/>
        <v>113.33112214780269</v>
      </c>
      <c r="T176" s="25">
        <f t="shared" ca="1" si="33"/>
        <v>10078232.216838641</v>
      </c>
      <c r="V176" s="25">
        <f t="shared" ca="1" si="34"/>
        <v>78232.216838641092</v>
      </c>
      <c r="X176" s="14">
        <v>-28575.887475958094</v>
      </c>
    </row>
    <row r="177" spans="1:24">
      <c r="A177" s="1">
        <v>173</v>
      </c>
      <c r="B177" s="9">
        <v>39210</v>
      </c>
      <c r="C177" s="37">
        <v>13309.07</v>
      </c>
      <c r="D177" s="38">
        <v>13036.60608</v>
      </c>
      <c r="E177" s="38">
        <v>8163.2169913419921</v>
      </c>
      <c r="F177" s="38">
        <v>147.29990823392006</v>
      </c>
      <c r="I177" s="28">
        <f t="shared" si="25"/>
        <v>7.3293328541939899E-3</v>
      </c>
      <c r="J177" s="28">
        <f t="shared" si="26"/>
        <v>1.0111402691174096E-2</v>
      </c>
      <c r="K177" s="28">
        <f t="shared" si="27"/>
        <v>2.3204767486715914E-3</v>
      </c>
      <c r="L177" s="28">
        <f t="shared" si="28"/>
        <v>1.6945201494386622E-2</v>
      </c>
      <c r="N177" s="27">
        <f t="shared" ca="1" si="29"/>
        <v>11078.751108037586</v>
      </c>
      <c r="O177" s="27">
        <f t="shared" ca="1" si="30"/>
        <v>9632.7481483448264</v>
      </c>
      <c r="P177" s="27">
        <f t="shared" ca="1" si="31"/>
        <v>6226.8213031552968</v>
      </c>
      <c r="Q177" s="27">
        <f t="shared" ca="1" si="32"/>
        <v>113.67091513248145</v>
      </c>
      <c r="T177" s="25">
        <f t="shared" ca="1" si="33"/>
        <v>10050147.816325817</v>
      </c>
      <c r="V177" s="25">
        <f t="shared" ca="1" si="34"/>
        <v>50147.816325817257</v>
      </c>
      <c r="X177" s="14">
        <v>-28507.000829929486</v>
      </c>
    </row>
    <row r="178" spans="1:24">
      <c r="A178" s="1">
        <v>174</v>
      </c>
      <c r="B178" s="9">
        <v>39211</v>
      </c>
      <c r="C178" s="37">
        <v>13362.87</v>
      </c>
      <c r="D178" s="38">
        <v>13078.89624</v>
      </c>
      <c r="E178" s="38">
        <v>8201.151917604011</v>
      </c>
      <c r="F178" s="38">
        <v>148.25929329212263</v>
      </c>
      <c r="I178" s="28">
        <f t="shared" si="25"/>
        <v>4.0342077078365677E-3</v>
      </c>
      <c r="J178" s="28">
        <f t="shared" si="26"/>
        <v>3.238704463552271E-3</v>
      </c>
      <c r="K178" s="28">
        <f t="shared" si="27"/>
        <v>4.6362917414833719E-3</v>
      </c>
      <c r="L178" s="28">
        <f t="shared" si="28"/>
        <v>6.492022057137053E-3</v>
      </c>
      <c r="N178" s="27">
        <f t="shared" ca="1" si="29"/>
        <v>10986.653043058015</v>
      </c>
      <c r="O178" s="27">
        <f t="shared" ca="1" si="30"/>
        <v>9502.6811833420652</v>
      </c>
      <c r="P178" s="27">
        <f t="shared" ca="1" si="31"/>
        <v>6201.4906106322496</v>
      </c>
      <c r="Q178" s="27">
        <f t="shared" ca="1" si="32"/>
        <v>112.58953790017618</v>
      </c>
      <c r="T178" s="25">
        <f t="shared" ca="1" si="33"/>
        <v>9952823.3521593474</v>
      </c>
      <c r="V178" s="25">
        <f t="shared" ca="1" si="34"/>
        <v>-47176.647840652615</v>
      </c>
      <c r="X178" s="14">
        <v>-27890.730614421889</v>
      </c>
    </row>
    <row r="179" spans="1:24">
      <c r="A179" s="1">
        <v>175</v>
      </c>
      <c r="B179" s="9">
        <v>39212</v>
      </c>
      <c r="C179" s="37">
        <v>13215.13</v>
      </c>
      <c r="D179" s="38">
        <v>12935.985479999999</v>
      </c>
      <c r="E179" s="38">
        <v>8124.2534792595598</v>
      </c>
      <c r="F179" s="38">
        <v>147.28024578593372</v>
      </c>
      <c r="I179" s="28">
        <f t="shared" si="25"/>
        <v>-1.1117580083233741E-2</v>
      </c>
      <c r="J179" s="28">
        <f t="shared" si="26"/>
        <v>-1.0986957322114046E-2</v>
      </c>
      <c r="K179" s="28">
        <f t="shared" si="27"/>
        <v>-9.4207776418409311E-3</v>
      </c>
      <c r="L179" s="28">
        <f t="shared" si="28"/>
        <v>-6.6255167800315772E-3</v>
      </c>
      <c r="N179" s="27">
        <f t="shared" ca="1" si="29"/>
        <v>10944.40359361111</v>
      </c>
      <c r="O179" s="27">
        <f t="shared" ca="1" si="30"/>
        <v>9657.217883195277</v>
      </c>
      <c r="P179" s="27">
        <f t="shared" ca="1" si="31"/>
        <v>6204.2598546478221</v>
      </c>
      <c r="Q179" s="27">
        <f t="shared" ca="1" si="32"/>
        <v>112.72935220498562</v>
      </c>
      <c r="T179" s="25">
        <f t="shared" ca="1" si="33"/>
        <v>9988709.0095482487</v>
      </c>
      <c r="V179" s="25">
        <f t="shared" ca="1" si="34"/>
        <v>-11290.990451751277</v>
      </c>
      <c r="X179" s="14">
        <v>-27370.761529356241</v>
      </c>
    </row>
    <row r="180" spans="1:24">
      <c r="A180" s="1">
        <v>176</v>
      </c>
      <c r="B180" s="9">
        <v>39213</v>
      </c>
      <c r="C180" s="37">
        <v>13326.22</v>
      </c>
      <c r="D180" s="38">
        <v>13016.500249999999</v>
      </c>
      <c r="E180" s="38">
        <v>8182.055442866802</v>
      </c>
      <c r="F180" s="38">
        <v>146.15920066611159</v>
      </c>
      <c r="I180" s="28">
        <f t="shared" si="25"/>
        <v>8.3711377701079451E-3</v>
      </c>
      <c r="J180" s="28">
        <f t="shared" si="26"/>
        <v>6.2048028194965008E-3</v>
      </c>
      <c r="K180" s="28">
        <f t="shared" si="27"/>
        <v>7.0895511651759991E-3</v>
      </c>
      <c r="L180" s="28">
        <f t="shared" si="28"/>
        <v>-7.6407625993910313E-3</v>
      </c>
      <c r="N180" s="27">
        <f t="shared" ca="1" si="29"/>
        <v>11109.884746534177</v>
      </c>
      <c r="O180" s="27">
        <f t="shared" ca="1" si="30"/>
        <v>9621.7909463421565</v>
      </c>
      <c r="P180" s="27">
        <f t="shared" ca="1" si="31"/>
        <v>6266.2901170664518</v>
      </c>
      <c r="Q180" s="27">
        <f t="shared" ca="1" si="32"/>
        <v>113.26845125275867</v>
      </c>
      <c r="T180" s="25">
        <f t="shared" ca="1" si="33"/>
        <v>10057253.364346838</v>
      </c>
      <c r="V180" s="25">
        <f t="shared" ca="1" si="34"/>
        <v>57253.364346837625</v>
      </c>
      <c r="X180" s="14">
        <v>-27306.562340598553</v>
      </c>
    </row>
    <row r="181" spans="1:24">
      <c r="A181" s="1">
        <v>177</v>
      </c>
      <c r="B181" s="9">
        <v>39216</v>
      </c>
      <c r="C181" s="37">
        <v>13346.78</v>
      </c>
      <c r="D181" s="38">
        <v>12983.167749999999</v>
      </c>
      <c r="E181" s="38">
        <v>8159.2472244787432</v>
      </c>
      <c r="F181" s="38">
        <v>146.87554004652708</v>
      </c>
      <c r="I181" s="28">
        <f t="shared" si="25"/>
        <v>1.5416341672830501E-3</v>
      </c>
      <c r="J181" s="28">
        <f t="shared" si="26"/>
        <v>-2.5640726075389828E-3</v>
      </c>
      <c r="K181" s="28">
        <f t="shared" si="27"/>
        <v>-2.7914828656208182E-3</v>
      </c>
      <c r="L181" s="28">
        <f t="shared" si="28"/>
        <v>4.8891186457272629E-3</v>
      </c>
      <c r="N181" s="27">
        <f t="shared" ca="1" si="29"/>
        <v>11049.995071927488</v>
      </c>
      <c r="O181" s="27">
        <f t="shared" ca="1" si="30"/>
        <v>9601.1387451848659</v>
      </c>
      <c r="P181" s="27">
        <f t="shared" ca="1" si="31"/>
        <v>6112.5023474984282</v>
      </c>
      <c r="Q181" s="27">
        <f t="shared" ca="1" si="32"/>
        <v>109.05244596601609</v>
      </c>
      <c r="T181" s="25">
        <f t="shared" ca="1" si="33"/>
        <v>9929524.9017519597</v>
      </c>
      <c r="V181" s="25">
        <f t="shared" ca="1" si="34"/>
        <v>-70475.098248040304</v>
      </c>
      <c r="X181" s="14">
        <v>-26983.924933113158</v>
      </c>
    </row>
    <row r="182" spans="1:24">
      <c r="A182" s="1">
        <v>178</v>
      </c>
      <c r="B182" s="9">
        <v>39217</v>
      </c>
      <c r="C182" s="37">
        <v>13383.84</v>
      </c>
      <c r="D182" s="38">
        <v>13032.1024</v>
      </c>
      <c r="E182" s="38">
        <v>8225.3704962610464</v>
      </c>
      <c r="F182" s="38">
        <v>145.61386879521078</v>
      </c>
      <c r="I182" s="28">
        <f t="shared" si="25"/>
        <v>2.7728517890933946E-3</v>
      </c>
      <c r="J182" s="28">
        <f t="shared" si="26"/>
        <v>3.7619988130579776E-3</v>
      </c>
      <c r="K182" s="28">
        <f t="shared" si="27"/>
        <v>8.0714279566225511E-3</v>
      </c>
      <c r="L182" s="28">
        <f t="shared" si="28"/>
        <v>-8.6271778634947477E-3</v>
      </c>
      <c r="N182" s="27">
        <f t="shared" ca="1" si="29"/>
        <v>10950.764816589814</v>
      </c>
      <c r="O182" s="27">
        <f t="shared" ca="1" si="30"/>
        <v>9569.9495594726941</v>
      </c>
      <c r="P182" s="27">
        <f t="shared" ca="1" si="31"/>
        <v>6100.0625541349209</v>
      </c>
      <c r="Q182" s="27">
        <f t="shared" ca="1" si="32"/>
        <v>114.7415927190934</v>
      </c>
      <c r="T182" s="25">
        <f t="shared" ca="1" si="33"/>
        <v>9982611.9976652786</v>
      </c>
      <c r="V182" s="25">
        <f t="shared" ca="1" si="34"/>
        <v>-17388.002334721386</v>
      </c>
      <c r="X182" s="14">
        <v>-26534.205037496984</v>
      </c>
    </row>
    <row r="183" spans="1:24">
      <c r="A183" s="1">
        <v>179</v>
      </c>
      <c r="B183" s="9">
        <v>39218</v>
      </c>
      <c r="C183" s="37">
        <v>13487.53</v>
      </c>
      <c r="D183" s="38">
        <v>13006.176599999999</v>
      </c>
      <c r="E183" s="38">
        <v>8169.8479500407275</v>
      </c>
      <c r="F183" s="38">
        <v>145.23987074322645</v>
      </c>
      <c r="I183" s="28">
        <f t="shared" si="25"/>
        <v>7.7175458230794077E-3</v>
      </c>
      <c r="J183" s="28">
        <f t="shared" si="26"/>
        <v>-1.9913611469819597E-3</v>
      </c>
      <c r="K183" s="28">
        <f t="shared" si="27"/>
        <v>-6.7730428424546772E-3</v>
      </c>
      <c r="L183" s="28">
        <f t="shared" si="28"/>
        <v>-2.5717273479534323E-3</v>
      </c>
      <c r="N183" s="27">
        <f t="shared" ca="1" si="29"/>
        <v>10998.809994760812</v>
      </c>
      <c r="O183" s="27">
        <f t="shared" ca="1" si="30"/>
        <v>9576.2447797248915</v>
      </c>
      <c r="P183" s="27">
        <f t="shared" ca="1" si="31"/>
        <v>6105.8275549969494</v>
      </c>
      <c r="Q183" s="27">
        <f t="shared" ca="1" si="32"/>
        <v>112.59570711057006</v>
      </c>
      <c r="T183" s="25">
        <f t="shared" ca="1" si="33"/>
        <v>9964904.9034708589</v>
      </c>
      <c r="V183" s="25">
        <f t="shared" ca="1" si="34"/>
        <v>-35095.096529141068</v>
      </c>
      <c r="X183" s="14">
        <v>-26517.208163121715</v>
      </c>
    </row>
    <row r="184" spans="1:24">
      <c r="A184" s="1">
        <v>180</v>
      </c>
      <c r="B184" s="9">
        <v>39219</v>
      </c>
      <c r="C184" s="37">
        <v>13476.72</v>
      </c>
      <c r="D184" s="38">
        <v>12995.433360000001</v>
      </c>
      <c r="E184" s="38">
        <v>8131.4085267134378</v>
      </c>
      <c r="F184" s="38">
        <v>144.29454935268407</v>
      </c>
      <c r="I184" s="28">
        <f t="shared" si="25"/>
        <v>-8.0180242944898734E-4</v>
      </c>
      <c r="J184" s="28">
        <f t="shared" si="26"/>
        <v>-8.2635195496486198E-4</v>
      </c>
      <c r="K184" s="28">
        <f t="shared" si="27"/>
        <v>-4.7161388607607707E-3</v>
      </c>
      <c r="L184" s="28">
        <f t="shared" si="28"/>
        <v>-6.5299645500060035E-3</v>
      </c>
      <c r="N184" s="27">
        <f t="shared" ca="1" si="29"/>
        <v>11118.544062845787</v>
      </c>
      <c r="O184" s="27">
        <f t="shared" ca="1" si="30"/>
        <v>9801.7645137351919</v>
      </c>
      <c r="P184" s="27">
        <f t="shared" ca="1" si="31"/>
        <v>6119.9803578067558</v>
      </c>
      <c r="Q184" s="27">
        <f t="shared" ca="1" si="32"/>
        <v>110.07728820724309</v>
      </c>
      <c r="T184" s="25">
        <f t="shared" ca="1" si="33"/>
        <v>10036471.586797683</v>
      </c>
      <c r="V184" s="25">
        <f t="shared" ca="1" si="34"/>
        <v>36471.586797682568</v>
      </c>
      <c r="X184" s="14">
        <v>-25768.254486329854</v>
      </c>
    </row>
    <row r="185" spans="1:24">
      <c r="A185" s="1">
        <v>181</v>
      </c>
      <c r="B185" s="9">
        <v>39220</v>
      </c>
      <c r="C185" s="37">
        <v>13556.53</v>
      </c>
      <c r="D185" s="38">
        <v>13111.128869999999</v>
      </c>
      <c r="E185" s="38">
        <v>8233.6572199730108</v>
      </c>
      <c r="F185" s="38">
        <v>143.54904710832443</v>
      </c>
      <c r="I185" s="28">
        <f t="shared" si="25"/>
        <v>5.9045976252457373E-3</v>
      </c>
      <c r="J185" s="28">
        <f t="shared" si="26"/>
        <v>8.8633858717885091E-3</v>
      </c>
      <c r="K185" s="28">
        <f t="shared" si="27"/>
        <v>1.2496133578505981E-2</v>
      </c>
      <c r="L185" s="28">
        <f t="shared" si="28"/>
        <v>-5.1799235448932116E-3</v>
      </c>
      <c r="N185" s="27">
        <f t="shared" ca="1" si="29"/>
        <v>10883.160426933753</v>
      </c>
      <c r="O185" s="27">
        <f t="shared" ca="1" si="30"/>
        <v>9941.5649265456577</v>
      </c>
      <c r="P185" s="27">
        <f t="shared" ca="1" si="31"/>
        <v>6280.1204414152098</v>
      </c>
      <c r="Q185" s="27">
        <f t="shared" ca="1" si="32"/>
        <v>112.3871625674002</v>
      </c>
      <c r="T185" s="25">
        <f t="shared" ca="1" si="33"/>
        <v>10061511.525471177</v>
      </c>
      <c r="V185" s="25">
        <f t="shared" ca="1" si="34"/>
        <v>61511.525471176952</v>
      </c>
      <c r="X185" s="14">
        <v>-25756.45533693023</v>
      </c>
    </row>
    <row r="186" spans="1:24">
      <c r="A186" s="1">
        <v>182</v>
      </c>
      <c r="B186" s="9">
        <v>39223</v>
      </c>
      <c r="C186" s="37">
        <v>13542.88</v>
      </c>
      <c r="D186" s="38">
        <v>13069.850240000002</v>
      </c>
      <c r="E186" s="38">
        <v>8196.3795423956926</v>
      </c>
      <c r="F186" s="38">
        <v>144.38215460526317</v>
      </c>
      <c r="I186" s="28">
        <f t="shared" si="25"/>
        <v>-1.0074020913668387E-3</v>
      </c>
      <c r="J186" s="28">
        <f t="shared" si="26"/>
        <v>-3.153332351023256E-3</v>
      </c>
      <c r="K186" s="28">
        <f t="shared" si="27"/>
        <v>-4.5377550984855453E-3</v>
      </c>
      <c r="L186" s="28">
        <f t="shared" si="28"/>
        <v>5.786867257823995E-3</v>
      </c>
      <c r="N186" s="27">
        <f t="shared" ca="1" si="29"/>
        <v>11005.390039026173</v>
      </c>
      <c r="O186" s="27">
        <f t="shared" ca="1" si="30"/>
        <v>9334.8378699381683</v>
      </c>
      <c r="P186" s="27">
        <f t="shared" ca="1" si="31"/>
        <v>6241.0719278101651</v>
      </c>
      <c r="Q186" s="27">
        <f t="shared" ca="1" si="32"/>
        <v>115.00708556012081</v>
      </c>
      <c r="T186" s="25">
        <f t="shared" ca="1" si="33"/>
        <v>9956411.169812372</v>
      </c>
      <c r="V186" s="25">
        <f t="shared" ca="1" si="34"/>
        <v>-43588.830187628046</v>
      </c>
      <c r="X186" s="14">
        <v>-24969.596197256818</v>
      </c>
    </row>
    <row r="187" spans="1:24">
      <c r="A187" s="1">
        <v>183</v>
      </c>
      <c r="B187" s="9">
        <v>39224</v>
      </c>
      <c r="C187" s="37">
        <v>13539.95</v>
      </c>
      <c r="D187" s="38">
        <v>13046.053019999999</v>
      </c>
      <c r="E187" s="38">
        <v>8198.3306408185254</v>
      </c>
      <c r="F187" s="38">
        <v>145.61069016636466</v>
      </c>
      <c r="I187" s="28">
        <f t="shared" si="25"/>
        <v>-2.1637325282699427E-4</v>
      </c>
      <c r="J187" s="28">
        <f t="shared" si="26"/>
        <v>-1.8224318224399996E-3</v>
      </c>
      <c r="K187" s="28">
        <f t="shared" si="27"/>
        <v>2.3801560506293097E-4</v>
      </c>
      <c r="L187" s="28">
        <f t="shared" si="28"/>
        <v>8.4729187839810045E-3</v>
      </c>
      <c r="N187" s="27">
        <f t="shared" ca="1" si="29"/>
        <v>11125.344725173767</v>
      </c>
      <c r="O187" s="27">
        <f t="shared" ca="1" si="30"/>
        <v>9490.8185059598218</v>
      </c>
      <c r="P187" s="27">
        <f t="shared" ca="1" si="31"/>
        <v>6181.5536039034632</v>
      </c>
      <c r="Q187" s="27">
        <f t="shared" ca="1" si="32"/>
        <v>110.19532657105735</v>
      </c>
      <c r="T187" s="25">
        <f t="shared" ca="1" si="33"/>
        <v>9953790.9523917045</v>
      </c>
      <c r="V187" s="25">
        <f t="shared" ca="1" si="34"/>
        <v>-46209.047608295456</v>
      </c>
      <c r="X187" s="14">
        <v>-24496.7390075773</v>
      </c>
    </row>
    <row r="188" spans="1:24">
      <c r="A188" s="1">
        <v>184</v>
      </c>
      <c r="B188" s="9">
        <v>39225</v>
      </c>
      <c r="C188" s="37">
        <v>13525.65</v>
      </c>
      <c r="D188" s="38">
        <v>13160.0196</v>
      </c>
      <c r="E188" s="38">
        <v>8256.0366922973153</v>
      </c>
      <c r="F188" s="38">
        <v>145.79314888010541</v>
      </c>
      <c r="I188" s="28">
        <f t="shared" si="25"/>
        <v>-1.0566919876605653E-3</v>
      </c>
      <c r="J188" s="28">
        <f t="shared" si="26"/>
        <v>8.6977778111738593E-3</v>
      </c>
      <c r="K188" s="28">
        <f t="shared" si="27"/>
        <v>7.0140998913661165E-3</v>
      </c>
      <c r="L188" s="28">
        <f t="shared" si="28"/>
        <v>1.2522740824687454E-3</v>
      </c>
      <c r="N188" s="27">
        <f t="shared" ca="1" si="29"/>
        <v>11122.169608293174</v>
      </c>
      <c r="O188" s="27">
        <f t="shared" ca="1" si="30"/>
        <v>9743.7150416503337</v>
      </c>
      <c r="P188" s="27">
        <f t="shared" ca="1" si="31"/>
        <v>6040.3067384360838</v>
      </c>
      <c r="Q188" s="27">
        <f t="shared" ca="1" si="32"/>
        <v>113.00033223105204</v>
      </c>
      <c r="T188" s="25">
        <f t="shared" ca="1" si="33"/>
        <v>10058613.773879159</v>
      </c>
      <c r="V188" s="25">
        <f t="shared" ca="1" si="34"/>
        <v>58613.773879159242</v>
      </c>
      <c r="X188" s="14">
        <v>-24449.298041084781</v>
      </c>
    </row>
    <row r="189" spans="1:24">
      <c r="A189" s="1">
        <v>185</v>
      </c>
      <c r="B189" s="9">
        <v>39226</v>
      </c>
      <c r="C189" s="37">
        <v>13441.13</v>
      </c>
      <c r="D189" s="38">
        <v>13035.601699999999</v>
      </c>
      <c r="E189" s="38">
        <v>8126.1722423753872</v>
      </c>
      <c r="F189" s="38">
        <v>145.73803837601912</v>
      </c>
      <c r="I189" s="28">
        <f t="shared" si="25"/>
        <v>-6.268473785813123E-3</v>
      </c>
      <c r="J189" s="28">
        <f t="shared" si="26"/>
        <v>-9.4992086001020413E-3</v>
      </c>
      <c r="K189" s="28">
        <f t="shared" si="27"/>
        <v>-1.5854659254603418E-2</v>
      </c>
      <c r="L189" s="28">
        <f t="shared" si="28"/>
        <v>-3.7807622067087998E-4</v>
      </c>
      <c r="N189" s="27">
        <f t="shared" ca="1" si="29"/>
        <v>11088.427162083959</v>
      </c>
      <c r="O189" s="27">
        <f t="shared" ca="1" si="30"/>
        <v>9358.2562971607513</v>
      </c>
      <c r="P189" s="27">
        <f t="shared" ca="1" si="31"/>
        <v>6251.5372524250442</v>
      </c>
      <c r="Q189" s="27">
        <f t="shared" ca="1" si="32"/>
        <v>111.4847227718172</v>
      </c>
      <c r="T189" s="25">
        <f t="shared" ca="1" si="33"/>
        <v>9933111.2405221332</v>
      </c>
      <c r="V189" s="25">
        <f t="shared" ca="1" si="34"/>
        <v>-66888.759477866814</v>
      </c>
      <c r="X189" s="14">
        <v>-24051.271980954334</v>
      </c>
    </row>
    <row r="190" spans="1:24">
      <c r="A190" s="1">
        <v>186</v>
      </c>
      <c r="B190" s="9">
        <v>39227</v>
      </c>
      <c r="C190" s="37">
        <v>13507.28</v>
      </c>
      <c r="D190" s="38">
        <v>13041.1284</v>
      </c>
      <c r="E190" s="38">
        <v>8150.5516684607101</v>
      </c>
      <c r="F190" s="38">
        <v>143.71267675106873</v>
      </c>
      <c r="I190" s="28">
        <f t="shared" si="25"/>
        <v>4.9093904139689577E-3</v>
      </c>
      <c r="J190" s="28">
        <f t="shared" si="26"/>
        <v>4.2387983934770142E-4</v>
      </c>
      <c r="K190" s="28">
        <f t="shared" si="27"/>
        <v>2.9956205499455067E-3</v>
      </c>
      <c r="L190" s="28">
        <f t="shared" si="28"/>
        <v>-1.3994746428847796E-2</v>
      </c>
      <c r="N190" s="27">
        <f t="shared" ca="1" si="29"/>
        <v>11133.785672626824</v>
      </c>
      <c r="O190" s="27">
        <f t="shared" ca="1" si="30"/>
        <v>9707.5382174272636</v>
      </c>
      <c r="P190" s="27">
        <f t="shared" ca="1" si="31"/>
        <v>6161.6265964572513</v>
      </c>
      <c r="Q190" s="27">
        <f t="shared" ca="1" si="32"/>
        <v>112.36526100515991</v>
      </c>
      <c r="T190" s="25">
        <f t="shared" ca="1" si="33"/>
        <v>10059832.514553899</v>
      </c>
      <c r="V190" s="25">
        <f t="shared" ca="1" si="34"/>
        <v>59832.514553898945</v>
      </c>
      <c r="X190" s="14">
        <v>-23952.173998134211</v>
      </c>
    </row>
    <row r="191" spans="1:24">
      <c r="A191" s="1">
        <v>187</v>
      </c>
      <c r="B191" s="9">
        <v>39231</v>
      </c>
      <c r="C191" s="37">
        <v>13521.34</v>
      </c>
      <c r="D191" s="38">
        <v>13091.440399999999</v>
      </c>
      <c r="E191" s="38">
        <v>8165.5521100175274</v>
      </c>
      <c r="F191" s="38">
        <v>145.16642023985546</v>
      </c>
      <c r="I191" s="28">
        <f t="shared" si="25"/>
        <v>1.0403787739216954E-3</v>
      </c>
      <c r="J191" s="28">
        <f t="shared" si="26"/>
        <v>3.8505255681374091E-3</v>
      </c>
      <c r="K191" s="28">
        <f t="shared" si="27"/>
        <v>1.8387289008155825E-3</v>
      </c>
      <c r="L191" s="28">
        <f t="shared" si="28"/>
        <v>1.0064804106361125E-2</v>
      </c>
      <c r="N191" s="27">
        <f t="shared" ca="1" si="29"/>
        <v>10859.46379114097</v>
      </c>
      <c r="O191" s="27">
        <f t="shared" ca="1" si="30"/>
        <v>9717.3089162590259</v>
      </c>
      <c r="P191" s="27">
        <f t="shared" ca="1" si="31"/>
        <v>6350.9050633268434</v>
      </c>
      <c r="Q191" s="27">
        <f t="shared" ca="1" si="32"/>
        <v>112.71031693474998</v>
      </c>
      <c r="T191" s="25">
        <f t="shared" ca="1" si="33"/>
        <v>9999975.7776476219</v>
      </c>
      <c r="V191" s="25">
        <f t="shared" ca="1" si="34"/>
        <v>-24.222352378070354</v>
      </c>
      <c r="X191" s="14">
        <v>-23587.107942124829</v>
      </c>
    </row>
    <row r="192" spans="1:24">
      <c r="A192" s="1">
        <v>188</v>
      </c>
      <c r="B192" s="9">
        <v>39232</v>
      </c>
      <c r="C192" s="37">
        <v>13633.08</v>
      </c>
      <c r="D192" s="38">
        <v>13038.487290000001</v>
      </c>
      <c r="E192" s="38">
        <v>8114.6253021756638</v>
      </c>
      <c r="F192" s="38">
        <v>144.7355167873601</v>
      </c>
      <c r="I192" s="28">
        <f t="shared" si="25"/>
        <v>8.2300141713685434E-3</v>
      </c>
      <c r="J192" s="28">
        <f t="shared" si="26"/>
        <v>-4.0530676638815839E-3</v>
      </c>
      <c r="K192" s="28">
        <f t="shared" si="27"/>
        <v>-6.2563168281264203E-3</v>
      </c>
      <c r="L192" s="28">
        <f t="shared" si="28"/>
        <v>-2.9727553685796929E-3</v>
      </c>
      <c r="N192" s="27">
        <f t="shared" ca="1" si="29"/>
        <v>10899.13188137575</v>
      </c>
      <c r="O192" s="27">
        <f t="shared" ca="1" si="30"/>
        <v>9468.6886495929957</v>
      </c>
      <c r="P192" s="27">
        <f t="shared" ca="1" si="31"/>
        <v>6209.442256810722</v>
      </c>
      <c r="Q192" s="27">
        <f t="shared" ca="1" si="32"/>
        <v>113.21015474048623</v>
      </c>
      <c r="T192" s="25">
        <f t="shared" ca="1" si="33"/>
        <v>9922722.5224949569</v>
      </c>
      <c r="V192" s="25">
        <f t="shared" ca="1" si="34"/>
        <v>-77277.477505043149</v>
      </c>
      <c r="X192" s="14">
        <v>-23432.00216390565</v>
      </c>
    </row>
    <row r="193" spans="1:24">
      <c r="A193" s="1">
        <v>189</v>
      </c>
      <c r="B193" s="9">
        <v>39233</v>
      </c>
      <c r="C193" s="37">
        <v>13627.64</v>
      </c>
      <c r="D193" s="38">
        <v>13098.453479999998</v>
      </c>
      <c r="E193" s="38">
        <v>8213.1324004305716</v>
      </c>
      <c r="F193" s="38">
        <v>146.75108775962565</v>
      </c>
      <c r="I193" s="28">
        <f t="shared" si="25"/>
        <v>-3.9910905304128645E-4</v>
      </c>
      <c r="J193" s="28">
        <f t="shared" si="26"/>
        <v>4.5886238749726048E-3</v>
      </c>
      <c r="K193" s="28">
        <f t="shared" si="27"/>
        <v>1.2066359048344381E-2</v>
      </c>
      <c r="L193" s="28">
        <f t="shared" si="28"/>
        <v>1.3829816301707329E-2</v>
      </c>
      <c r="N193" s="27">
        <f t="shared" ca="1" si="29"/>
        <v>11126.419854828626</v>
      </c>
      <c r="O193" s="27">
        <f t="shared" ca="1" si="30"/>
        <v>9641.5528572214134</v>
      </c>
      <c r="P193" s="27">
        <f t="shared" ca="1" si="31"/>
        <v>6084.2287878995467</v>
      </c>
      <c r="Q193" s="27">
        <f t="shared" ca="1" si="32"/>
        <v>112.07682531375951</v>
      </c>
      <c r="T193" s="25">
        <f t="shared" ca="1" si="33"/>
        <v>10018942.927453166</v>
      </c>
      <c r="V193" s="25">
        <f t="shared" ca="1" si="34"/>
        <v>18942.927453165874</v>
      </c>
      <c r="X193" s="14">
        <v>-23061.911207078025</v>
      </c>
    </row>
    <row r="194" spans="1:24">
      <c r="A194" s="1">
        <v>190</v>
      </c>
      <c r="B194" s="9">
        <v>39234</v>
      </c>
      <c r="C194" s="37">
        <v>13668.11</v>
      </c>
      <c r="D194" s="38">
        <v>13213.1893</v>
      </c>
      <c r="E194" s="38">
        <v>8277.173913043478</v>
      </c>
      <c r="F194" s="38">
        <v>147.16774563631895</v>
      </c>
      <c r="I194" s="28">
        <f t="shared" si="25"/>
        <v>2.9652989681090754E-3</v>
      </c>
      <c r="J194" s="28">
        <f t="shared" si="26"/>
        <v>8.7213518525782376E-3</v>
      </c>
      <c r="K194" s="28">
        <f t="shared" si="27"/>
        <v>7.7672098215118245E-3</v>
      </c>
      <c r="L194" s="28">
        <f t="shared" si="28"/>
        <v>2.8351919540603606E-3</v>
      </c>
      <c r="N194" s="27">
        <f t="shared" ca="1" si="29"/>
        <v>10994.856897451691</v>
      </c>
      <c r="O194" s="27">
        <f t="shared" ca="1" si="30"/>
        <v>9652.5650022749833</v>
      </c>
      <c r="P194" s="27">
        <f t="shared" ca="1" si="31"/>
        <v>6162.5797779729573</v>
      </c>
      <c r="Q194" s="27">
        <f t="shared" ca="1" si="32"/>
        <v>115.82658214480729</v>
      </c>
      <c r="T194" s="25">
        <f t="shared" ca="1" si="33"/>
        <v>10053747.399230815</v>
      </c>
      <c r="V194" s="25">
        <f t="shared" ca="1" si="34"/>
        <v>53747.39923081547</v>
      </c>
      <c r="X194" s="14">
        <v>-22667.444672364742</v>
      </c>
    </row>
    <row r="195" spans="1:24">
      <c r="A195" s="1">
        <v>191</v>
      </c>
      <c r="B195" s="9">
        <v>39237</v>
      </c>
      <c r="C195" s="37">
        <v>13676.32</v>
      </c>
      <c r="D195" s="38">
        <v>13269.555920000001</v>
      </c>
      <c r="E195" s="38">
        <v>8260.2615965480036</v>
      </c>
      <c r="F195" s="38">
        <v>147.62562628336755</v>
      </c>
      <c r="I195" s="28">
        <f t="shared" si="25"/>
        <v>6.0048794190994113E-4</v>
      </c>
      <c r="J195" s="28">
        <f t="shared" si="26"/>
        <v>4.2568626967824236E-3</v>
      </c>
      <c r="K195" s="28">
        <f t="shared" si="27"/>
        <v>-2.0453379705204118E-3</v>
      </c>
      <c r="L195" s="28">
        <f t="shared" si="28"/>
        <v>3.1064539360658879E-3</v>
      </c>
      <c r="N195" s="27">
        <f t="shared" ca="1" si="29"/>
        <v>11116.439161092943</v>
      </c>
      <c r="O195" s="27">
        <f t="shared" ca="1" si="30"/>
        <v>9427.8605677333453</v>
      </c>
      <c r="P195" s="27">
        <f t="shared" ca="1" si="31"/>
        <v>6093.6246854582796</v>
      </c>
      <c r="Q195" s="27">
        <f t="shared" ca="1" si="32"/>
        <v>112.39231841105969</v>
      </c>
      <c r="T195" s="25">
        <f t="shared" ca="1" si="33"/>
        <v>9955649.4240328167</v>
      </c>
      <c r="V195" s="25">
        <f t="shared" ca="1" si="34"/>
        <v>-44350.575967183337</v>
      </c>
      <c r="X195" s="14">
        <v>-22560.274931769818</v>
      </c>
    </row>
    <row r="196" spans="1:24">
      <c r="A196" s="1">
        <v>192</v>
      </c>
      <c r="B196" s="9">
        <v>39238</v>
      </c>
      <c r="C196" s="37">
        <v>13595.46</v>
      </c>
      <c r="D196" s="38">
        <v>13218.50712</v>
      </c>
      <c r="E196" s="38">
        <v>8219.7971602434063</v>
      </c>
      <c r="F196" s="38">
        <v>148.4078092889437</v>
      </c>
      <c r="I196" s="28">
        <f t="shared" si="25"/>
        <v>-5.9299566767712121E-3</v>
      </c>
      <c r="J196" s="28">
        <f t="shared" si="26"/>
        <v>-3.8544806485587809E-3</v>
      </c>
      <c r="K196" s="28">
        <f t="shared" si="27"/>
        <v>-4.9107249214491383E-3</v>
      </c>
      <c r="L196" s="28">
        <f t="shared" si="28"/>
        <v>5.2844356873752414E-3</v>
      </c>
      <c r="N196" s="27">
        <f t="shared" ca="1" si="29"/>
        <v>11079.387511160263</v>
      </c>
      <c r="O196" s="27">
        <f t="shared" ca="1" si="30"/>
        <v>9551.0601979500698</v>
      </c>
      <c r="P196" s="27">
        <f t="shared" ca="1" si="31"/>
        <v>6085.8078717976814</v>
      </c>
      <c r="Q196" s="27">
        <f t="shared" ca="1" si="32"/>
        <v>111.34612885650444</v>
      </c>
      <c r="T196" s="25">
        <f t="shared" ca="1" si="33"/>
        <v>9960896.8355134185</v>
      </c>
      <c r="V196" s="25">
        <f t="shared" ca="1" si="34"/>
        <v>-39103.16448658146</v>
      </c>
      <c r="X196" s="14">
        <v>-21971.669685482979</v>
      </c>
    </row>
    <row r="197" spans="1:24">
      <c r="A197" s="1">
        <v>193</v>
      </c>
      <c r="B197" s="9">
        <v>39239</v>
      </c>
      <c r="C197" s="37">
        <v>13465.67</v>
      </c>
      <c r="D197" s="38">
        <v>12991.26159</v>
      </c>
      <c r="E197" s="38">
        <v>8066.2123869923089</v>
      </c>
      <c r="F197" s="38">
        <v>149.03700950020652</v>
      </c>
      <c r="I197" s="28">
        <f t="shared" si="25"/>
        <v>-9.5924298219800704E-3</v>
      </c>
      <c r="J197" s="28">
        <f t="shared" si="26"/>
        <v>-1.7340956118003986E-2</v>
      </c>
      <c r="K197" s="28">
        <f t="shared" si="27"/>
        <v>-1.8861505147572569E-2</v>
      </c>
      <c r="L197" s="28">
        <f t="shared" si="28"/>
        <v>4.2307084206266122E-3</v>
      </c>
      <c r="N197" s="27">
        <f t="shared" ca="1" si="29"/>
        <v>11046.006640153219</v>
      </c>
      <c r="O197" s="27">
        <f t="shared" ca="1" si="30"/>
        <v>9483.2605228710127</v>
      </c>
      <c r="P197" s="27">
        <f t="shared" ca="1" si="31"/>
        <v>6110.83830715362</v>
      </c>
      <c r="Q197" s="27">
        <f t="shared" ca="1" si="32"/>
        <v>114.3440046006645</v>
      </c>
      <c r="T197" s="25">
        <f t="shared" ca="1" si="33"/>
        <v>9984775.3217733167</v>
      </c>
      <c r="V197" s="25">
        <f t="shared" ca="1" si="34"/>
        <v>-15224.678226683289</v>
      </c>
      <c r="X197" s="14">
        <v>-21608.16530374065</v>
      </c>
    </row>
    <row r="198" spans="1:24">
      <c r="A198" s="1">
        <v>194</v>
      </c>
      <c r="B198" s="9">
        <v>39240</v>
      </c>
      <c r="C198" s="37">
        <v>13266.73</v>
      </c>
      <c r="D198" s="38">
        <v>12884.001060000001</v>
      </c>
      <c r="E198" s="38">
        <v>7929.0483241351458</v>
      </c>
      <c r="F198" s="38">
        <v>148.64866200082338</v>
      </c>
      <c r="I198" s="28">
        <f t="shared" ref="I198:I261" si="35">LN(C198/C197)</f>
        <v>-1.488408617890264E-2</v>
      </c>
      <c r="J198" s="28">
        <f t="shared" ref="J198:J261" si="36">LN(D198/D197)</f>
        <v>-8.2906323175009414E-3</v>
      </c>
      <c r="K198" s="28">
        <f t="shared" ref="K198:K261" si="37">LN(E198/E197)</f>
        <v>-1.7151008368418191E-2</v>
      </c>
      <c r="L198" s="28">
        <f t="shared" ref="L198:L261" si="38">LN(F198/F197)</f>
        <v>-2.6091126101583525E-3</v>
      </c>
      <c r="N198" s="27">
        <f t="shared" ref="N198:N261" ca="1" si="39">C$504*EXP((I$1-I$2/2)*(1)+I$3*_xlfn.NORM.S.INV(RAND())*SQRT(1))</f>
        <v>11066.956312408167</v>
      </c>
      <c r="O198" s="27">
        <f t="shared" ref="O198:O261" ca="1" si="40">D$504*EXP((J$1-J$2/2)*(1)+J$3*_xlfn.NORM.S.INV(RAND())*SQRT(1))</f>
        <v>9622.7710955525035</v>
      </c>
      <c r="P198" s="27">
        <f t="shared" ref="P198:P261" ca="1" si="41">E$504*EXP((K$1-K$2/2)*(1)+K$3*_xlfn.NORM.S.INV(RAND())*SQRT(1))</f>
        <v>6056.8202775683731</v>
      </c>
      <c r="Q198" s="27">
        <f t="shared" ref="Q198:Q261" ca="1" si="42">F$504*EXP((L$1-L$2/2)*(1)+L$3*_xlfn.NORM.S.INV(RAND())*SQRT(1))</f>
        <v>112.51731223272778</v>
      </c>
      <c r="T198" s="25">
        <f t="shared" ref="T198:T261" ca="1" si="43">N198/C$504*T$2+O198/D$504*U$2+P198/E$504*V$2+Q198/F$504*W$2</f>
        <v>9994881.8112760615</v>
      </c>
      <c r="V198" s="25">
        <f t="shared" ref="V198:V261" ca="1" si="44">T198-X$2</f>
        <v>-5118.1887239385396</v>
      </c>
      <c r="X198" s="14">
        <v>-21607.485576579347</v>
      </c>
    </row>
    <row r="199" spans="1:24">
      <c r="A199" s="1">
        <v>195</v>
      </c>
      <c r="B199" s="9">
        <v>39241</v>
      </c>
      <c r="C199" s="37">
        <v>13424.39</v>
      </c>
      <c r="D199" s="38">
        <v>12798.784250000001</v>
      </c>
      <c r="E199" s="38">
        <v>7859.0569062249524</v>
      </c>
      <c r="F199" s="38">
        <v>146.25773280684436</v>
      </c>
      <c r="I199" s="28">
        <f t="shared" si="35"/>
        <v>1.1813804265987007E-2</v>
      </c>
      <c r="J199" s="28">
        <f t="shared" si="36"/>
        <v>-6.6361277956440813E-3</v>
      </c>
      <c r="K199" s="28">
        <f t="shared" si="37"/>
        <v>-8.8664061214300208E-3</v>
      </c>
      <c r="L199" s="28">
        <f t="shared" si="38"/>
        <v>-1.6215189792911023E-2</v>
      </c>
      <c r="N199" s="27">
        <f t="shared" ca="1" si="39"/>
        <v>11038.126161049835</v>
      </c>
      <c r="O199" s="27">
        <f t="shared" ca="1" si="40"/>
        <v>9474.1939739969766</v>
      </c>
      <c r="P199" s="27">
        <f t="shared" ca="1" si="41"/>
        <v>6277.9130772090375</v>
      </c>
      <c r="Q199" s="27">
        <f t="shared" ca="1" si="42"/>
        <v>113.47146322109317</v>
      </c>
      <c r="T199" s="25">
        <f t="shared" ca="1" si="43"/>
        <v>9990560.3654161803</v>
      </c>
      <c r="V199" s="25">
        <f t="shared" ca="1" si="44"/>
        <v>-9439.6345838196576</v>
      </c>
      <c r="X199" s="14">
        <v>-21304.089902868494</v>
      </c>
    </row>
    <row r="200" spans="1:24">
      <c r="A200" s="1">
        <v>196</v>
      </c>
      <c r="B200" s="9">
        <v>39244</v>
      </c>
      <c r="C200" s="37">
        <v>13424.96</v>
      </c>
      <c r="D200" s="38">
        <v>12919.586000000001</v>
      </c>
      <c r="E200" s="38">
        <v>7927.5190177499007</v>
      </c>
      <c r="F200" s="38">
        <v>146.50850242339604</v>
      </c>
      <c r="I200" s="28">
        <f t="shared" si="35"/>
        <v>4.2459128439655546E-5</v>
      </c>
      <c r="J200" s="28">
        <f t="shared" si="36"/>
        <v>9.3942685515126072E-3</v>
      </c>
      <c r="K200" s="28">
        <f t="shared" si="37"/>
        <v>8.6735136300082095E-3</v>
      </c>
      <c r="L200" s="28">
        <f t="shared" si="38"/>
        <v>1.7131051856636621E-3</v>
      </c>
      <c r="N200" s="27">
        <f t="shared" ca="1" si="39"/>
        <v>10956.473204388545</v>
      </c>
      <c r="O200" s="27">
        <f t="shared" ca="1" si="40"/>
        <v>9661.3828555244909</v>
      </c>
      <c r="P200" s="27">
        <f t="shared" ca="1" si="41"/>
        <v>6198.7062126868614</v>
      </c>
      <c r="Q200" s="27">
        <f t="shared" ca="1" si="42"/>
        <v>112.69674942798908</v>
      </c>
      <c r="T200" s="25">
        <f t="shared" ca="1" si="43"/>
        <v>9992917.1007559486</v>
      </c>
      <c r="V200" s="25">
        <f t="shared" ca="1" si="44"/>
        <v>-7082.8992440514266</v>
      </c>
      <c r="X200" s="14">
        <v>-21257.840138096362</v>
      </c>
    </row>
    <row r="201" spans="1:24">
      <c r="A201" s="1">
        <v>197</v>
      </c>
      <c r="B201" s="9">
        <v>39245</v>
      </c>
      <c r="C201" s="37">
        <v>13295.01</v>
      </c>
      <c r="D201" s="38">
        <v>12868.009399999999</v>
      </c>
      <c r="E201" s="38">
        <v>7853.7416777629824</v>
      </c>
      <c r="F201" s="38">
        <v>145.86818331143232</v>
      </c>
      <c r="I201" s="28">
        <f t="shared" si="35"/>
        <v>-9.7268840174935499E-3</v>
      </c>
      <c r="J201" s="28">
        <f t="shared" si="36"/>
        <v>-4.0001146266414132E-3</v>
      </c>
      <c r="K201" s="28">
        <f t="shared" si="37"/>
        <v>-9.3500613037147788E-3</v>
      </c>
      <c r="L201" s="28">
        <f t="shared" si="38"/>
        <v>-4.3801039339427918E-3</v>
      </c>
      <c r="N201" s="27">
        <f t="shared" ca="1" si="39"/>
        <v>10929.01426757077</v>
      </c>
      <c r="O201" s="27">
        <f t="shared" ca="1" si="40"/>
        <v>9630.3361104367432</v>
      </c>
      <c r="P201" s="27">
        <f t="shared" ca="1" si="41"/>
        <v>6165.3218428190294</v>
      </c>
      <c r="Q201" s="27">
        <f t="shared" ca="1" si="42"/>
        <v>113.32218039741969</v>
      </c>
      <c r="T201" s="25">
        <f t="shared" ca="1" si="43"/>
        <v>9978952.6024300065</v>
      </c>
      <c r="V201" s="25">
        <f t="shared" ca="1" si="44"/>
        <v>-21047.397569993511</v>
      </c>
      <c r="X201" s="14">
        <v>-21227.667260991409</v>
      </c>
    </row>
    <row r="202" spans="1:24">
      <c r="A202" s="1">
        <v>198</v>
      </c>
      <c r="B202" s="9">
        <v>39246</v>
      </c>
      <c r="C202" s="37">
        <v>13482.35</v>
      </c>
      <c r="D202" s="38">
        <v>12940.778880000002</v>
      </c>
      <c r="E202" s="38">
        <v>7895.5162320383188</v>
      </c>
      <c r="F202" s="38">
        <v>144.95847298291508</v>
      </c>
      <c r="I202" s="28">
        <f t="shared" si="35"/>
        <v>1.3992645777089996E-2</v>
      </c>
      <c r="J202" s="28">
        <f t="shared" si="36"/>
        <v>5.6391390443341167E-3</v>
      </c>
      <c r="K202" s="28">
        <f t="shared" si="37"/>
        <v>5.3049676988222725E-3</v>
      </c>
      <c r="L202" s="28">
        <f t="shared" si="38"/>
        <v>-6.2560516779359959E-3</v>
      </c>
      <c r="N202" s="27">
        <f t="shared" ca="1" si="39"/>
        <v>11144.925299899138</v>
      </c>
      <c r="O202" s="27">
        <f t="shared" ca="1" si="40"/>
        <v>9229.7387058842596</v>
      </c>
      <c r="P202" s="27">
        <f t="shared" ca="1" si="41"/>
        <v>6309.3511678587893</v>
      </c>
      <c r="Q202" s="27">
        <f t="shared" ca="1" si="42"/>
        <v>111.99955349012809</v>
      </c>
      <c r="T202" s="25">
        <f t="shared" ca="1" si="43"/>
        <v>9931903.3704003207</v>
      </c>
      <c r="V202" s="25">
        <f t="shared" ca="1" si="44"/>
        <v>-68096.629599679261</v>
      </c>
      <c r="X202" s="14">
        <v>-20478.698965795338</v>
      </c>
    </row>
    <row r="203" spans="1:24">
      <c r="A203" s="1">
        <v>199</v>
      </c>
      <c r="B203" s="9">
        <v>39247</v>
      </c>
      <c r="C203" s="37">
        <v>13553.73</v>
      </c>
      <c r="D203" s="38">
        <v>13096.31306</v>
      </c>
      <c r="E203" s="38">
        <v>8051.1649580615094</v>
      </c>
      <c r="F203" s="38">
        <v>145.15367718841523</v>
      </c>
      <c r="I203" s="28">
        <f t="shared" si="35"/>
        <v>5.2803635625264106E-3</v>
      </c>
      <c r="J203" s="28">
        <f t="shared" si="36"/>
        <v>1.1947265877180395E-2</v>
      </c>
      <c r="K203" s="28">
        <f t="shared" si="37"/>
        <v>1.9521763465467513E-2</v>
      </c>
      <c r="L203" s="28">
        <f t="shared" si="38"/>
        <v>1.345715681633091E-3</v>
      </c>
      <c r="N203" s="27">
        <f t="shared" ca="1" si="39"/>
        <v>11036.458148986425</v>
      </c>
      <c r="O203" s="27">
        <f t="shared" ca="1" si="40"/>
        <v>9751.7467130187233</v>
      </c>
      <c r="P203" s="27">
        <f t="shared" ca="1" si="41"/>
        <v>6188.0166124009511</v>
      </c>
      <c r="Q203" s="27">
        <f t="shared" ca="1" si="42"/>
        <v>110.40732175687937</v>
      </c>
      <c r="T203" s="25">
        <f t="shared" ca="1" si="43"/>
        <v>10007874.577164499</v>
      </c>
      <c r="V203" s="25">
        <f t="shared" ca="1" si="44"/>
        <v>7874.5771644990891</v>
      </c>
      <c r="X203" s="14">
        <v>-20285.658290218562</v>
      </c>
    </row>
    <row r="204" spans="1:24">
      <c r="A204" s="1">
        <v>200</v>
      </c>
      <c r="B204" s="9">
        <v>39248</v>
      </c>
      <c r="C204" s="37">
        <v>13639.48</v>
      </c>
      <c r="D204" s="38">
        <v>13309.281559999999</v>
      </c>
      <c r="E204" s="38">
        <v>8159.9572306869823</v>
      </c>
      <c r="F204" s="38">
        <v>145.4945757772021</v>
      </c>
      <c r="I204" s="28">
        <f t="shared" si="35"/>
        <v>6.3067423246701915E-3</v>
      </c>
      <c r="J204" s="28">
        <f t="shared" si="36"/>
        <v>1.6130908697352023E-2</v>
      </c>
      <c r="K204" s="28">
        <f t="shared" si="37"/>
        <v>1.3422131377531078E-2</v>
      </c>
      <c r="L204" s="28">
        <f t="shared" si="38"/>
        <v>2.3457821723008514E-3</v>
      </c>
      <c r="N204" s="27">
        <f t="shared" ca="1" si="39"/>
        <v>10923.156460500746</v>
      </c>
      <c r="O204" s="27">
        <f t="shared" ca="1" si="40"/>
        <v>9449.5572579790478</v>
      </c>
      <c r="P204" s="27">
        <f t="shared" ca="1" si="41"/>
        <v>6304.2145140270422</v>
      </c>
      <c r="Q204" s="27">
        <f t="shared" ca="1" si="42"/>
        <v>112.82087679074036</v>
      </c>
      <c r="T204" s="25">
        <f t="shared" ca="1" si="43"/>
        <v>9933846.7583505437</v>
      </c>
      <c r="V204" s="25">
        <f t="shared" ca="1" si="44"/>
        <v>-66153.241649456322</v>
      </c>
      <c r="X204" s="14">
        <v>-20103.034271715209</v>
      </c>
    </row>
    <row r="205" spans="1:24">
      <c r="A205" s="1">
        <v>201</v>
      </c>
      <c r="B205" s="9">
        <v>39251</v>
      </c>
      <c r="C205" s="37">
        <v>13612.98</v>
      </c>
      <c r="D205" s="38">
        <v>13278.292799999999</v>
      </c>
      <c r="E205" s="38">
        <v>8154.2531815137299</v>
      </c>
      <c r="F205" s="38">
        <v>146.76952935468219</v>
      </c>
      <c r="I205" s="28">
        <f t="shared" si="35"/>
        <v>-1.9447791760657327E-3</v>
      </c>
      <c r="J205" s="28">
        <f t="shared" si="36"/>
        <v>-2.3310719220100032E-3</v>
      </c>
      <c r="K205" s="28">
        <f t="shared" si="37"/>
        <v>-6.9927373272307691E-4</v>
      </c>
      <c r="L205" s="28">
        <f t="shared" si="38"/>
        <v>8.7247228970107546E-3</v>
      </c>
      <c r="N205" s="27">
        <f t="shared" ca="1" si="39"/>
        <v>11040.521117506936</v>
      </c>
      <c r="O205" s="27">
        <f t="shared" ca="1" si="40"/>
        <v>9572.4812324080904</v>
      </c>
      <c r="P205" s="27">
        <f t="shared" ca="1" si="41"/>
        <v>6304.9922651176685</v>
      </c>
      <c r="Q205" s="27">
        <f t="shared" ca="1" si="42"/>
        <v>111.56636526258666</v>
      </c>
      <c r="T205" s="25">
        <f t="shared" ca="1" si="43"/>
        <v>9992740.2308940217</v>
      </c>
      <c r="V205" s="25">
        <f t="shared" ca="1" si="44"/>
        <v>-7259.7691059783101</v>
      </c>
      <c r="X205" s="14">
        <v>-20101.584257744253</v>
      </c>
    </row>
    <row r="206" spans="1:24">
      <c r="A206" s="1">
        <v>202</v>
      </c>
      <c r="B206" s="9">
        <v>39252</v>
      </c>
      <c r="C206" s="37">
        <v>13635.42</v>
      </c>
      <c r="D206" s="38">
        <v>13215.94246</v>
      </c>
      <c r="E206" s="38">
        <v>8141.1504424778759</v>
      </c>
      <c r="F206" s="38">
        <v>147.21680985573028</v>
      </c>
      <c r="I206" s="28">
        <f t="shared" si="35"/>
        <v>1.6470695580664528E-3</v>
      </c>
      <c r="J206" s="28">
        <f t="shared" si="36"/>
        <v>-4.7067186120335735E-3</v>
      </c>
      <c r="K206" s="28">
        <f t="shared" si="37"/>
        <v>-1.608151864415203E-3</v>
      </c>
      <c r="L206" s="28">
        <f t="shared" si="38"/>
        <v>3.0428682323490599E-3</v>
      </c>
      <c r="N206" s="27">
        <f t="shared" ca="1" si="39"/>
        <v>11009.900772412473</v>
      </c>
      <c r="O206" s="27">
        <f t="shared" ca="1" si="40"/>
        <v>9493.8062564801512</v>
      </c>
      <c r="P206" s="27">
        <f t="shared" ca="1" si="41"/>
        <v>6212.3394888476441</v>
      </c>
      <c r="Q206" s="27">
        <f t="shared" ca="1" si="42"/>
        <v>115.31037888711136</v>
      </c>
      <c r="T206" s="25">
        <f t="shared" ca="1" si="43"/>
        <v>10008468.818773111</v>
      </c>
      <c r="V206" s="25">
        <f t="shared" ca="1" si="44"/>
        <v>8468.8187731113285</v>
      </c>
      <c r="X206" s="14">
        <v>-19919.495180355385</v>
      </c>
    </row>
    <row r="207" spans="1:24">
      <c r="A207" s="1">
        <v>203</v>
      </c>
      <c r="B207" s="9">
        <v>39253</v>
      </c>
      <c r="C207" s="37">
        <v>13489.42</v>
      </c>
      <c r="D207" s="38">
        <v>13251.38997</v>
      </c>
      <c r="E207" s="38">
        <v>8176.7176596886748</v>
      </c>
      <c r="F207" s="38">
        <v>147.28410837040033</v>
      </c>
      <c r="I207" s="28">
        <f t="shared" si="35"/>
        <v>-1.0765144419064688E-2</v>
      </c>
      <c r="J207" s="28">
        <f t="shared" si="36"/>
        <v>2.6785873708961038E-3</v>
      </c>
      <c r="K207" s="28">
        <f t="shared" si="37"/>
        <v>4.3593039621744652E-3</v>
      </c>
      <c r="L207" s="28">
        <f t="shared" si="38"/>
        <v>4.570343362381172E-4</v>
      </c>
      <c r="N207" s="27">
        <f t="shared" ca="1" si="39"/>
        <v>10834.810864491899</v>
      </c>
      <c r="O207" s="27">
        <f t="shared" ca="1" si="40"/>
        <v>9423.8738242555282</v>
      </c>
      <c r="P207" s="27">
        <f t="shared" ca="1" si="41"/>
        <v>6141.4125887771424</v>
      </c>
      <c r="Q207" s="27">
        <f t="shared" ca="1" si="42"/>
        <v>113.99313749361878</v>
      </c>
      <c r="T207" s="25">
        <f t="shared" ca="1" si="43"/>
        <v>9888283.2181861605</v>
      </c>
      <c r="V207" s="25">
        <f t="shared" ca="1" si="44"/>
        <v>-111716.78181383945</v>
      </c>
      <c r="X207" s="14">
        <v>-19277.332019358873</v>
      </c>
    </row>
    <row r="208" spans="1:24">
      <c r="A208" s="1">
        <v>204</v>
      </c>
      <c r="B208" s="9">
        <v>39254</v>
      </c>
      <c r="C208" s="37">
        <v>13545.84</v>
      </c>
      <c r="D208" s="38">
        <v>13142.529999999999</v>
      </c>
      <c r="E208" s="38">
        <v>8079.5792576711783</v>
      </c>
      <c r="F208" s="38">
        <v>147.50363901018923</v>
      </c>
      <c r="I208" s="28">
        <f t="shared" si="35"/>
        <v>4.1738146336625023E-3</v>
      </c>
      <c r="J208" s="28">
        <f t="shared" si="36"/>
        <v>-8.2489139468957511E-3</v>
      </c>
      <c r="K208" s="28">
        <f t="shared" si="37"/>
        <v>-1.1951006883128334E-2</v>
      </c>
      <c r="L208" s="28">
        <f t="shared" si="38"/>
        <v>1.4894152306037549E-3</v>
      </c>
      <c r="N208" s="27">
        <f t="shared" ca="1" si="39"/>
        <v>10923.741352043495</v>
      </c>
      <c r="O208" s="27">
        <f t="shared" ca="1" si="40"/>
        <v>9633.5938235728445</v>
      </c>
      <c r="P208" s="27">
        <f t="shared" ca="1" si="41"/>
        <v>6166.7751466763038</v>
      </c>
      <c r="Q208" s="27">
        <f t="shared" ca="1" si="42"/>
        <v>112.43390301039194</v>
      </c>
      <c r="T208" s="25">
        <f t="shared" ca="1" si="43"/>
        <v>9962544.9400214069</v>
      </c>
      <c r="V208" s="25">
        <f t="shared" ca="1" si="44"/>
        <v>-37455.059978593141</v>
      </c>
      <c r="X208" s="14">
        <v>-18749.805529704317</v>
      </c>
    </row>
    <row r="209" spans="1:24">
      <c r="A209" s="1">
        <v>205</v>
      </c>
      <c r="B209" s="9">
        <v>39255</v>
      </c>
      <c r="C209" s="37">
        <v>13360.26</v>
      </c>
      <c r="D209" s="38">
        <v>13107.216919999999</v>
      </c>
      <c r="E209" s="38">
        <v>8088.156304552168</v>
      </c>
      <c r="F209" s="38">
        <v>146.57611411072608</v>
      </c>
      <c r="I209" s="28">
        <f t="shared" si="35"/>
        <v>-1.3794860121072909E-2</v>
      </c>
      <c r="J209" s="28">
        <f t="shared" si="36"/>
        <v>-2.6905479439764948E-3</v>
      </c>
      <c r="K209" s="28">
        <f t="shared" si="37"/>
        <v>1.0610079132732798E-3</v>
      </c>
      <c r="L209" s="28">
        <f t="shared" si="38"/>
        <v>-6.3080029495766205E-3</v>
      </c>
      <c r="N209" s="27">
        <f t="shared" ca="1" si="39"/>
        <v>11158.917895964205</v>
      </c>
      <c r="O209" s="27">
        <f t="shared" ca="1" si="40"/>
        <v>9611.94541587403</v>
      </c>
      <c r="P209" s="27">
        <f t="shared" ca="1" si="41"/>
        <v>6069.6706798988898</v>
      </c>
      <c r="Q209" s="27">
        <f t="shared" ca="1" si="42"/>
        <v>112.82061309702486</v>
      </c>
      <c r="T209" s="25">
        <f t="shared" ca="1" si="43"/>
        <v>10032321.530772829</v>
      </c>
      <c r="V209" s="25">
        <f t="shared" ca="1" si="44"/>
        <v>32321.530772829428</v>
      </c>
      <c r="X209" s="14">
        <v>-18497.485085165128</v>
      </c>
    </row>
    <row r="210" spans="1:24">
      <c r="A210" s="1">
        <v>206</v>
      </c>
      <c r="B210" s="9">
        <v>39258</v>
      </c>
      <c r="C210" s="37">
        <v>13352.05</v>
      </c>
      <c r="D210" s="38">
        <v>13154.399439999999</v>
      </c>
      <c r="E210" s="38">
        <v>8075.9451096461735</v>
      </c>
      <c r="F210" s="38">
        <v>146.17326652658801</v>
      </c>
      <c r="I210" s="28">
        <f t="shared" si="35"/>
        <v>-6.146978871176507E-4</v>
      </c>
      <c r="J210" s="28">
        <f t="shared" si="36"/>
        <v>3.5932724109625424E-3</v>
      </c>
      <c r="K210" s="28">
        <f t="shared" si="37"/>
        <v>-1.5109033179256806E-3</v>
      </c>
      <c r="L210" s="28">
        <f t="shared" si="38"/>
        <v>-2.7521686812079821E-3</v>
      </c>
      <c r="N210" s="27">
        <f t="shared" ca="1" si="39"/>
        <v>10863.206105964277</v>
      </c>
      <c r="O210" s="27">
        <f t="shared" ca="1" si="40"/>
        <v>9553.4635453607552</v>
      </c>
      <c r="P210" s="27">
        <f t="shared" ca="1" si="41"/>
        <v>6291.5711619255671</v>
      </c>
      <c r="Q210" s="27">
        <f t="shared" ca="1" si="42"/>
        <v>111.48532226669295</v>
      </c>
      <c r="T210" s="25">
        <f t="shared" ca="1" si="43"/>
        <v>9918846.7974339519</v>
      </c>
      <c r="V210" s="25">
        <f t="shared" ca="1" si="44"/>
        <v>-81153.20256604813</v>
      </c>
      <c r="X210" s="14">
        <v>-18348.202223926783</v>
      </c>
    </row>
    <row r="211" spans="1:24">
      <c r="A211" s="1">
        <v>207</v>
      </c>
      <c r="B211" s="9">
        <v>39259</v>
      </c>
      <c r="C211" s="37">
        <v>13337.66</v>
      </c>
      <c r="D211" s="38">
        <v>13114.664420000001</v>
      </c>
      <c r="E211" s="38">
        <v>8014.7549811523959</v>
      </c>
      <c r="F211" s="38">
        <v>146.77154927288976</v>
      </c>
      <c r="I211" s="28">
        <f t="shared" si="35"/>
        <v>-1.0783183027732143E-3</v>
      </c>
      <c r="J211" s="28">
        <f t="shared" si="36"/>
        <v>-3.0252353503342809E-3</v>
      </c>
      <c r="K211" s="28">
        <f t="shared" si="37"/>
        <v>-7.6056881450432927E-3</v>
      </c>
      <c r="L211" s="28">
        <f t="shared" si="38"/>
        <v>4.084616254332183E-3</v>
      </c>
      <c r="N211" s="27">
        <f t="shared" ca="1" si="39"/>
        <v>10831.937764409722</v>
      </c>
      <c r="O211" s="27">
        <f t="shared" ca="1" si="40"/>
        <v>9227.9890065886211</v>
      </c>
      <c r="P211" s="27">
        <f t="shared" ca="1" si="41"/>
        <v>6145.2051130351119</v>
      </c>
      <c r="Q211" s="27">
        <f t="shared" ca="1" si="42"/>
        <v>111.04721243438021</v>
      </c>
      <c r="T211" s="25">
        <f t="shared" ca="1" si="43"/>
        <v>9774415.0774918757</v>
      </c>
      <c r="V211" s="25">
        <f t="shared" ca="1" si="44"/>
        <v>-225584.92250812426</v>
      </c>
      <c r="X211" s="14">
        <v>-18269.013754945248</v>
      </c>
    </row>
    <row r="212" spans="1:24">
      <c r="A212" s="1">
        <v>208</v>
      </c>
      <c r="B212" s="9">
        <v>39260</v>
      </c>
      <c r="C212" s="37">
        <v>13427.73</v>
      </c>
      <c r="D212" s="38">
        <v>13034.311680000001</v>
      </c>
      <c r="E212" s="38">
        <v>7980.7521826729344</v>
      </c>
      <c r="F212" s="38">
        <v>145.73220117570213</v>
      </c>
      <c r="I212" s="28">
        <f t="shared" si="35"/>
        <v>6.730358869940555E-3</v>
      </c>
      <c r="J212" s="28">
        <f t="shared" si="36"/>
        <v>-6.1457850286230457E-3</v>
      </c>
      <c r="K212" s="28">
        <f t="shared" si="37"/>
        <v>-4.2515500571286982E-3</v>
      </c>
      <c r="L212" s="28">
        <f t="shared" si="38"/>
        <v>-7.1065924442327583E-3</v>
      </c>
      <c r="N212" s="27">
        <f t="shared" ca="1" si="39"/>
        <v>10860.66115232491</v>
      </c>
      <c r="O212" s="27">
        <f t="shared" ca="1" si="40"/>
        <v>9562.0848948106868</v>
      </c>
      <c r="P212" s="27">
        <f t="shared" ca="1" si="41"/>
        <v>6139.3786208199572</v>
      </c>
      <c r="Q212" s="27">
        <f t="shared" ca="1" si="42"/>
        <v>112.03451304379796</v>
      </c>
      <c r="T212" s="25">
        <f t="shared" ca="1" si="43"/>
        <v>9905807.3121537026</v>
      </c>
      <c r="V212" s="25">
        <f t="shared" ca="1" si="44"/>
        <v>-94192.687846297398</v>
      </c>
      <c r="X212" s="14">
        <v>-18199.627266345546</v>
      </c>
    </row>
    <row r="213" spans="1:24">
      <c r="A213" s="1">
        <v>209</v>
      </c>
      <c r="B213" s="9">
        <v>39261</v>
      </c>
      <c r="C213" s="37">
        <v>13422.28</v>
      </c>
      <c r="D213" s="38">
        <v>13159.685380000001</v>
      </c>
      <c r="E213" s="38">
        <v>8087.1280463174908</v>
      </c>
      <c r="F213" s="38">
        <v>145.82638041798813</v>
      </c>
      <c r="I213" s="28">
        <f t="shared" si="35"/>
        <v>-4.0595888603739254E-4</v>
      </c>
      <c r="J213" s="28">
        <f t="shared" si="36"/>
        <v>9.5727778489404659E-3</v>
      </c>
      <c r="K213" s="28">
        <f t="shared" si="37"/>
        <v>1.3241002087645439E-2</v>
      </c>
      <c r="L213" s="28">
        <f t="shared" si="38"/>
        <v>6.4603994879391892E-4</v>
      </c>
      <c r="N213" s="27">
        <f t="shared" ca="1" si="39"/>
        <v>10993.45887348058</v>
      </c>
      <c r="O213" s="27">
        <f t="shared" ca="1" si="40"/>
        <v>9550.8603495989937</v>
      </c>
      <c r="P213" s="27">
        <f t="shared" ca="1" si="41"/>
        <v>6120.1223904382796</v>
      </c>
      <c r="Q213" s="27">
        <f t="shared" ca="1" si="42"/>
        <v>113.14236808477838</v>
      </c>
      <c r="T213" s="25">
        <f t="shared" ca="1" si="43"/>
        <v>9967026.3588271495</v>
      </c>
      <c r="V213" s="25">
        <f t="shared" ca="1" si="44"/>
        <v>-32973.641172850505</v>
      </c>
      <c r="X213" s="14">
        <v>-17679.951358288527</v>
      </c>
    </row>
    <row r="214" spans="1:24">
      <c r="A214" s="1">
        <v>210</v>
      </c>
      <c r="B214" s="9">
        <v>39262</v>
      </c>
      <c r="C214" s="37">
        <v>13408.62</v>
      </c>
      <c r="D214" s="38">
        <v>13258.090560000001</v>
      </c>
      <c r="E214" s="38">
        <v>8176.812964213369</v>
      </c>
      <c r="F214" s="38">
        <v>146.85742045178529</v>
      </c>
      <c r="I214" s="28">
        <f t="shared" si="35"/>
        <v>-1.0182290702296607E-3</v>
      </c>
      <c r="J214" s="28">
        <f t="shared" si="36"/>
        <v>7.4499560721666769E-3</v>
      </c>
      <c r="K214" s="28">
        <f t="shared" si="37"/>
        <v>1.1028793931243199E-2</v>
      </c>
      <c r="L214" s="28">
        <f t="shared" si="38"/>
        <v>7.0454483347296166E-3</v>
      </c>
      <c r="N214" s="27">
        <f t="shared" ca="1" si="39"/>
        <v>10923.539686278387</v>
      </c>
      <c r="O214" s="27">
        <f t="shared" ca="1" si="40"/>
        <v>9752.1832669897303</v>
      </c>
      <c r="P214" s="27">
        <f t="shared" ca="1" si="41"/>
        <v>6333.3868647062955</v>
      </c>
      <c r="Q214" s="27">
        <f t="shared" ca="1" si="42"/>
        <v>115.45178359751394</v>
      </c>
      <c r="T214" s="25">
        <f t="shared" ca="1" si="43"/>
        <v>10079900.518401662</v>
      </c>
      <c r="V214" s="25">
        <f t="shared" ca="1" si="44"/>
        <v>79900.518401661888</v>
      </c>
      <c r="X214" s="14">
        <v>-17544.592442950234</v>
      </c>
    </row>
    <row r="215" spans="1:24">
      <c r="A215" s="1">
        <v>211</v>
      </c>
      <c r="B215" s="9">
        <v>39265</v>
      </c>
      <c r="C215" s="37">
        <v>13535.43</v>
      </c>
      <c r="D215" s="38">
        <v>13270.83216</v>
      </c>
      <c r="E215" s="38">
        <v>8214.4609513425094</v>
      </c>
      <c r="F215" s="38">
        <v>148.36317553756845</v>
      </c>
      <c r="I215" s="28">
        <f t="shared" si="35"/>
        <v>9.4129083273793435E-3</v>
      </c>
      <c r="J215" s="28">
        <f t="shared" si="36"/>
        <v>9.6058186110466539E-4</v>
      </c>
      <c r="K215" s="28">
        <f t="shared" si="37"/>
        <v>4.5936702084837539E-3</v>
      </c>
      <c r="L215" s="28">
        <f t="shared" si="38"/>
        <v>1.0200969468899444E-2</v>
      </c>
      <c r="N215" s="27">
        <f t="shared" ca="1" si="39"/>
        <v>10929.797691485997</v>
      </c>
      <c r="O215" s="27">
        <f t="shared" ca="1" si="40"/>
        <v>9844.3753225148103</v>
      </c>
      <c r="P215" s="27">
        <f t="shared" ca="1" si="41"/>
        <v>6264.6000482841755</v>
      </c>
      <c r="Q215" s="27">
        <f t="shared" ca="1" si="42"/>
        <v>111.64620071069405</v>
      </c>
      <c r="T215" s="25">
        <f t="shared" ca="1" si="43"/>
        <v>10032426.340500582</v>
      </c>
      <c r="V215" s="25">
        <f t="shared" ca="1" si="44"/>
        <v>32426.34050058201</v>
      </c>
      <c r="X215" s="14">
        <v>-17510.896887723356</v>
      </c>
    </row>
    <row r="216" spans="1:24">
      <c r="A216" s="1">
        <v>212</v>
      </c>
      <c r="B216" s="9">
        <v>39266</v>
      </c>
      <c r="C216" s="37">
        <v>13577.3</v>
      </c>
      <c r="D216" s="38">
        <v>13389.156700000001</v>
      </c>
      <c r="E216" s="38">
        <v>8262.7824666485158</v>
      </c>
      <c r="F216" s="38">
        <v>148.36834791138725</v>
      </c>
      <c r="I216" s="28">
        <f t="shared" si="35"/>
        <v>3.08858851797496E-3</v>
      </c>
      <c r="J216" s="28">
        <f t="shared" si="36"/>
        <v>8.8766216342439676E-3</v>
      </c>
      <c r="K216" s="28">
        <f t="shared" si="37"/>
        <v>5.8652594498848683E-3</v>
      </c>
      <c r="L216" s="28">
        <f t="shared" si="38"/>
        <v>3.4862314318390732E-5</v>
      </c>
      <c r="N216" s="27">
        <f t="shared" ca="1" si="39"/>
        <v>10734.611451533026</v>
      </c>
      <c r="O216" s="27">
        <f t="shared" ca="1" si="40"/>
        <v>9615.4954591940914</v>
      </c>
      <c r="P216" s="27">
        <f t="shared" ca="1" si="41"/>
        <v>6001.1590302106561</v>
      </c>
      <c r="Q216" s="27">
        <f t="shared" ca="1" si="42"/>
        <v>115.04668815019517</v>
      </c>
      <c r="T216" s="25">
        <f t="shared" ca="1" si="43"/>
        <v>9907858.6045869384</v>
      </c>
      <c r="V216" s="25">
        <f t="shared" ca="1" si="44"/>
        <v>-92141.395413061604</v>
      </c>
      <c r="X216" s="14">
        <v>-17407.979856792837</v>
      </c>
    </row>
    <row r="217" spans="1:24">
      <c r="A217" s="1">
        <v>213</v>
      </c>
      <c r="B217" s="9">
        <v>39268</v>
      </c>
      <c r="C217" s="37">
        <v>13565.84</v>
      </c>
      <c r="D217" s="38">
        <v>13339.406080000001</v>
      </c>
      <c r="E217" s="38">
        <v>8240.8948728410178</v>
      </c>
      <c r="F217" s="38">
        <v>148.35922488194106</v>
      </c>
      <c r="I217" s="28">
        <f t="shared" si="35"/>
        <v>-8.4441230314139611E-4</v>
      </c>
      <c r="J217" s="28">
        <f t="shared" si="36"/>
        <v>-3.7226601268446433E-3</v>
      </c>
      <c r="K217" s="28">
        <f t="shared" si="37"/>
        <v>-2.6524520795910425E-3</v>
      </c>
      <c r="L217" s="28">
        <f t="shared" si="38"/>
        <v>-6.1490945133096931E-5</v>
      </c>
      <c r="N217" s="27">
        <f t="shared" ca="1" si="39"/>
        <v>10996.284660415271</v>
      </c>
      <c r="O217" s="27">
        <f t="shared" ca="1" si="40"/>
        <v>9485.51505357311</v>
      </c>
      <c r="P217" s="27">
        <f t="shared" ca="1" si="41"/>
        <v>6062.7388988381772</v>
      </c>
      <c r="Q217" s="27">
        <f t="shared" ca="1" si="42"/>
        <v>112.46330748145527</v>
      </c>
      <c r="T217" s="25">
        <f t="shared" ca="1" si="43"/>
        <v>9926338.7082920708</v>
      </c>
      <c r="V217" s="25">
        <f t="shared" ca="1" si="44"/>
        <v>-73661.291707929224</v>
      </c>
      <c r="X217" s="14">
        <v>-17219.228113396093</v>
      </c>
    </row>
    <row r="218" spans="1:24">
      <c r="A218" s="1">
        <v>214</v>
      </c>
      <c r="B218" s="9">
        <v>39269</v>
      </c>
      <c r="C218" s="37">
        <v>13611.68</v>
      </c>
      <c r="D218" s="38">
        <v>13467.840310000001</v>
      </c>
      <c r="E218" s="38">
        <v>8318.8249727371858</v>
      </c>
      <c r="F218" s="38">
        <v>147.24788961038959</v>
      </c>
      <c r="I218" s="28">
        <f t="shared" si="35"/>
        <v>3.3733794305295405E-3</v>
      </c>
      <c r="J218" s="28">
        <f t="shared" si="36"/>
        <v>9.5821264769512145E-3</v>
      </c>
      <c r="K218" s="28">
        <f t="shared" si="37"/>
        <v>9.412076523360494E-3</v>
      </c>
      <c r="L218" s="28">
        <f t="shared" si="38"/>
        <v>-7.5190376207233851E-3</v>
      </c>
      <c r="N218" s="27">
        <f t="shared" ca="1" si="39"/>
        <v>10843.279927429259</v>
      </c>
      <c r="O218" s="27">
        <f t="shared" ca="1" si="40"/>
        <v>9581.7691259200383</v>
      </c>
      <c r="P218" s="27">
        <f t="shared" ca="1" si="41"/>
        <v>6344.1659105395702</v>
      </c>
      <c r="Q218" s="27">
        <f t="shared" ca="1" si="42"/>
        <v>113.45922914216783</v>
      </c>
      <c r="T218" s="25">
        <f t="shared" ca="1" si="43"/>
        <v>9963934.9732487667</v>
      </c>
      <c r="V218" s="25">
        <f t="shared" ca="1" si="44"/>
        <v>-36065.026751233265</v>
      </c>
      <c r="X218" s="14">
        <v>-17114.331653514877</v>
      </c>
    </row>
    <row r="219" spans="1:24">
      <c r="A219" s="1">
        <v>215</v>
      </c>
      <c r="B219" s="9">
        <v>39272</v>
      </c>
      <c r="C219" s="37">
        <v>13649.97</v>
      </c>
      <c r="D219" s="38">
        <v>13526.761769999999</v>
      </c>
      <c r="E219" s="38">
        <v>8319.242300354319</v>
      </c>
      <c r="F219" s="38">
        <v>148.09812667261374</v>
      </c>
      <c r="I219" s="28">
        <f t="shared" si="35"/>
        <v>2.8090761328510741E-3</v>
      </c>
      <c r="J219" s="28">
        <f t="shared" si="36"/>
        <v>4.3654322740178048E-3</v>
      </c>
      <c r="K219" s="28">
        <f t="shared" si="37"/>
        <v>5.0165396060780328E-5</v>
      </c>
      <c r="L219" s="28">
        <f t="shared" si="38"/>
        <v>5.7575817116836915E-3</v>
      </c>
      <c r="N219" s="27">
        <f t="shared" ca="1" si="39"/>
        <v>11056.701512146914</v>
      </c>
      <c r="O219" s="27">
        <f t="shared" ca="1" si="40"/>
        <v>9814.593700761734</v>
      </c>
      <c r="P219" s="27">
        <f t="shared" ca="1" si="41"/>
        <v>6226.7191279038852</v>
      </c>
      <c r="Q219" s="27">
        <f t="shared" ca="1" si="42"/>
        <v>112.09641539693583</v>
      </c>
      <c r="T219" s="25">
        <f t="shared" ca="1" si="43"/>
        <v>10071045.498166908</v>
      </c>
      <c r="V219" s="25">
        <f t="shared" ca="1" si="44"/>
        <v>71045.498166907579</v>
      </c>
      <c r="X219" s="14">
        <v>-15833.797858264297</v>
      </c>
    </row>
    <row r="220" spans="1:24">
      <c r="A220" s="1">
        <v>216</v>
      </c>
      <c r="B220" s="9">
        <v>39273</v>
      </c>
      <c r="C220" s="37">
        <v>13501.7</v>
      </c>
      <c r="D220" s="38">
        <v>13419.61542</v>
      </c>
      <c r="E220" s="38">
        <v>8257.9503361229254</v>
      </c>
      <c r="F220" s="38">
        <v>149.51400720838794</v>
      </c>
      <c r="I220" s="28">
        <f t="shared" si="35"/>
        <v>-1.0921720384049845E-2</v>
      </c>
      <c r="J220" s="28">
        <f t="shared" si="36"/>
        <v>-7.9526026033026938E-3</v>
      </c>
      <c r="K220" s="28">
        <f t="shared" si="37"/>
        <v>-7.3947676033561402E-3</v>
      </c>
      <c r="L220" s="28">
        <f t="shared" si="38"/>
        <v>9.5150100204043474E-3</v>
      </c>
      <c r="N220" s="27">
        <f t="shared" ca="1" si="39"/>
        <v>10867.751068442154</v>
      </c>
      <c r="O220" s="27">
        <f t="shared" ca="1" si="40"/>
        <v>9671.1921784895167</v>
      </c>
      <c r="P220" s="27">
        <f t="shared" ca="1" si="41"/>
        <v>6126.1923632166363</v>
      </c>
      <c r="Q220" s="27">
        <f t="shared" ca="1" si="42"/>
        <v>111.97453488292332</v>
      </c>
      <c r="T220" s="25">
        <f t="shared" ca="1" si="43"/>
        <v>9939286.7764990386</v>
      </c>
      <c r="V220" s="25">
        <f t="shared" ca="1" si="44"/>
        <v>-60713.223500961438</v>
      </c>
      <c r="X220" s="14">
        <v>-15179.627634981647</v>
      </c>
    </row>
    <row r="221" spans="1:24">
      <c r="A221" s="1">
        <v>217</v>
      </c>
      <c r="B221" s="9">
        <v>39274</v>
      </c>
      <c r="C221" s="37">
        <v>13577.87</v>
      </c>
      <c r="D221" s="38">
        <v>13457.09793</v>
      </c>
      <c r="E221" s="38">
        <v>8267.1029067364652</v>
      </c>
      <c r="F221" s="38">
        <v>148.14108667104398</v>
      </c>
      <c r="I221" s="28">
        <f t="shared" si="35"/>
        <v>5.625658079929461E-3</v>
      </c>
      <c r="J221" s="28">
        <f t="shared" si="36"/>
        <v>2.789220081507721E-3</v>
      </c>
      <c r="K221" s="28">
        <f t="shared" si="37"/>
        <v>1.1077206729581855E-3</v>
      </c>
      <c r="L221" s="28">
        <f t="shared" si="38"/>
        <v>-9.2249741521173365E-3</v>
      </c>
      <c r="N221" s="27">
        <f t="shared" ca="1" si="39"/>
        <v>10946.14045344093</v>
      </c>
      <c r="O221" s="27">
        <f t="shared" ca="1" si="40"/>
        <v>9560.3736469887026</v>
      </c>
      <c r="P221" s="27">
        <f t="shared" ca="1" si="41"/>
        <v>6251.1801929264166</v>
      </c>
      <c r="Q221" s="27">
        <f t="shared" ca="1" si="42"/>
        <v>114.14539190667772</v>
      </c>
      <c r="T221" s="25">
        <f t="shared" ca="1" si="43"/>
        <v>9991744.6642457806</v>
      </c>
      <c r="V221" s="25">
        <f t="shared" ca="1" si="44"/>
        <v>-8255.3357542194426</v>
      </c>
      <c r="X221" s="14">
        <v>-15127.992557037622</v>
      </c>
    </row>
    <row r="222" spans="1:24">
      <c r="A222" s="1">
        <v>218</v>
      </c>
      <c r="B222" s="9">
        <v>39275</v>
      </c>
      <c r="C222" s="37">
        <v>13861.73</v>
      </c>
      <c r="D222" s="38">
        <v>13588.963530000001</v>
      </c>
      <c r="E222" s="38">
        <v>8404.0897824290842</v>
      </c>
      <c r="F222" s="38">
        <v>146.85725951331048</v>
      </c>
      <c r="I222" s="28">
        <f t="shared" si="35"/>
        <v>2.069054407502029E-2</v>
      </c>
      <c r="J222" s="28">
        <f t="shared" si="36"/>
        <v>9.7512641600016429E-3</v>
      </c>
      <c r="K222" s="28">
        <f t="shared" si="37"/>
        <v>1.6434332136145237E-2</v>
      </c>
      <c r="L222" s="28">
        <f t="shared" si="38"/>
        <v>-8.7040166804170632E-3</v>
      </c>
      <c r="N222" s="27">
        <f t="shared" ca="1" si="39"/>
        <v>10984.709881689261</v>
      </c>
      <c r="O222" s="27">
        <f t="shared" ca="1" si="40"/>
        <v>9566.4100856713412</v>
      </c>
      <c r="P222" s="27">
        <f t="shared" ca="1" si="41"/>
        <v>6181.8291755328464</v>
      </c>
      <c r="Q222" s="27">
        <f t="shared" ca="1" si="42"/>
        <v>113.07291335200331</v>
      </c>
      <c r="T222" s="25">
        <f t="shared" ca="1" si="43"/>
        <v>9977431.4647669997</v>
      </c>
      <c r="V222" s="25">
        <f t="shared" ca="1" si="44"/>
        <v>-22568.535233000293</v>
      </c>
      <c r="X222" s="14">
        <v>-15082.742310548201</v>
      </c>
    </row>
    <row r="223" spans="1:24">
      <c r="A223" s="1">
        <v>219</v>
      </c>
      <c r="B223" s="9">
        <v>39276</v>
      </c>
      <c r="C223" s="37">
        <v>13907.25</v>
      </c>
      <c r="D223" s="38">
        <v>13652.36442</v>
      </c>
      <c r="E223" s="38">
        <v>8426.9421487603304</v>
      </c>
      <c r="F223" s="38">
        <v>149.20607002617803</v>
      </c>
      <c r="I223" s="28">
        <f t="shared" si="35"/>
        <v>3.2784812962094153E-3</v>
      </c>
      <c r="J223" s="28">
        <f t="shared" si="36"/>
        <v>4.6547660665521712E-3</v>
      </c>
      <c r="K223" s="28">
        <f t="shared" si="37"/>
        <v>2.7155055575195323E-3</v>
      </c>
      <c r="L223" s="28">
        <f t="shared" si="38"/>
        <v>1.5867279452847244E-2</v>
      </c>
      <c r="N223" s="27">
        <f t="shared" ca="1" si="39"/>
        <v>11278.305648244163</v>
      </c>
      <c r="O223" s="27">
        <f t="shared" ca="1" si="40"/>
        <v>9530.8381485672817</v>
      </c>
      <c r="P223" s="27">
        <f t="shared" ca="1" si="41"/>
        <v>6260.3661270084649</v>
      </c>
      <c r="Q223" s="27">
        <f t="shared" ca="1" si="42"/>
        <v>112.51454896152116</v>
      </c>
      <c r="T223" s="25">
        <f t="shared" ca="1" si="43"/>
        <v>10075631.839935498</v>
      </c>
      <c r="V223" s="25">
        <f t="shared" ca="1" si="44"/>
        <v>75631.839935498312</v>
      </c>
      <c r="X223" s="14">
        <v>-14844.188908169046</v>
      </c>
    </row>
    <row r="224" spans="1:24">
      <c r="A224" s="1">
        <v>220</v>
      </c>
      <c r="B224" s="9">
        <v>39280</v>
      </c>
      <c r="C224" s="37">
        <v>13971.55</v>
      </c>
      <c r="D224" s="38">
        <v>13615.19586</v>
      </c>
      <c r="E224" s="38">
        <v>8408.0645161290322</v>
      </c>
      <c r="F224" s="38">
        <v>149.05310096547211</v>
      </c>
      <c r="I224" s="28">
        <f t="shared" si="35"/>
        <v>4.6128322607689228E-3</v>
      </c>
      <c r="J224" s="28">
        <f t="shared" si="36"/>
        <v>-2.7262125865889155E-3</v>
      </c>
      <c r="K224" s="28">
        <f t="shared" si="37"/>
        <v>-2.2426650513692986E-3</v>
      </c>
      <c r="L224" s="28">
        <f t="shared" si="38"/>
        <v>-1.0257459886955727E-3</v>
      </c>
      <c r="N224" s="27">
        <f t="shared" ca="1" si="39"/>
        <v>11033.462523316095</v>
      </c>
      <c r="O224" s="27">
        <f t="shared" ca="1" si="40"/>
        <v>9739.1307167932191</v>
      </c>
      <c r="P224" s="27">
        <f t="shared" ca="1" si="41"/>
        <v>6162.09875582531</v>
      </c>
      <c r="Q224" s="27">
        <f t="shared" ca="1" si="42"/>
        <v>113.85990953611243</v>
      </c>
      <c r="T224" s="25">
        <f t="shared" ca="1" si="43"/>
        <v>10059868.959331032</v>
      </c>
      <c r="V224" s="25">
        <f t="shared" ca="1" si="44"/>
        <v>59868.959331031889</v>
      </c>
      <c r="X224" s="14">
        <v>-14638.488017674536</v>
      </c>
    </row>
    <row r="225" spans="1:24">
      <c r="A225" s="1">
        <v>221</v>
      </c>
      <c r="B225" s="9">
        <v>39281</v>
      </c>
      <c r="C225" s="37">
        <v>13918.22</v>
      </c>
      <c r="D225" s="38">
        <v>13477.002620000001</v>
      </c>
      <c r="E225" s="38">
        <v>8279.4393813863589</v>
      </c>
      <c r="F225" s="38">
        <v>147.87474349503407</v>
      </c>
      <c r="I225" s="28">
        <f t="shared" si="35"/>
        <v>-3.8243459876999104E-3</v>
      </c>
      <c r="J225" s="28">
        <f t="shared" si="36"/>
        <v>-1.0201788434077727E-2</v>
      </c>
      <c r="K225" s="28">
        <f t="shared" si="37"/>
        <v>-1.5416048186094773E-2</v>
      </c>
      <c r="L225" s="28">
        <f t="shared" si="38"/>
        <v>-7.9370370846239147E-3</v>
      </c>
      <c r="N225" s="27">
        <f t="shared" ca="1" si="39"/>
        <v>11141.686185841258</v>
      </c>
      <c r="O225" s="27">
        <f t="shared" ca="1" si="40"/>
        <v>9857.5360473877754</v>
      </c>
      <c r="P225" s="27">
        <f t="shared" ca="1" si="41"/>
        <v>6347.3372717887414</v>
      </c>
      <c r="Q225" s="27">
        <f t="shared" ca="1" si="42"/>
        <v>114.55977213551162</v>
      </c>
      <c r="T225" s="25">
        <f t="shared" ca="1" si="43"/>
        <v>10178428.06097634</v>
      </c>
      <c r="V225" s="25">
        <f t="shared" ca="1" si="44"/>
        <v>178428.0609763395</v>
      </c>
      <c r="X225" s="14">
        <v>-14611.032043578103</v>
      </c>
    </row>
    <row r="226" spans="1:24">
      <c r="A226" s="1">
        <v>222</v>
      </c>
      <c r="B226" s="9">
        <v>39282</v>
      </c>
      <c r="C226" s="37">
        <v>14000.41</v>
      </c>
      <c r="D226" s="38">
        <v>13611.74598</v>
      </c>
      <c r="E226" s="38">
        <v>8384.7110865358027</v>
      </c>
      <c r="F226" s="38">
        <v>148.48430456519955</v>
      </c>
      <c r="I226" s="28">
        <f t="shared" si="35"/>
        <v>5.8878417341922317E-3</v>
      </c>
      <c r="J226" s="28">
        <f t="shared" si="36"/>
        <v>9.9483717970763521E-3</v>
      </c>
      <c r="K226" s="28">
        <f t="shared" si="37"/>
        <v>1.2634680150102433E-2</v>
      </c>
      <c r="L226" s="28">
        <f t="shared" si="38"/>
        <v>4.1136718028536527E-3</v>
      </c>
      <c r="N226" s="27">
        <f t="shared" ca="1" si="39"/>
        <v>10855.334724740615</v>
      </c>
      <c r="O226" s="27">
        <f t="shared" ca="1" si="40"/>
        <v>9767.1110899228515</v>
      </c>
      <c r="P226" s="27">
        <f t="shared" ca="1" si="41"/>
        <v>6091.0877074820564</v>
      </c>
      <c r="Q226" s="27">
        <f t="shared" ca="1" si="42"/>
        <v>113.96334503236305</v>
      </c>
      <c r="T226" s="25">
        <f t="shared" ca="1" si="43"/>
        <v>9994349.754208412</v>
      </c>
      <c r="V226" s="25">
        <f t="shared" ca="1" si="44"/>
        <v>-5650.2457915879786</v>
      </c>
      <c r="X226" s="14">
        <v>-14018.529659850523</v>
      </c>
    </row>
    <row r="227" spans="1:24">
      <c r="A227" s="1">
        <v>223</v>
      </c>
      <c r="B227" s="9">
        <v>39283</v>
      </c>
      <c r="C227" s="37">
        <v>13851.08</v>
      </c>
      <c r="D227" s="38">
        <v>13533.903040000001</v>
      </c>
      <c r="E227" s="38">
        <v>8241.7819590481467</v>
      </c>
      <c r="F227" s="38">
        <v>149.81790429042906</v>
      </c>
      <c r="I227" s="28">
        <f t="shared" si="35"/>
        <v>-1.0723406968181193E-2</v>
      </c>
      <c r="J227" s="28">
        <f t="shared" si="36"/>
        <v>-5.735221384096276E-3</v>
      </c>
      <c r="K227" s="28">
        <f t="shared" si="37"/>
        <v>-1.7193360985769124E-2</v>
      </c>
      <c r="L227" s="28">
        <f t="shared" si="38"/>
        <v>8.9413257457431252E-3</v>
      </c>
      <c r="N227" s="27">
        <f t="shared" ca="1" si="39"/>
        <v>11104.872522340942</v>
      </c>
      <c r="O227" s="27">
        <f t="shared" ca="1" si="40"/>
        <v>9641.5067713256503</v>
      </c>
      <c r="P227" s="27">
        <f t="shared" ca="1" si="41"/>
        <v>6151.9504519242637</v>
      </c>
      <c r="Q227" s="27">
        <f t="shared" ca="1" si="42"/>
        <v>114.76009601050553</v>
      </c>
      <c r="T227" s="25">
        <f t="shared" ca="1" si="43"/>
        <v>10069597.359088063</v>
      </c>
      <c r="V227" s="25">
        <f t="shared" ca="1" si="44"/>
        <v>69597.35908806324</v>
      </c>
      <c r="X227" s="14">
        <v>-13852.435195082799</v>
      </c>
    </row>
    <row r="228" spans="1:24">
      <c r="A228" s="1">
        <v>224</v>
      </c>
      <c r="B228" s="9">
        <v>39286</v>
      </c>
      <c r="C228" s="37">
        <v>13943.42</v>
      </c>
      <c r="D228" s="38">
        <v>13633.015199999998</v>
      </c>
      <c r="E228" s="38">
        <v>8303.3853806826028</v>
      </c>
      <c r="F228" s="38">
        <v>148.03164400494438</v>
      </c>
      <c r="I228" s="28">
        <f t="shared" si="35"/>
        <v>6.6445044688472499E-3</v>
      </c>
      <c r="J228" s="28">
        <f t="shared" si="36"/>
        <v>7.2965655397900031E-3</v>
      </c>
      <c r="K228" s="28">
        <f t="shared" si="37"/>
        <v>7.4467311267303734E-3</v>
      </c>
      <c r="L228" s="28">
        <f t="shared" si="38"/>
        <v>-1.1994523484889249E-2</v>
      </c>
      <c r="N228" s="27">
        <f t="shared" ca="1" si="39"/>
        <v>10882.091704438937</v>
      </c>
      <c r="O228" s="27">
        <f t="shared" ca="1" si="40"/>
        <v>9590.7844643897261</v>
      </c>
      <c r="P228" s="27">
        <f t="shared" ca="1" si="41"/>
        <v>6114.3984869106962</v>
      </c>
      <c r="Q228" s="27">
        <f t="shared" ca="1" si="42"/>
        <v>109.17766436375641</v>
      </c>
      <c r="T228" s="25">
        <f t="shared" ca="1" si="43"/>
        <v>9867881.1427380983</v>
      </c>
      <c r="V228" s="25">
        <f t="shared" ca="1" si="44"/>
        <v>-132118.85726190172</v>
      </c>
      <c r="X228" s="14">
        <v>-13725.803685639054</v>
      </c>
    </row>
    <row r="229" spans="1:24">
      <c r="A229" s="1">
        <v>225</v>
      </c>
      <c r="B229" s="9">
        <v>39287</v>
      </c>
      <c r="C229" s="37">
        <v>13716.95</v>
      </c>
      <c r="D229" s="38">
        <v>13395.77031</v>
      </c>
      <c r="E229" s="38">
        <v>8167.3855938061661</v>
      </c>
      <c r="F229" s="38">
        <v>149.19633681418861</v>
      </c>
      <c r="I229" s="28">
        <f t="shared" si="35"/>
        <v>-1.6375418023670679E-2</v>
      </c>
      <c r="J229" s="28">
        <f t="shared" si="36"/>
        <v>-1.7555430523129238E-2</v>
      </c>
      <c r="K229" s="28">
        <f t="shared" si="37"/>
        <v>-1.6514451931313311E-2</v>
      </c>
      <c r="L229" s="28">
        <f t="shared" si="38"/>
        <v>7.8370735304752592E-3</v>
      </c>
      <c r="N229" s="27">
        <f t="shared" ca="1" si="39"/>
        <v>11119.716718750922</v>
      </c>
      <c r="O229" s="27">
        <f t="shared" ca="1" si="40"/>
        <v>9650.2203358264178</v>
      </c>
      <c r="P229" s="27">
        <f t="shared" ca="1" si="41"/>
        <v>6186.1643711236911</v>
      </c>
      <c r="Q229" s="27">
        <f t="shared" ca="1" si="42"/>
        <v>112.81830524220196</v>
      </c>
      <c r="T229" s="25">
        <f t="shared" ca="1" si="43"/>
        <v>10048803.320223073</v>
      </c>
      <c r="V229" s="25">
        <f t="shared" ca="1" si="44"/>
        <v>48803.320223072544</v>
      </c>
      <c r="X229" s="14">
        <v>-13552.068854784593</v>
      </c>
    </row>
    <row r="230" spans="1:24">
      <c r="A230" s="1">
        <v>226</v>
      </c>
      <c r="B230" s="9">
        <v>39288</v>
      </c>
      <c r="C230" s="37">
        <v>13785.79</v>
      </c>
      <c r="D230" s="38">
        <v>13228.087850000002</v>
      </c>
      <c r="E230" s="38">
        <v>7999.3284911607507</v>
      </c>
      <c r="F230" s="38">
        <v>148.51076923076923</v>
      </c>
      <c r="I230" s="28">
        <f t="shared" si="35"/>
        <v>5.006057124802319E-3</v>
      </c>
      <c r="J230" s="28">
        <f t="shared" si="36"/>
        <v>-1.2596572308830311E-2</v>
      </c>
      <c r="K230" s="28">
        <f t="shared" si="37"/>
        <v>-2.0791257350736472E-2</v>
      </c>
      <c r="L230" s="28">
        <f t="shared" si="38"/>
        <v>-4.6056595987071982E-3</v>
      </c>
      <c r="N230" s="27">
        <f t="shared" ca="1" si="39"/>
        <v>10892.512638864937</v>
      </c>
      <c r="O230" s="27">
        <f t="shared" ca="1" si="40"/>
        <v>9577.4705817625691</v>
      </c>
      <c r="P230" s="27">
        <f t="shared" ca="1" si="41"/>
        <v>6223.091357807004</v>
      </c>
      <c r="Q230" s="27">
        <f t="shared" ca="1" si="42"/>
        <v>114.30489417698658</v>
      </c>
      <c r="T230" s="25">
        <f t="shared" ca="1" si="43"/>
        <v>9975922.8516574446</v>
      </c>
      <c r="V230" s="25">
        <f t="shared" ca="1" si="44"/>
        <v>-24077.148342555389</v>
      </c>
      <c r="X230" s="14">
        <v>-12507.134926918894</v>
      </c>
    </row>
    <row r="231" spans="1:24">
      <c r="A231" s="1">
        <v>227</v>
      </c>
      <c r="B231" s="9">
        <v>39289</v>
      </c>
      <c r="C231" s="37">
        <v>13473.57</v>
      </c>
      <c r="D231" s="38">
        <v>12792.455680000001</v>
      </c>
      <c r="E231" s="38">
        <v>7785.7730827273981</v>
      </c>
      <c r="F231" s="38">
        <v>148.37054731372055</v>
      </c>
      <c r="I231" s="28">
        <f t="shared" si="35"/>
        <v>-2.2908362787828328E-2</v>
      </c>
      <c r="J231" s="28">
        <f t="shared" si="36"/>
        <v>-3.3486839151986615E-2</v>
      </c>
      <c r="K231" s="28">
        <f t="shared" si="37"/>
        <v>-2.7059495056577343E-2</v>
      </c>
      <c r="L231" s="28">
        <f t="shared" si="38"/>
        <v>-9.4463288635206861E-4</v>
      </c>
      <c r="N231" s="27">
        <f t="shared" ca="1" si="39"/>
        <v>10906.054743310153</v>
      </c>
      <c r="O231" s="27">
        <f t="shared" ca="1" si="40"/>
        <v>9726.4895309125877</v>
      </c>
      <c r="P231" s="27">
        <f t="shared" ca="1" si="41"/>
        <v>6122.0697051546213</v>
      </c>
      <c r="Q231" s="27">
        <f t="shared" ca="1" si="42"/>
        <v>113.4495024047267</v>
      </c>
      <c r="T231" s="25">
        <f t="shared" ca="1" si="43"/>
        <v>9995949.9904742595</v>
      </c>
      <c r="V231" s="25">
        <f t="shared" ca="1" si="44"/>
        <v>-4050.0095257405192</v>
      </c>
      <c r="X231" s="14">
        <v>-12117.034733422101</v>
      </c>
    </row>
    <row r="232" spans="1:24">
      <c r="A232" s="1">
        <v>228</v>
      </c>
      <c r="B232" s="9">
        <v>39290</v>
      </c>
      <c r="C232" s="37">
        <v>13265.47</v>
      </c>
      <c r="D232" s="38">
        <v>12620.585120000002</v>
      </c>
      <c r="E232" s="38">
        <v>7707.1691929537083</v>
      </c>
      <c r="F232" s="38">
        <v>145.48661616161618</v>
      </c>
      <c r="I232" s="28">
        <f t="shared" si="35"/>
        <v>-1.5565570165793829E-2</v>
      </c>
      <c r="J232" s="28">
        <f t="shared" si="36"/>
        <v>-1.3526376622050947E-2</v>
      </c>
      <c r="K232" s="28">
        <f t="shared" si="37"/>
        <v>-1.014714478696239E-2</v>
      </c>
      <c r="L232" s="28">
        <f t="shared" si="38"/>
        <v>-1.9628745562345947E-2</v>
      </c>
      <c r="N232" s="27">
        <f t="shared" ca="1" si="39"/>
        <v>11103.957789401427</v>
      </c>
      <c r="O232" s="27">
        <f t="shared" ca="1" si="40"/>
        <v>9647.3718542860679</v>
      </c>
      <c r="P232" s="27">
        <f t="shared" ca="1" si="41"/>
        <v>6262.1194660636493</v>
      </c>
      <c r="Q232" s="27">
        <f t="shared" ca="1" si="42"/>
        <v>112.25766926667595</v>
      </c>
      <c r="T232" s="25">
        <f t="shared" ca="1" si="43"/>
        <v>10044505.743789788</v>
      </c>
      <c r="V232" s="25">
        <f t="shared" ca="1" si="44"/>
        <v>44505.743789788336</v>
      </c>
      <c r="X232" s="14">
        <v>-11850.896433264017</v>
      </c>
    </row>
    <row r="233" spans="1:24">
      <c r="A233" s="1">
        <v>229</v>
      </c>
      <c r="B233" s="9">
        <v>39293</v>
      </c>
      <c r="C233" s="37">
        <v>13358.31</v>
      </c>
      <c r="D233" s="38">
        <v>12562.387620000001</v>
      </c>
      <c r="E233" s="38">
        <v>7725.2154877548228</v>
      </c>
      <c r="F233" s="38">
        <v>145.95053182508863</v>
      </c>
      <c r="I233" s="28">
        <f t="shared" si="35"/>
        <v>6.9742445521887931E-3</v>
      </c>
      <c r="J233" s="28">
        <f t="shared" si="36"/>
        <v>-4.6219804314193026E-3</v>
      </c>
      <c r="K233" s="28">
        <f t="shared" si="37"/>
        <v>2.3387575414000167E-3</v>
      </c>
      <c r="L233" s="28">
        <f t="shared" si="38"/>
        <v>3.1836439418610335E-3</v>
      </c>
      <c r="N233" s="27">
        <f t="shared" ca="1" si="39"/>
        <v>11020.445736051091</v>
      </c>
      <c r="O233" s="27">
        <f t="shared" ca="1" si="40"/>
        <v>9469.5659991698121</v>
      </c>
      <c r="P233" s="27">
        <f t="shared" ca="1" si="41"/>
        <v>6178.2300747878908</v>
      </c>
      <c r="Q233" s="27">
        <f t="shared" ca="1" si="42"/>
        <v>111.8664975734891</v>
      </c>
      <c r="T233" s="25">
        <f t="shared" ca="1" si="43"/>
        <v>9938169.595207056</v>
      </c>
      <c r="V233" s="25">
        <f t="shared" ca="1" si="44"/>
        <v>-61830.404792943969</v>
      </c>
      <c r="X233" s="14">
        <v>-11643.455877328292</v>
      </c>
    </row>
    <row r="234" spans="1:24">
      <c r="A234" s="1">
        <v>230</v>
      </c>
      <c r="B234" s="9">
        <v>39294</v>
      </c>
      <c r="C234" s="37">
        <v>13211.99</v>
      </c>
      <c r="D234" s="38">
        <v>12924.995220000001</v>
      </c>
      <c r="E234" s="38">
        <v>7873.8773274917849</v>
      </c>
      <c r="F234" s="38">
        <v>144.86344167296548</v>
      </c>
      <c r="I234" s="28">
        <f t="shared" si="35"/>
        <v>-1.101391246051164E-2</v>
      </c>
      <c r="J234" s="28">
        <f t="shared" si="36"/>
        <v>2.8455810460865705E-2</v>
      </c>
      <c r="K234" s="28">
        <f t="shared" si="37"/>
        <v>1.906089571073465E-2</v>
      </c>
      <c r="L234" s="28">
        <f t="shared" si="38"/>
        <v>-7.4762240790592375E-3</v>
      </c>
      <c r="N234" s="27">
        <f t="shared" ca="1" si="39"/>
        <v>11022.794348944175</v>
      </c>
      <c r="O234" s="27">
        <f t="shared" ca="1" si="40"/>
        <v>9460.2212358537236</v>
      </c>
      <c r="P234" s="27">
        <f t="shared" ca="1" si="41"/>
        <v>6210.9245023810263</v>
      </c>
      <c r="Q234" s="27">
        <f t="shared" ca="1" si="42"/>
        <v>113.77051651868439</v>
      </c>
      <c r="T234" s="25">
        <f t="shared" ca="1" si="43"/>
        <v>9975127.1977575682</v>
      </c>
      <c r="V234" s="25">
        <f t="shared" ca="1" si="44"/>
        <v>-24872.80224243179</v>
      </c>
      <c r="X234" s="14">
        <v>-11350.593794325367</v>
      </c>
    </row>
    <row r="235" spans="1:24">
      <c r="A235" s="1">
        <v>231</v>
      </c>
      <c r="B235" s="9">
        <v>39295</v>
      </c>
      <c r="C235" s="37">
        <v>13362.37</v>
      </c>
      <c r="D235" s="38">
        <v>12684.342580000002</v>
      </c>
      <c r="E235" s="38">
        <v>7732.9048140043769</v>
      </c>
      <c r="F235" s="38">
        <v>142.31109236609026</v>
      </c>
      <c r="I235" s="28">
        <f t="shared" si="35"/>
        <v>1.1317796944832025E-2</v>
      </c>
      <c r="J235" s="28">
        <f t="shared" si="36"/>
        <v>-1.8794685427114467E-2</v>
      </c>
      <c r="K235" s="28">
        <f t="shared" si="37"/>
        <v>-1.8066036473821521E-2</v>
      </c>
      <c r="L235" s="28">
        <f t="shared" si="38"/>
        <v>-1.7776064472251805E-2</v>
      </c>
      <c r="N235" s="27">
        <f t="shared" ca="1" si="39"/>
        <v>11015.738987189161</v>
      </c>
      <c r="O235" s="27">
        <f t="shared" ca="1" si="40"/>
        <v>9289.4298759926824</v>
      </c>
      <c r="P235" s="27">
        <f t="shared" ca="1" si="41"/>
        <v>6445.8847247800868</v>
      </c>
      <c r="Q235" s="27">
        <f t="shared" ca="1" si="42"/>
        <v>112.19345055610916</v>
      </c>
      <c r="T235" s="25">
        <f t="shared" ca="1" si="43"/>
        <v>9929131.5908113662</v>
      </c>
      <c r="V235" s="25">
        <f t="shared" ca="1" si="44"/>
        <v>-70868.409188633785</v>
      </c>
      <c r="X235" s="14">
        <v>-11235.746954940259</v>
      </c>
    </row>
    <row r="236" spans="1:24">
      <c r="A236" s="1">
        <v>232</v>
      </c>
      <c r="B236" s="9">
        <v>39296</v>
      </c>
      <c r="C236" s="37">
        <v>13463.33</v>
      </c>
      <c r="D236" s="38">
        <v>12805.98978</v>
      </c>
      <c r="E236" s="38">
        <v>7769.8208669492687</v>
      </c>
      <c r="F236" s="38">
        <v>142.73560803428862</v>
      </c>
      <c r="I236" s="28">
        <f t="shared" si="35"/>
        <v>7.5271457357339979E-3</v>
      </c>
      <c r="J236" s="28">
        <f t="shared" si="36"/>
        <v>9.5446478914929557E-3</v>
      </c>
      <c r="K236" s="28">
        <f t="shared" si="37"/>
        <v>4.7625331804534259E-3</v>
      </c>
      <c r="L236" s="28">
        <f t="shared" si="38"/>
        <v>2.9785714513211577E-3</v>
      </c>
      <c r="N236" s="27">
        <f t="shared" ca="1" si="39"/>
        <v>10951.36452120982</v>
      </c>
      <c r="O236" s="27">
        <f t="shared" ca="1" si="40"/>
        <v>9433.5961366599859</v>
      </c>
      <c r="P236" s="27">
        <f t="shared" ca="1" si="41"/>
        <v>6269.043279153504</v>
      </c>
      <c r="Q236" s="27">
        <f t="shared" ca="1" si="42"/>
        <v>112.43275601482168</v>
      </c>
      <c r="T236" s="25">
        <f t="shared" ca="1" si="43"/>
        <v>9926543.1597469319</v>
      </c>
      <c r="V236" s="25">
        <f t="shared" ca="1" si="44"/>
        <v>-73456.840253068134</v>
      </c>
      <c r="X236" s="14">
        <v>-11201.191200533882</v>
      </c>
    </row>
    <row r="237" spans="1:24">
      <c r="A237" s="1">
        <v>233</v>
      </c>
      <c r="B237" s="9">
        <v>39297</v>
      </c>
      <c r="C237" s="37">
        <v>13181.91</v>
      </c>
      <c r="D237" s="38">
        <v>12690.725270000001</v>
      </c>
      <c r="E237" s="38">
        <v>7706.3463656387667</v>
      </c>
      <c r="F237" s="38">
        <v>143.44732618062008</v>
      </c>
      <c r="I237" s="28">
        <f t="shared" si="35"/>
        <v>-2.1124258205958903E-2</v>
      </c>
      <c r="J237" s="28">
        <f t="shared" si="36"/>
        <v>-9.0415800634707378E-3</v>
      </c>
      <c r="K237" s="28">
        <f t="shared" si="37"/>
        <v>-8.202916946816052E-3</v>
      </c>
      <c r="L237" s="28">
        <f t="shared" si="38"/>
        <v>4.9738787924409151E-3</v>
      </c>
      <c r="N237" s="27">
        <f t="shared" ca="1" si="39"/>
        <v>10928.45855214374</v>
      </c>
      <c r="O237" s="27">
        <f t="shared" ca="1" si="40"/>
        <v>9454.3801162974032</v>
      </c>
      <c r="P237" s="27">
        <f t="shared" ca="1" si="41"/>
        <v>6104.8951876434894</v>
      </c>
      <c r="Q237" s="27">
        <f t="shared" ca="1" si="42"/>
        <v>113.66298006128538</v>
      </c>
      <c r="T237" s="25">
        <f t="shared" ca="1" si="43"/>
        <v>9920059.848822074</v>
      </c>
      <c r="V237" s="25">
        <f t="shared" ca="1" si="44"/>
        <v>-79940.151177925989</v>
      </c>
      <c r="X237" s="14">
        <v>-10961.031963646412</v>
      </c>
    </row>
    <row r="238" spans="1:24">
      <c r="A238" s="1">
        <v>234</v>
      </c>
      <c r="B238" s="9">
        <v>39300</v>
      </c>
      <c r="C238" s="37">
        <v>13468.78</v>
      </c>
      <c r="D238" s="38">
        <v>12572.537740000002</v>
      </c>
      <c r="E238" s="38">
        <v>7633.8162251655622</v>
      </c>
      <c r="F238" s="38">
        <v>143.58624787775892</v>
      </c>
      <c r="I238" s="28">
        <f t="shared" si="35"/>
        <v>2.1528979564544738E-2</v>
      </c>
      <c r="J238" s="28">
        <f t="shared" si="36"/>
        <v>-9.3565421203157754E-3</v>
      </c>
      <c r="K238" s="28">
        <f t="shared" si="37"/>
        <v>-9.4563118903832188E-3</v>
      </c>
      <c r="L238" s="28">
        <f t="shared" si="38"/>
        <v>9.6798228877525614E-4</v>
      </c>
      <c r="N238" s="27">
        <f t="shared" ca="1" si="39"/>
        <v>11030.878006845274</v>
      </c>
      <c r="O238" s="27">
        <f t="shared" ca="1" si="40"/>
        <v>9449.047979201152</v>
      </c>
      <c r="P238" s="27">
        <f t="shared" ca="1" si="41"/>
        <v>6211.3257009304243</v>
      </c>
      <c r="Q238" s="27">
        <f t="shared" ca="1" si="42"/>
        <v>113.84091861304918</v>
      </c>
      <c r="T238" s="25">
        <f t="shared" ca="1" si="43"/>
        <v>9975881.8714648429</v>
      </c>
      <c r="V238" s="25">
        <f t="shared" ca="1" si="44"/>
        <v>-24118.12853515707</v>
      </c>
      <c r="X238" s="14">
        <v>-10845.15926698409</v>
      </c>
    </row>
    <row r="239" spans="1:24">
      <c r="A239" s="1">
        <v>235</v>
      </c>
      <c r="B239" s="9">
        <v>39301</v>
      </c>
      <c r="C239" s="37">
        <v>13504.3</v>
      </c>
      <c r="D239" s="38">
        <v>12751.34656</v>
      </c>
      <c r="E239" s="38">
        <v>7736.2697866483131</v>
      </c>
      <c r="F239" s="38">
        <v>142.92035472972972</v>
      </c>
      <c r="I239" s="28">
        <f t="shared" si="35"/>
        <v>2.63373856691696E-3</v>
      </c>
      <c r="J239" s="28">
        <f t="shared" si="36"/>
        <v>1.4121987727744487E-2</v>
      </c>
      <c r="K239" s="28">
        <f t="shared" si="37"/>
        <v>1.3331750891931962E-2</v>
      </c>
      <c r="L239" s="28">
        <f t="shared" si="38"/>
        <v>-4.6483699920605321E-3</v>
      </c>
      <c r="N239" s="27">
        <f t="shared" ca="1" si="39"/>
        <v>10942.658328284146</v>
      </c>
      <c r="O239" s="27">
        <f t="shared" ca="1" si="40"/>
        <v>9767.6493476957894</v>
      </c>
      <c r="P239" s="27">
        <f t="shared" ca="1" si="41"/>
        <v>6058.2745983878413</v>
      </c>
      <c r="Q239" s="27">
        <f t="shared" ca="1" si="42"/>
        <v>113.98057635178495</v>
      </c>
      <c r="T239" s="25">
        <f t="shared" ca="1" si="43"/>
        <v>10021221.80643709</v>
      </c>
      <c r="V239" s="25">
        <f t="shared" ca="1" si="44"/>
        <v>21221.806437090039</v>
      </c>
      <c r="X239" s="14">
        <v>-10161.601024057716</v>
      </c>
    </row>
    <row r="240" spans="1:24">
      <c r="A240" s="1">
        <v>236</v>
      </c>
      <c r="B240" s="9">
        <v>39302</v>
      </c>
      <c r="C240" s="37">
        <v>13657.86</v>
      </c>
      <c r="D240" s="38">
        <v>13034.60454</v>
      </c>
      <c r="E240" s="38">
        <v>7945.3980099502487</v>
      </c>
      <c r="F240" s="38">
        <v>142.33767970578401</v>
      </c>
      <c r="I240" s="28">
        <f t="shared" si="35"/>
        <v>1.1307026837019434E-2</v>
      </c>
      <c r="J240" s="28">
        <f t="shared" si="36"/>
        <v>2.1970830028498943E-2</v>
      </c>
      <c r="K240" s="28">
        <f t="shared" si="37"/>
        <v>2.6673262663470941E-2</v>
      </c>
      <c r="L240" s="28">
        <f t="shared" si="38"/>
        <v>-4.0852544992717611E-3</v>
      </c>
      <c r="N240" s="27">
        <f t="shared" ca="1" si="39"/>
        <v>11105.448454151121</v>
      </c>
      <c r="O240" s="27">
        <f t="shared" ca="1" si="40"/>
        <v>9449.5049424185145</v>
      </c>
      <c r="P240" s="27">
        <f t="shared" ca="1" si="41"/>
        <v>6217.2655253838057</v>
      </c>
      <c r="Q240" s="27">
        <f t="shared" ca="1" si="42"/>
        <v>110.93797022897957</v>
      </c>
      <c r="T240" s="25">
        <f t="shared" ca="1" si="43"/>
        <v>9952584.2784765661</v>
      </c>
      <c r="V240" s="25">
        <f t="shared" ca="1" si="44"/>
        <v>-47415.721523433924</v>
      </c>
      <c r="X240" s="14">
        <v>-10028.410354953259</v>
      </c>
    </row>
    <row r="241" spans="1:24">
      <c r="A241" s="1">
        <v>237</v>
      </c>
      <c r="B241" s="9">
        <v>39303</v>
      </c>
      <c r="C241" s="37">
        <v>13270.68</v>
      </c>
      <c r="D241" s="38">
        <v>12729.908879999999</v>
      </c>
      <c r="E241" s="38">
        <v>7708.3458955735232</v>
      </c>
      <c r="F241" s="38">
        <v>144.70419686499241</v>
      </c>
      <c r="I241" s="28">
        <f t="shared" si="35"/>
        <v>-2.8758089646270423E-2</v>
      </c>
      <c r="J241" s="28">
        <f t="shared" si="36"/>
        <v>-2.3653453956380639E-2</v>
      </c>
      <c r="K241" s="28">
        <f t="shared" si="37"/>
        <v>-3.0289269960242556E-2</v>
      </c>
      <c r="L241" s="28">
        <f t="shared" si="38"/>
        <v>1.648937645253282E-2</v>
      </c>
      <c r="N241" s="27">
        <f t="shared" ca="1" si="39"/>
        <v>10899.261531178994</v>
      </c>
      <c r="O241" s="27">
        <f t="shared" ca="1" si="40"/>
        <v>9573.7664860264176</v>
      </c>
      <c r="P241" s="27">
        <f t="shared" ca="1" si="41"/>
        <v>6186.1137856365449</v>
      </c>
      <c r="Q241" s="27">
        <f t="shared" ca="1" si="42"/>
        <v>116.92426507486759</v>
      </c>
      <c r="T241" s="25">
        <f t="shared" ca="1" si="43"/>
        <v>10017684.437612787</v>
      </c>
      <c r="V241" s="25">
        <f t="shared" ca="1" si="44"/>
        <v>17684.437612786889</v>
      </c>
      <c r="X241" s="14">
        <v>-9831.8084974773228</v>
      </c>
    </row>
    <row r="242" spans="1:24">
      <c r="A242" s="1">
        <v>238</v>
      </c>
      <c r="B242" s="9">
        <v>39304</v>
      </c>
      <c r="C242" s="37">
        <v>13239.54</v>
      </c>
      <c r="D242" s="38">
        <v>12194.95068</v>
      </c>
      <c r="E242" s="38">
        <v>7452.6466967583101</v>
      </c>
      <c r="F242" s="38">
        <v>142.33392766174222</v>
      </c>
      <c r="I242" s="28">
        <f t="shared" si="35"/>
        <v>-2.349283734510794E-3</v>
      </c>
      <c r="J242" s="28">
        <f t="shared" si="36"/>
        <v>-4.2932267269697656E-2</v>
      </c>
      <c r="K242" s="28">
        <f t="shared" si="37"/>
        <v>-3.3734393814124665E-2</v>
      </c>
      <c r="L242" s="28">
        <f t="shared" si="38"/>
        <v>-1.6515736960183745E-2</v>
      </c>
      <c r="N242" s="27">
        <f t="shared" ca="1" si="39"/>
        <v>10941.289108699775</v>
      </c>
      <c r="O242" s="27">
        <f t="shared" ca="1" si="40"/>
        <v>9727.5641917398643</v>
      </c>
      <c r="P242" s="27">
        <f t="shared" ca="1" si="41"/>
        <v>6257.7750956311593</v>
      </c>
      <c r="Q242" s="27">
        <f t="shared" ca="1" si="42"/>
        <v>110.94251708285627</v>
      </c>
      <c r="T242" s="25">
        <f t="shared" ca="1" si="43"/>
        <v>9986517.8671621308</v>
      </c>
      <c r="V242" s="25">
        <f t="shared" ca="1" si="44"/>
        <v>-13482.132837869227</v>
      </c>
      <c r="X242" s="14">
        <v>-9392.2097529992461</v>
      </c>
    </row>
    <row r="243" spans="1:24">
      <c r="A243" s="1">
        <v>239</v>
      </c>
      <c r="B243" s="9">
        <v>39307</v>
      </c>
      <c r="C243" s="37">
        <v>13236.53</v>
      </c>
      <c r="D243" s="38">
        <v>12510.1404</v>
      </c>
      <c r="E243" s="38">
        <v>7582.4098025867934</v>
      </c>
      <c r="F243" s="38">
        <v>141.92827574554363</v>
      </c>
      <c r="I243" s="28">
        <f t="shared" si="35"/>
        <v>-2.2737513633771728E-4</v>
      </c>
      <c r="J243" s="28">
        <f t="shared" si="36"/>
        <v>2.5517560058162247E-2</v>
      </c>
      <c r="K243" s="28">
        <f t="shared" si="37"/>
        <v>1.7261834427322605E-2</v>
      </c>
      <c r="L243" s="28">
        <f t="shared" si="38"/>
        <v>-2.8540705496318446E-3</v>
      </c>
      <c r="N243" s="27">
        <f t="shared" ca="1" si="39"/>
        <v>11011.767688816652</v>
      </c>
      <c r="O243" s="27">
        <f t="shared" ca="1" si="40"/>
        <v>9554.2543550534156</v>
      </c>
      <c r="P243" s="27">
        <f t="shared" ca="1" si="41"/>
        <v>6063.5964450546508</v>
      </c>
      <c r="Q243" s="27">
        <f t="shared" ca="1" si="42"/>
        <v>112.8580352899163</v>
      </c>
      <c r="T243" s="25">
        <f t="shared" ca="1" si="43"/>
        <v>9960574.5439079348</v>
      </c>
      <c r="V243" s="25">
        <f t="shared" ca="1" si="44"/>
        <v>-39425.4560920652</v>
      </c>
      <c r="X243" s="14">
        <v>-8173.9534887485206</v>
      </c>
    </row>
    <row r="244" spans="1:24">
      <c r="A244" s="1">
        <v>240</v>
      </c>
      <c r="B244" s="9">
        <v>39308</v>
      </c>
      <c r="C244" s="37">
        <v>13028.92</v>
      </c>
      <c r="D244" s="38">
        <v>12287</v>
      </c>
      <c r="E244" s="38">
        <v>7434.7401275614056</v>
      </c>
      <c r="F244" s="38">
        <v>142.83566522513354</v>
      </c>
      <c r="I244" s="28">
        <f t="shared" si="35"/>
        <v>-1.5808929513503454E-2</v>
      </c>
      <c r="J244" s="28">
        <f t="shared" si="36"/>
        <v>-1.7997754551990652E-2</v>
      </c>
      <c r="K244" s="28">
        <f t="shared" si="37"/>
        <v>-1.9667438317857725E-2</v>
      </c>
      <c r="L244" s="28">
        <f t="shared" si="38"/>
        <v>6.3729455884577318E-3</v>
      </c>
      <c r="N244" s="27">
        <f t="shared" ca="1" si="39"/>
        <v>11184.445303906467</v>
      </c>
      <c r="O244" s="27">
        <f t="shared" ca="1" si="40"/>
        <v>9815.548675858754</v>
      </c>
      <c r="P244" s="27">
        <f t="shared" ca="1" si="41"/>
        <v>6199.9304024172943</v>
      </c>
      <c r="Q244" s="27">
        <f t="shared" ca="1" si="42"/>
        <v>114.53896107334195</v>
      </c>
      <c r="T244" s="25">
        <f t="shared" ca="1" si="43"/>
        <v>10156681.817857336</v>
      </c>
      <c r="V244" s="25">
        <f t="shared" ca="1" si="44"/>
        <v>156681.81785733625</v>
      </c>
      <c r="X244" s="14">
        <v>-8150.6234469693154</v>
      </c>
    </row>
    <row r="245" spans="1:24">
      <c r="A245" s="1">
        <v>241</v>
      </c>
      <c r="B245" s="9">
        <v>39309</v>
      </c>
      <c r="C245" s="37">
        <v>12861.47</v>
      </c>
      <c r="D245" s="38">
        <v>12163.616300000002</v>
      </c>
      <c r="E245" s="38">
        <v>7331.2500000000009</v>
      </c>
      <c r="F245" s="38">
        <v>140.51692963752666</v>
      </c>
      <c r="I245" s="28">
        <f t="shared" si="35"/>
        <v>-1.293548184465482E-2</v>
      </c>
      <c r="J245" s="28">
        <f t="shared" si="36"/>
        <v>-1.0092567467868015E-2</v>
      </c>
      <c r="K245" s="28">
        <f t="shared" si="37"/>
        <v>-1.4017593300767409E-2</v>
      </c>
      <c r="L245" s="28">
        <f t="shared" si="38"/>
        <v>-1.636679804451005E-2</v>
      </c>
      <c r="N245" s="27">
        <f t="shared" ca="1" si="39"/>
        <v>11060.144615243713</v>
      </c>
      <c r="O245" s="27">
        <f t="shared" ca="1" si="40"/>
        <v>9475.7053100068333</v>
      </c>
      <c r="P245" s="27">
        <f t="shared" ca="1" si="41"/>
        <v>6319.8894922724521</v>
      </c>
      <c r="Q245" s="27">
        <f t="shared" ca="1" si="42"/>
        <v>113.80500525701609</v>
      </c>
      <c r="T245" s="25">
        <f t="shared" ca="1" si="43"/>
        <v>10011706.012037255</v>
      </c>
      <c r="V245" s="25">
        <f t="shared" ca="1" si="44"/>
        <v>11706.01203725487</v>
      </c>
      <c r="X245" s="14">
        <v>-7987.2804208956659</v>
      </c>
    </row>
    <row r="246" spans="1:24">
      <c r="A246" s="1">
        <v>242</v>
      </c>
      <c r="B246" s="9">
        <v>39310</v>
      </c>
      <c r="C246" s="37">
        <v>12845.78</v>
      </c>
      <c r="D246" s="38">
        <v>11609.996239999999</v>
      </c>
      <c r="E246" s="38">
        <v>7056.3789868667927</v>
      </c>
      <c r="F246" s="38">
        <v>141.3682044996936</v>
      </c>
      <c r="I246" s="28">
        <f t="shared" si="35"/>
        <v>-1.2206674730444948E-3</v>
      </c>
      <c r="J246" s="28">
        <f t="shared" si="36"/>
        <v>-4.658275356656108E-2</v>
      </c>
      <c r="K246" s="28">
        <f t="shared" si="37"/>
        <v>-3.8214004866912982E-2</v>
      </c>
      <c r="L246" s="28">
        <f t="shared" si="38"/>
        <v>6.0398889261388915E-3</v>
      </c>
      <c r="N246" s="27">
        <f t="shared" ca="1" si="39"/>
        <v>10825.689608309793</v>
      </c>
      <c r="O246" s="27">
        <f t="shared" ca="1" si="40"/>
        <v>9680.6158464545151</v>
      </c>
      <c r="P246" s="27">
        <f t="shared" ca="1" si="41"/>
        <v>6178.0869167943301</v>
      </c>
      <c r="Q246" s="27">
        <f t="shared" ca="1" si="42"/>
        <v>113.5584154422953</v>
      </c>
      <c r="T246" s="25">
        <f t="shared" ca="1" si="43"/>
        <v>9963414.2769963667</v>
      </c>
      <c r="V246" s="25">
        <f t="shared" ca="1" si="44"/>
        <v>-36585.72300363332</v>
      </c>
      <c r="X246" s="14">
        <v>-7875.4758201595396</v>
      </c>
    </row>
    <row r="247" spans="1:24">
      <c r="A247" s="1">
        <v>243</v>
      </c>
      <c r="B247" s="9">
        <v>39311</v>
      </c>
      <c r="C247" s="37">
        <v>13079.08</v>
      </c>
      <c r="D247" s="38">
        <v>12043.501199999999</v>
      </c>
      <c r="E247" s="38">
        <v>7247.1693014457505</v>
      </c>
      <c r="F247" s="38">
        <v>134.23870627526807</v>
      </c>
      <c r="I247" s="28">
        <f t="shared" si="35"/>
        <v>1.799865442854956E-2</v>
      </c>
      <c r="J247" s="28">
        <f t="shared" si="36"/>
        <v>3.6658723098510433E-2</v>
      </c>
      <c r="K247" s="28">
        <f t="shared" si="37"/>
        <v>2.6678922891947753E-2</v>
      </c>
      <c r="L247" s="28">
        <f t="shared" si="38"/>
        <v>-5.174826081038731E-2</v>
      </c>
      <c r="N247" s="27">
        <f t="shared" ca="1" si="39"/>
        <v>11046.848325659505</v>
      </c>
      <c r="O247" s="27">
        <f t="shared" ca="1" si="40"/>
        <v>9376.9525611586432</v>
      </c>
      <c r="P247" s="27">
        <f t="shared" ca="1" si="41"/>
        <v>6209.3820834723783</v>
      </c>
      <c r="Q247" s="27">
        <f t="shared" ca="1" si="42"/>
        <v>111.41354267853545</v>
      </c>
      <c r="T247" s="25">
        <f t="shared" ca="1" si="43"/>
        <v>9915803.9714809097</v>
      </c>
      <c r="V247" s="25">
        <f t="shared" ca="1" si="44"/>
        <v>-84196.028519090265</v>
      </c>
      <c r="X247" s="14">
        <v>-7809.6796033717692</v>
      </c>
    </row>
    <row r="248" spans="1:24">
      <c r="A248" s="1">
        <v>244</v>
      </c>
      <c r="B248" s="9">
        <v>39314</v>
      </c>
      <c r="C248" s="37">
        <v>13121.35</v>
      </c>
      <c r="D248" s="38">
        <v>12070.47459</v>
      </c>
      <c r="E248" s="38">
        <v>7278.754381234834</v>
      </c>
      <c r="F248" s="38">
        <v>137.00670556474788</v>
      </c>
      <c r="I248" s="28">
        <f t="shared" si="35"/>
        <v>3.2266674000456345E-3</v>
      </c>
      <c r="J248" s="28">
        <f t="shared" si="36"/>
        <v>2.2371591880813277E-3</v>
      </c>
      <c r="K248" s="28">
        <f t="shared" si="37"/>
        <v>4.3487946456516914E-3</v>
      </c>
      <c r="L248" s="28">
        <f t="shared" si="38"/>
        <v>2.0410265087114153E-2</v>
      </c>
      <c r="N248" s="27">
        <f t="shared" ca="1" si="39"/>
        <v>11152.882410001052</v>
      </c>
      <c r="O248" s="27">
        <f t="shared" ca="1" si="40"/>
        <v>9614.9183930452036</v>
      </c>
      <c r="P248" s="27">
        <f t="shared" ca="1" si="41"/>
        <v>6167.8177402842557</v>
      </c>
      <c r="Q248" s="27">
        <f t="shared" ca="1" si="42"/>
        <v>112.65029017899063</v>
      </c>
      <c r="T248" s="25">
        <f t="shared" ca="1" si="43"/>
        <v>10043870.108429492</v>
      </c>
      <c r="V248" s="25">
        <f t="shared" ca="1" si="44"/>
        <v>43870.10842949152</v>
      </c>
      <c r="X248" s="14">
        <v>-7465.662543065846</v>
      </c>
    </row>
    <row r="249" spans="1:24">
      <c r="A249" s="1">
        <v>245</v>
      </c>
      <c r="B249" s="9">
        <v>39315</v>
      </c>
      <c r="C249" s="37">
        <v>13090.86</v>
      </c>
      <c r="D249" s="38">
        <v>12071.170740000001</v>
      </c>
      <c r="E249" s="38">
        <v>7310.8202914193198</v>
      </c>
      <c r="F249" s="38">
        <v>139.0706664334441</v>
      </c>
      <c r="I249" s="28">
        <f t="shared" si="35"/>
        <v>-2.3263977933421364E-3</v>
      </c>
      <c r="J249" s="28">
        <f t="shared" si="36"/>
        <v>5.7672125547204881E-5</v>
      </c>
      <c r="K249" s="28">
        <f t="shared" si="37"/>
        <v>4.3957363441666239E-3</v>
      </c>
      <c r="L249" s="28">
        <f t="shared" si="38"/>
        <v>1.4952325192564708E-2</v>
      </c>
      <c r="N249" s="27">
        <f t="shared" ca="1" si="39"/>
        <v>11114.582024010659</v>
      </c>
      <c r="O249" s="27">
        <f t="shared" ca="1" si="40"/>
        <v>9692.7895395098894</v>
      </c>
      <c r="P249" s="27">
        <f t="shared" ca="1" si="41"/>
        <v>6122.2732163013916</v>
      </c>
      <c r="Q249" s="27">
        <f t="shared" ca="1" si="42"/>
        <v>112.11873106729955</v>
      </c>
      <c r="T249" s="25">
        <f t="shared" ca="1" si="43"/>
        <v>10037537.18020777</v>
      </c>
      <c r="V249" s="25">
        <f t="shared" ca="1" si="44"/>
        <v>37537.180207770318</v>
      </c>
      <c r="X249" s="14">
        <v>-6967.9685346912593</v>
      </c>
    </row>
    <row r="250" spans="1:24">
      <c r="A250" s="1">
        <v>246</v>
      </c>
      <c r="B250" s="9">
        <v>39316</v>
      </c>
      <c r="C250" s="37">
        <v>13236.13</v>
      </c>
      <c r="D250" s="38">
        <v>12338.094800000001</v>
      </c>
      <c r="E250" s="38">
        <v>7459.0024330900242</v>
      </c>
      <c r="F250" s="38">
        <v>138.23037468486481</v>
      </c>
      <c r="I250" s="28">
        <f t="shared" si="35"/>
        <v>1.1035934938932538E-2</v>
      </c>
      <c r="J250" s="28">
        <f t="shared" si="36"/>
        <v>2.1871588073970459E-2</v>
      </c>
      <c r="K250" s="28">
        <f t="shared" si="37"/>
        <v>2.0066200733674842E-2</v>
      </c>
      <c r="L250" s="28">
        <f t="shared" si="38"/>
        <v>-6.0605204883151234E-3</v>
      </c>
      <c r="N250" s="27">
        <f t="shared" ca="1" si="39"/>
        <v>11046.127642305646</v>
      </c>
      <c r="O250" s="27">
        <f t="shared" ca="1" si="40"/>
        <v>9656.9804042632823</v>
      </c>
      <c r="P250" s="27">
        <f t="shared" ca="1" si="41"/>
        <v>6286.0467629498735</v>
      </c>
      <c r="Q250" s="27">
        <f t="shared" ca="1" si="42"/>
        <v>114.05790915269405</v>
      </c>
      <c r="T250" s="25">
        <f t="shared" ca="1" si="43"/>
        <v>10062293.275385072</v>
      </c>
      <c r="V250" s="25">
        <f t="shared" ca="1" si="44"/>
        <v>62293.275385072455</v>
      </c>
      <c r="X250" s="14">
        <v>-6376.7921121306717</v>
      </c>
    </row>
    <row r="251" spans="1:24">
      <c r="A251" s="1">
        <v>247</v>
      </c>
      <c r="B251" s="9">
        <v>39317</v>
      </c>
      <c r="C251" s="37">
        <v>13235.88</v>
      </c>
      <c r="D251" s="38">
        <v>12429.12233</v>
      </c>
      <c r="E251" s="38">
        <v>7498.411620961173</v>
      </c>
      <c r="F251" s="38">
        <v>140.35544086021505</v>
      </c>
      <c r="I251" s="28">
        <f t="shared" si="35"/>
        <v>-1.8887874400758706E-5</v>
      </c>
      <c r="J251" s="28">
        <f t="shared" si="36"/>
        <v>7.3506796821129483E-3</v>
      </c>
      <c r="K251" s="28">
        <f t="shared" si="37"/>
        <v>5.2695310728735024E-3</v>
      </c>
      <c r="L251" s="28">
        <f t="shared" si="38"/>
        <v>1.525639336515894E-2</v>
      </c>
      <c r="N251" s="27">
        <f t="shared" ca="1" si="39"/>
        <v>10976.984392856208</v>
      </c>
      <c r="O251" s="27">
        <f t="shared" ca="1" si="40"/>
        <v>9682.8927259051306</v>
      </c>
      <c r="P251" s="27">
        <f t="shared" ca="1" si="41"/>
        <v>6042.9552873239472</v>
      </c>
      <c r="Q251" s="27">
        <f t="shared" ca="1" si="42"/>
        <v>110.27762464042398</v>
      </c>
      <c r="T251" s="25">
        <f t="shared" ca="1" si="43"/>
        <v>9939079.3060887028</v>
      </c>
      <c r="V251" s="25">
        <f t="shared" ca="1" si="44"/>
        <v>-60920.693911297247</v>
      </c>
      <c r="X251" s="14">
        <v>-6240.3727430831641</v>
      </c>
    </row>
    <row r="252" spans="1:24">
      <c r="A252" s="1">
        <v>248</v>
      </c>
      <c r="B252" s="9">
        <v>39318</v>
      </c>
      <c r="C252" s="37">
        <v>13378.87</v>
      </c>
      <c r="D252" s="38">
        <v>12499.91296</v>
      </c>
      <c r="E252" s="38">
        <v>7595.9901800327334</v>
      </c>
      <c r="F252" s="38">
        <v>140.18609265809681</v>
      </c>
      <c r="I252" s="28">
        <f t="shared" si="35"/>
        <v>1.0745272888910791E-2</v>
      </c>
      <c r="J252" s="28">
        <f t="shared" si="36"/>
        <v>5.6793870647845936E-3</v>
      </c>
      <c r="K252" s="28">
        <f t="shared" si="37"/>
        <v>1.2929285926786266E-2</v>
      </c>
      <c r="L252" s="28">
        <f t="shared" si="38"/>
        <v>-1.2072951948614817E-3</v>
      </c>
      <c r="N252" s="27">
        <f t="shared" ca="1" si="39"/>
        <v>10804.636015485839</v>
      </c>
      <c r="O252" s="27">
        <f t="shared" ca="1" si="40"/>
        <v>9533.7994023065676</v>
      </c>
      <c r="P252" s="27">
        <f t="shared" ca="1" si="41"/>
        <v>6056.8937230710362</v>
      </c>
      <c r="Q252" s="27">
        <f t="shared" ca="1" si="42"/>
        <v>114.03128369635068</v>
      </c>
      <c r="T252" s="25">
        <f t="shared" ca="1" si="43"/>
        <v>9898729.6278567873</v>
      </c>
      <c r="V252" s="25">
        <f t="shared" ca="1" si="44"/>
        <v>-101270.37214321271</v>
      </c>
      <c r="X252" s="14">
        <v>-6098.7410438079387</v>
      </c>
    </row>
    <row r="253" spans="1:24">
      <c r="A253" s="1">
        <v>249</v>
      </c>
      <c r="B253" s="9">
        <v>39322</v>
      </c>
      <c r="C253" s="37">
        <v>13041.85</v>
      </c>
      <c r="D253" s="38">
        <v>12262.3709</v>
      </c>
      <c r="E253" s="38">
        <v>7469.1908855232641</v>
      </c>
      <c r="F253" s="38">
        <v>141.69195302305349</v>
      </c>
      <c r="I253" s="28">
        <f t="shared" si="35"/>
        <v>-2.5513179122652479E-2</v>
      </c>
      <c r="J253" s="28">
        <f t="shared" si="36"/>
        <v>-1.9186384280570644E-2</v>
      </c>
      <c r="K253" s="28">
        <f t="shared" si="37"/>
        <v>-1.6833822080619874E-2</v>
      </c>
      <c r="L253" s="28">
        <f t="shared" si="38"/>
        <v>1.0684583022998901E-2</v>
      </c>
      <c r="N253" s="27">
        <f t="shared" ca="1" si="39"/>
        <v>10839.858356024235</v>
      </c>
      <c r="O253" s="27">
        <f t="shared" ca="1" si="40"/>
        <v>9565.1263418665549</v>
      </c>
      <c r="P253" s="27">
        <f t="shared" ca="1" si="41"/>
        <v>6070.5303630068156</v>
      </c>
      <c r="Q253" s="27">
        <f t="shared" ca="1" si="42"/>
        <v>110.93952456838508</v>
      </c>
      <c r="T253" s="25">
        <f t="shared" ca="1" si="43"/>
        <v>9868693.530210495</v>
      </c>
      <c r="V253" s="25">
        <f t="shared" ca="1" si="44"/>
        <v>-131306.469789505</v>
      </c>
      <c r="X253" s="14">
        <v>-5586.628502510488</v>
      </c>
    </row>
    <row r="254" spans="1:24">
      <c r="A254" s="1">
        <v>250</v>
      </c>
      <c r="B254" s="9">
        <v>39323</v>
      </c>
      <c r="C254" s="37">
        <v>13289.29</v>
      </c>
      <c r="D254" s="38">
        <v>12352.703680000001</v>
      </c>
      <c r="E254" s="38">
        <v>7534.8348348348354</v>
      </c>
      <c r="F254" s="38">
        <v>139.1331132157442</v>
      </c>
      <c r="I254" s="28">
        <f t="shared" si="35"/>
        <v>1.8795030069885237E-2</v>
      </c>
      <c r="J254" s="28">
        <f t="shared" si="36"/>
        <v>7.3396637682292074E-3</v>
      </c>
      <c r="K254" s="28">
        <f t="shared" si="37"/>
        <v>8.7502340210526205E-3</v>
      </c>
      <c r="L254" s="28">
        <f t="shared" si="38"/>
        <v>-1.8224232344427792E-2</v>
      </c>
      <c r="N254" s="27">
        <f t="shared" ca="1" si="39"/>
        <v>10945.996857742655</v>
      </c>
      <c r="O254" s="27">
        <f t="shared" ca="1" si="40"/>
        <v>9683.0928272068631</v>
      </c>
      <c r="P254" s="27">
        <f t="shared" ca="1" si="41"/>
        <v>6103.3351607852155</v>
      </c>
      <c r="Q254" s="27">
        <f t="shared" ca="1" si="42"/>
        <v>109.63831948926662</v>
      </c>
      <c r="T254" s="25">
        <f t="shared" ca="1" si="43"/>
        <v>9926301.2882877328</v>
      </c>
      <c r="V254" s="25">
        <f t="shared" ca="1" si="44"/>
        <v>-73698.71171226725</v>
      </c>
      <c r="X254" s="14">
        <v>-5496.6184473708272</v>
      </c>
    </row>
    <row r="255" spans="1:24">
      <c r="A255" s="1">
        <v>251</v>
      </c>
      <c r="B255" s="9">
        <v>39324</v>
      </c>
      <c r="C255" s="37">
        <v>13238.73</v>
      </c>
      <c r="D255" s="38">
        <v>12519.6648</v>
      </c>
      <c r="E255" s="38">
        <v>7627.5641025641025</v>
      </c>
      <c r="F255" s="38">
        <v>139.49758203799655</v>
      </c>
      <c r="I255" s="28">
        <f t="shared" si="35"/>
        <v>-3.8118232133196547E-3</v>
      </c>
      <c r="J255" s="28">
        <f t="shared" si="36"/>
        <v>1.3425631578934918E-2</v>
      </c>
      <c r="K255" s="28">
        <f t="shared" si="37"/>
        <v>1.2231629603301614E-2</v>
      </c>
      <c r="L255" s="28">
        <f t="shared" si="38"/>
        <v>2.6161441387173756E-3</v>
      </c>
      <c r="N255" s="27">
        <f t="shared" ca="1" si="39"/>
        <v>10975.902604985729</v>
      </c>
      <c r="O255" s="27">
        <f t="shared" ca="1" si="40"/>
        <v>9720.8513391975575</v>
      </c>
      <c r="P255" s="27">
        <f t="shared" ca="1" si="41"/>
        <v>6146.5300080210618</v>
      </c>
      <c r="Q255" s="27">
        <f t="shared" ca="1" si="42"/>
        <v>114.1229128887332</v>
      </c>
      <c r="T255" s="25">
        <f t="shared" ca="1" si="43"/>
        <v>10035418.94369426</v>
      </c>
      <c r="V255" s="25">
        <f t="shared" ca="1" si="44"/>
        <v>35418.943694259971</v>
      </c>
      <c r="X255" s="14">
        <v>-5312.1048860922456</v>
      </c>
    </row>
    <row r="256" spans="1:24">
      <c r="A256" s="1">
        <v>252</v>
      </c>
      <c r="B256" s="9">
        <v>39325</v>
      </c>
      <c r="C256" s="37">
        <v>13357.74</v>
      </c>
      <c r="D256" s="38">
        <v>12714.38643</v>
      </c>
      <c r="E256" s="38">
        <v>7720.1090661213357</v>
      </c>
      <c r="F256" s="38">
        <v>142.93555900621118</v>
      </c>
      <c r="I256" s="28">
        <f t="shared" si="35"/>
        <v>8.9493676644481802E-3</v>
      </c>
      <c r="J256" s="28">
        <f t="shared" si="36"/>
        <v>1.5433549955520522E-2</v>
      </c>
      <c r="K256" s="28">
        <f t="shared" si="37"/>
        <v>1.2059949961242791E-2</v>
      </c>
      <c r="L256" s="28">
        <f t="shared" si="38"/>
        <v>2.4346624322400381E-2</v>
      </c>
      <c r="N256" s="27">
        <f t="shared" ca="1" si="39"/>
        <v>10832.210834248628</v>
      </c>
      <c r="O256" s="27">
        <f t="shared" ca="1" si="40"/>
        <v>9666.1842000817651</v>
      </c>
      <c r="P256" s="27">
        <f t="shared" ca="1" si="41"/>
        <v>6127.973032342964</v>
      </c>
      <c r="Q256" s="27">
        <f t="shared" ca="1" si="42"/>
        <v>112.7283572825371</v>
      </c>
      <c r="T256" s="25">
        <f t="shared" ca="1" si="43"/>
        <v>9938474.1224883758</v>
      </c>
      <c r="V256" s="25">
        <f t="shared" ca="1" si="44"/>
        <v>-61525.877511624247</v>
      </c>
      <c r="X256" s="14">
        <v>-5271.795083321631</v>
      </c>
    </row>
    <row r="257" spans="1:24">
      <c r="A257" s="1">
        <v>253</v>
      </c>
      <c r="B257" s="9">
        <v>39329</v>
      </c>
      <c r="C257" s="37">
        <v>13448.86</v>
      </c>
      <c r="D257" s="38">
        <v>12818.643360000002</v>
      </c>
      <c r="E257" s="38">
        <v>7707.5000000000009</v>
      </c>
      <c r="F257" s="38">
        <v>141.31213425129087</v>
      </c>
      <c r="I257" s="28">
        <f t="shared" si="35"/>
        <v>6.7983519689400985E-3</v>
      </c>
      <c r="J257" s="28">
        <f t="shared" si="36"/>
        <v>8.1664816339528604E-3</v>
      </c>
      <c r="K257" s="28">
        <f t="shared" si="37"/>
        <v>-1.6346108946450743E-3</v>
      </c>
      <c r="L257" s="28">
        <f t="shared" si="38"/>
        <v>-1.1422730563964893E-2</v>
      </c>
      <c r="N257" s="27">
        <f t="shared" ca="1" si="39"/>
        <v>11023.04299763575</v>
      </c>
      <c r="O257" s="27">
        <f t="shared" ca="1" si="40"/>
        <v>9471.432496801026</v>
      </c>
      <c r="P257" s="27">
        <f t="shared" ca="1" si="41"/>
        <v>6282.849808899774</v>
      </c>
      <c r="Q257" s="27">
        <f t="shared" ca="1" si="42"/>
        <v>111.82571965354116</v>
      </c>
      <c r="T257" s="25">
        <f t="shared" ca="1" si="43"/>
        <v>9955845.6521354634</v>
      </c>
      <c r="V257" s="25">
        <f t="shared" ca="1" si="44"/>
        <v>-44154.347864536569</v>
      </c>
      <c r="X257" s="14">
        <v>-4924.9528547879308</v>
      </c>
    </row>
    <row r="258" spans="1:24">
      <c r="A258" s="1">
        <v>254</v>
      </c>
      <c r="B258" s="9">
        <v>39330</v>
      </c>
      <c r="C258" s="37">
        <v>13305.47</v>
      </c>
      <c r="D258" s="38">
        <v>12666.186929999998</v>
      </c>
      <c r="E258" s="38">
        <v>7578.9078498293511</v>
      </c>
      <c r="F258" s="38">
        <v>140.08192457737323</v>
      </c>
      <c r="I258" s="28">
        <f t="shared" si="35"/>
        <v>-1.0719115219841004E-2</v>
      </c>
      <c r="J258" s="28">
        <f t="shared" si="36"/>
        <v>-1.196462734640754E-2</v>
      </c>
      <c r="K258" s="28">
        <f t="shared" si="37"/>
        <v>-1.6824774640829942E-2</v>
      </c>
      <c r="L258" s="28">
        <f t="shared" si="38"/>
        <v>-8.7437347951587249E-3</v>
      </c>
      <c r="N258" s="27">
        <f t="shared" ca="1" si="39"/>
        <v>11079.468417441212</v>
      </c>
      <c r="O258" s="27">
        <f t="shared" ca="1" si="40"/>
        <v>9432.5289235329074</v>
      </c>
      <c r="P258" s="27">
        <f t="shared" ca="1" si="41"/>
        <v>6160.2705521644593</v>
      </c>
      <c r="Q258" s="27">
        <f t="shared" ca="1" si="42"/>
        <v>114.77978204073784</v>
      </c>
      <c r="T258" s="25">
        <f t="shared" ca="1" si="43"/>
        <v>9996762.5637760721</v>
      </c>
      <c r="V258" s="25">
        <f t="shared" ca="1" si="44"/>
        <v>-3237.4362239278853</v>
      </c>
      <c r="X258" s="14">
        <v>-4819.3288535922766</v>
      </c>
    </row>
    <row r="259" spans="1:24">
      <c r="A259" s="1">
        <v>255</v>
      </c>
      <c r="B259" s="9">
        <v>39331</v>
      </c>
      <c r="C259" s="37">
        <v>13363.35</v>
      </c>
      <c r="D259" s="38">
        <v>12763.598610000001</v>
      </c>
      <c r="E259" s="38">
        <v>7635.0219058050379</v>
      </c>
      <c r="F259" s="38">
        <v>141.05856832971801</v>
      </c>
      <c r="I259" s="28">
        <f t="shared" si="35"/>
        <v>4.3406563078402941E-3</v>
      </c>
      <c r="J259" s="28">
        <f t="shared" si="36"/>
        <v>7.6612644893112826E-3</v>
      </c>
      <c r="K259" s="28">
        <f t="shared" si="37"/>
        <v>7.3767016588123114E-3</v>
      </c>
      <c r="L259" s="28">
        <f t="shared" si="38"/>
        <v>6.9477553439448673E-3</v>
      </c>
      <c r="N259" s="27">
        <f t="shared" ca="1" si="39"/>
        <v>10940.145132587175</v>
      </c>
      <c r="O259" s="27">
        <f t="shared" ca="1" si="40"/>
        <v>9444.7178114054641</v>
      </c>
      <c r="P259" s="27">
        <f t="shared" ca="1" si="41"/>
        <v>6124.4314973548971</v>
      </c>
      <c r="Q259" s="27">
        <f t="shared" ca="1" si="42"/>
        <v>111.79621356435847</v>
      </c>
      <c r="T259" s="25">
        <f t="shared" ca="1" si="43"/>
        <v>9891340.1157393325</v>
      </c>
      <c r="V259" s="25">
        <f t="shared" ca="1" si="44"/>
        <v>-108659.88426066749</v>
      </c>
      <c r="X259" s="14">
        <v>-4670.7728163637221</v>
      </c>
    </row>
    <row r="260" spans="1:24">
      <c r="A260" s="1">
        <v>256</v>
      </c>
      <c r="B260" s="9">
        <v>39332</v>
      </c>
      <c r="C260" s="37">
        <v>13113.38</v>
      </c>
      <c r="D260" s="38">
        <v>12538.418239999999</v>
      </c>
      <c r="E260" s="38">
        <v>7474.3289745354441</v>
      </c>
      <c r="F260" s="38">
        <v>142.10806522697223</v>
      </c>
      <c r="I260" s="28">
        <f t="shared" si="35"/>
        <v>-1.8882802174009884E-2</v>
      </c>
      <c r="J260" s="28">
        <f t="shared" si="36"/>
        <v>-1.7799870795253508E-2</v>
      </c>
      <c r="K260" s="28">
        <f t="shared" si="37"/>
        <v>-2.1271461841822013E-2</v>
      </c>
      <c r="L260" s="28">
        <f t="shared" si="38"/>
        <v>7.4126085379902333E-3</v>
      </c>
      <c r="N260" s="27">
        <f t="shared" ca="1" si="39"/>
        <v>10920.921571582316</v>
      </c>
      <c r="O260" s="27">
        <f t="shared" ca="1" si="40"/>
        <v>9557.6203874707899</v>
      </c>
      <c r="P260" s="27">
        <f t="shared" ca="1" si="41"/>
        <v>6181.5782976452192</v>
      </c>
      <c r="Q260" s="27">
        <f t="shared" ca="1" si="42"/>
        <v>109.37788403158864</v>
      </c>
      <c r="T260" s="25">
        <f t="shared" ca="1" si="43"/>
        <v>9885993.0097547006</v>
      </c>
      <c r="V260" s="25">
        <f t="shared" ca="1" si="44"/>
        <v>-114006.99024529941</v>
      </c>
      <c r="X260" s="14">
        <v>-4575.2093594931066</v>
      </c>
    </row>
    <row r="261" spans="1:24">
      <c r="A261" s="1">
        <v>257</v>
      </c>
      <c r="B261" s="9">
        <v>39335</v>
      </c>
      <c r="C261" s="37">
        <v>13127.85</v>
      </c>
      <c r="D261" s="38">
        <v>12443.021850000003</v>
      </c>
      <c r="E261" s="38">
        <v>7429.558620689656</v>
      </c>
      <c r="F261" s="38">
        <v>139.15588313178566</v>
      </c>
      <c r="I261" s="28">
        <f t="shared" si="35"/>
        <v>1.1028447574001768E-3</v>
      </c>
      <c r="J261" s="28">
        <f t="shared" si="36"/>
        <v>-7.6374182883829876E-3</v>
      </c>
      <c r="K261" s="28">
        <f t="shared" si="37"/>
        <v>-6.007894010789795E-3</v>
      </c>
      <c r="L261" s="28">
        <f t="shared" si="38"/>
        <v>-2.0993024753074921E-2</v>
      </c>
      <c r="N261" s="27">
        <f t="shared" ca="1" si="39"/>
        <v>10925.213932456145</v>
      </c>
      <c r="O261" s="27">
        <f t="shared" ca="1" si="40"/>
        <v>9839.2162322398144</v>
      </c>
      <c r="P261" s="27">
        <f t="shared" ca="1" si="41"/>
        <v>6331.5045345980834</v>
      </c>
      <c r="Q261" s="27">
        <f t="shared" ca="1" si="42"/>
        <v>113.01169221718118</v>
      </c>
      <c r="T261" s="25">
        <f t="shared" ca="1" si="43"/>
        <v>10064147.0747119</v>
      </c>
      <c r="V261" s="25">
        <f t="shared" ca="1" si="44"/>
        <v>64147.074711900204</v>
      </c>
      <c r="X261" s="14">
        <v>-4183.8662531524897</v>
      </c>
    </row>
    <row r="262" spans="1:24">
      <c r="A262" s="1">
        <v>258</v>
      </c>
      <c r="B262" s="9">
        <v>39336</v>
      </c>
      <c r="C262" s="37">
        <v>13308.39</v>
      </c>
      <c r="D262" s="38">
        <v>12751.077139999998</v>
      </c>
      <c r="E262" s="38">
        <v>7580.1604869950188</v>
      </c>
      <c r="F262" s="38">
        <v>139.15574057843997</v>
      </c>
      <c r="I262" s="28">
        <f t="shared" ref="I262:I325" si="45">LN(C262/C261)</f>
        <v>1.3658735644888261E-2</v>
      </c>
      <c r="J262" s="28">
        <f t="shared" ref="J262:J325" si="46">LN(D262/D261)</f>
        <v>2.445577780534932E-2</v>
      </c>
      <c r="K262" s="28">
        <f t="shared" ref="K262:K325" si="47">LN(E262/E261)</f>
        <v>2.006791991339205E-2</v>
      </c>
      <c r="L262" s="28">
        <f t="shared" ref="L262:L325" si="48">LN(F262/F261)</f>
        <v>-1.0244153210377312E-6</v>
      </c>
      <c r="N262" s="27">
        <f t="shared" ref="N262:N325" ca="1" si="49">C$504*EXP((I$1-I$2/2)*(1)+I$3*_xlfn.NORM.S.INV(RAND())*SQRT(1))</f>
        <v>10930.520640717994</v>
      </c>
      <c r="O262" s="27">
        <f t="shared" ref="O262:O325" ca="1" si="50">D$504*EXP((J$1-J$2/2)*(1)+J$3*_xlfn.NORM.S.INV(RAND())*SQRT(1))</f>
        <v>9716.6924417429491</v>
      </c>
      <c r="P262" s="27">
        <f t="shared" ref="P262:P325" ca="1" si="51">E$504*EXP((K$1-K$2/2)*(1)+K$3*_xlfn.NORM.S.INV(RAND())*SQRT(1))</f>
        <v>6219.5215719753151</v>
      </c>
      <c r="Q262" s="27">
        <f t="shared" ref="Q262:Q325" ca="1" si="52">F$504*EXP((L$1-L$2/2)*(1)+L$3*_xlfn.NORM.S.INV(RAND())*SQRT(1))</f>
        <v>110.92693100644897</v>
      </c>
      <c r="T262" s="25">
        <f t="shared" ref="T262:T325" ca="1" si="53">N262/C$504*T$2+O262/D$504*U$2+P262/E$504*V$2+Q262/F$504*W$2</f>
        <v>9972766.6163078938</v>
      </c>
      <c r="V262" s="25">
        <f t="shared" ref="V262:V325" ca="1" si="54">T262-X$2</f>
        <v>-27233.383692106232</v>
      </c>
      <c r="X262" s="14">
        <v>-3571.5603144653141</v>
      </c>
    </row>
    <row r="263" spans="1:24">
      <c r="A263" s="1">
        <v>259</v>
      </c>
      <c r="B263" s="9">
        <v>39337</v>
      </c>
      <c r="C263" s="37">
        <v>13291.65</v>
      </c>
      <c r="D263" s="38">
        <v>12806.000339999999</v>
      </c>
      <c r="E263" s="38">
        <v>7648.9515345090967</v>
      </c>
      <c r="F263" s="38">
        <v>138.33274956217164</v>
      </c>
      <c r="I263" s="28">
        <f t="shared" si="45"/>
        <v>-1.2586448900032425E-3</v>
      </c>
      <c r="J263" s="28">
        <f t="shared" si="46"/>
        <v>4.2980880419688765E-3</v>
      </c>
      <c r="K263" s="28">
        <f t="shared" si="47"/>
        <v>9.0342122761764183E-3</v>
      </c>
      <c r="L263" s="28">
        <f t="shared" si="48"/>
        <v>-5.9317302058702007E-3</v>
      </c>
      <c r="N263" s="27">
        <f t="shared" ca="1" si="49"/>
        <v>10997.773822699479</v>
      </c>
      <c r="O263" s="27">
        <f t="shared" ca="1" si="50"/>
        <v>9365.3060107580313</v>
      </c>
      <c r="P263" s="27">
        <f t="shared" ca="1" si="51"/>
        <v>6228.2599708619582</v>
      </c>
      <c r="Q263" s="27">
        <f t="shared" ca="1" si="52"/>
        <v>114.02212937444968</v>
      </c>
      <c r="T263" s="25">
        <f t="shared" ca="1" si="53"/>
        <v>9943641.923552312</v>
      </c>
      <c r="V263" s="25">
        <f t="shared" ca="1" si="54"/>
        <v>-56358.076447688043</v>
      </c>
      <c r="X263" s="14">
        <v>-3532.4163274634629</v>
      </c>
    </row>
    <row r="264" spans="1:24">
      <c r="A264" s="1">
        <v>260</v>
      </c>
      <c r="B264" s="9">
        <v>39338</v>
      </c>
      <c r="C264" s="37">
        <v>13424.88</v>
      </c>
      <c r="D264" s="38">
        <v>12901.534469999999</v>
      </c>
      <c r="E264" s="38">
        <v>7726.2215435868957</v>
      </c>
      <c r="F264" s="38">
        <v>137.08682089940214</v>
      </c>
      <c r="I264" s="28">
        <f t="shared" si="45"/>
        <v>9.9736832898757351E-3</v>
      </c>
      <c r="J264" s="28">
        <f t="shared" si="46"/>
        <v>7.4324178096238603E-3</v>
      </c>
      <c r="K264" s="28">
        <f t="shared" si="47"/>
        <v>1.0051354769352108E-2</v>
      </c>
      <c r="L264" s="28">
        <f t="shared" si="48"/>
        <v>-9.0475572218960375E-3</v>
      </c>
      <c r="N264" s="27">
        <f t="shared" ca="1" si="49"/>
        <v>11137.090273416001</v>
      </c>
      <c r="O264" s="27">
        <f t="shared" ca="1" si="50"/>
        <v>9373.5178531051079</v>
      </c>
      <c r="P264" s="27">
        <f t="shared" ca="1" si="51"/>
        <v>6161.1325060788377</v>
      </c>
      <c r="Q264" s="27">
        <f t="shared" ca="1" si="52"/>
        <v>114.29735223458647</v>
      </c>
      <c r="T264" s="25">
        <f t="shared" ca="1" si="53"/>
        <v>9990819.8472974468</v>
      </c>
      <c r="V264" s="25">
        <f t="shared" ca="1" si="54"/>
        <v>-9180.1527025531977</v>
      </c>
      <c r="X264" s="14">
        <v>-3517.1605444215238</v>
      </c>
    </row>
    <row r="265" spans="1:24">
      <c r="A265" s="1">
        <v>261</v>
      </c>
      <c r="B265" s="9">
        <v>39339</v>
      </c>
      <c r="C265" s="37">
        <v>13442.52</v>
      </c>
      <c r="D265" s="38">
        <v>12652.184809999999</v>
      </c>
      <c r="E265" s="38">
        <v>7682.2746185852984</v>
      </c>
      <c r="F265" s="38">
        <v>140.15312418527853</v>
      </c>
      <c r="I265" s="28">
        <f t="shared" si="45"/>
        <v>1.3131157115822834E-3</v>
      </c>
      <c r="J265" s="28">
        <f t="shared" si="46"/>
        <v>-1.95163429428389E-2</v>
      </c>
      <c r="K265" s="28">
        <f t="shared" si="47"/>
        <v>-5.7042612988665291E-3</v>
      </c>
      <c r="L265" s="28">
        <f t="shared" si="48"/>
        <v>2.2121114788187585E-2</v>
      </c>
      <c r="N265" s="27">
        <f t="shared" ca="1" si="49"/>
        <v>11215.969340125152</v>
      </c>
      <c r="O265" s="27">
        <f t="shared" ca="1" si="50"/>
        <v>9659.6744269669161</v>
      </c>
      <c r="P265" s="27">
        <f t="shared" ca="1" si="51"/>
        <v>6096.4965688758903</v>
      </c>
      <c r="Q265" s="27">
        <f t="shared" ca="1" si="52"/>
        <v>113.84650362927485</v>
      </c>
      <c r="T265" s="25">
        <f t="shared" ca="1" si="53"/>
        <v>10090453.924544519</v>
      </c>
      <c r="V265" s="25">
        <f t="shared" ca="1" si="54"/>
        <v>90453.924544518813</v>
      </c>
      <c r="X265" s="14">
        <v>-3451.8941190410405</v>
      </c>
    </row>
    <row r="266" spans="1:24">
      <c r="A266" s="1">
        <v>262</v>
      </c>
      <c r="B266" s="9">
        <v>39343</v>
      </c>
      <c r="C266" s="37">
        <v>13739.39</v>
      </c>
      <c r="D266" s="38">
        <v>12546.49344</v>
      </c>
      <c r="E266" s="38">
        <v>7696.7406380027751</v>
      </c>
      <c r="F266" s="38">
        <v>136.44590277178136</v>
      </c>
      <c r="I266" s="28">
        <f t="shared" si="45"/>
        <v>2.1844072365291019E-2</v>
      </c>
      <c r="J266" s="28">
        <f t="shared" si="46"/>
        <v>-8.388693148427509E-3</v>
      </c>
      <c r="K266" s="28">
        <f t="shared" si="47"/>
        <v>1.8812678760759573E-3</v>
      </c>
      <c r="L266" s="28">
        <f t="shared" si="48"/>
        <v>-2.680734970692869E-2</v>
      </c>
      <c r="N266" s="27">
        <f t="shared" ca="1" si="49"/>
        <v>11307.227422605467</v>
      </c>
      <c r="O266" s="27">
        <f t="shared" ca="1" si="50"/>
        <v>9643.4769868129715</v>
      </c>
      <c r="P266" s="27">
        <f t="shared" ca="1" si="51"/>
        <v>6199.2988107218798</v>
      </c>
      <c r="Q266" s="27">
        <f t="shared" ca="1" si="52"/>
        <v>114.55324536070539</v>
      </c>
      <c r="T266" s="25">
        <f t="shared" ca="1" si="53"/>
        <v>10147618.883413408</v>
      </c>
      <c r="V266" s="25">
        <f t="shared" ca="1" si="54"/>
        <v>147618.88341340795</v>
      </c>
      <c r="X266" s="14">
        <v>-2775.4557007588446</v>
      </c>
    </row>
    <row r="267" spans="1:24">
      <c r="A267" s="1">
        <v>263</v>
      </c>
      <c r="B267" s="9">
        <v>39344</v>
      </c>
      <c r="C267" s="37">
        <v>13815.56</v>
      </c>
      <c r="D267" s="38">
        <v>12915.478000000001</v>
      </c>
      <c r="E267" s="38">
        <v>7999.4695700725842</v>
      </c>
      <c r="F267" s="38">
        <v>140.89223359422036</v>
      </c>
      <c r="I267" s="28">
        <f t="shared" si="45"/>
        <v>5.5286033191223796E-3</v>
      </c>
      <c r="J267" s="28">
        <f t="shared" si="46"/>
        <v>2.8985217725138401E-2</v>
      </c>
      <c r="K267" s="28">
        <f t="shared" si="47"/>
        <v>3.85782902610496E-2</v>
      </c>
      <c r="L267" s="28">
        <f t="shared" si="48"/>
        <v>3.2067078020677833E-2</v>
      </c>
      <c r="N267" s="27">
        <f t="shared" ca="1" si="49"/>
        <v>10950.224217046693</v>
      </c>
      <c r="O267" s="27">
        <f t="shared" ca="1" si="50"/>
        <v>9744.6741702088402</v>
      </c>
      <c r="P267" s="27">
        <f t="shared" ca="1" si="51"/>
        <v>6258.74934821434</v>
      </c>
      <c r="Q267" s="27">
        <f t="shared" ca="1" si="52"/>
        <v>113.36928686061816</v>
      </c>
      <c r="T267" s="25">
        <f t="shared" ca="1" si="53"/>
        <v>10038283.943767035</v>
      </c>
      <c r="V267" s="25">
        <f t="shared" ca="1" si="54"/>
        <v>38283.94376703538</v>
      </c>
      <c r="X267" s="14">
        <v>-2606.523369949311</v>
      </c>
    </row>
    <row r="268" spans="1:24">
      <c r="A268" s="1">
        <v>264</v>
      </c>
      <c r="B268" s="9">
        <v>39345</v>
      </c>
      <c r="C268" s="37">
        <v>13766.7</v>
      </c>
      <c r="D268" s="38">
        <v>12947.3631</v>
      </c>
      <c r="E268" s="38">
        <v>8013.466685448655</v>
      </c>
      <c r="F268" s="38">
        <v>143.28930597992144</v>
      </c>
      <c r="I268" s="28">
        <f t="shared" si="45"/>
        <v>-3.5428606000365687E-3</v>
      </c>
      <c r="J268" s="28">
        <f t="shared" si="46"/>
        <v>2.4657087000677742E-3</v>
      </c>
      <c r="K268" s="28">
        <f t="shared" si="47"/>
        <v>1.7482263986640907E-3</v>
      </c>
      <c r="L268" s="28">
        <f t="shared" si="48"/>
        <v>1.6870407850699744E-2</v>
      </c>
      <c r="N268" s="27">
        <f t="shared" ca="1" si="49"/>
        <v>10892.686859206826</v>
      </c>
      <c r="O268" s="27">
        <f t="shared" ca="1" si="50"/>
        <v>9707.2075621831627</v>
      </c>
      <c r="P268" s="27">
        <f t="shared" ca="1" si="51"/>
        <v>6213.8650257124091</v>
      </c>
      <c r="Q268" s="27">
        <f t="shared" ca="1" si="52"/>
        <v>110.52505483667559</v>
      </c>
      <c r="T268" s="25">
        <f t="shared" ca="1" si="53"/>
        <v>9948036.0017660279</v>
      </c>
      <c r="V268" s="25">
        <f t="shared" ca="1" si="54"/>
        <v>-51963.998233972117</v>
      </c>
      <c r="X268" s="14">
        <v>-2347.1501475069672</v>
      </c>
    </row>
    <row r="269" spans="1:24">
      <c r="A269" s="1">
        <v>265</v>
      </c>
      <c r="B269" s="9">
        <v>39346</v>
      </c>
      <c r="C269" s="37">
        <v>13820.19</v>
      </c>
      <c r="D269" s="38">
        <v>13046.408019999999</v>
      </c>
      <c r="E269" s="38">
        <v>8034.7427766032406</v>
      </c>
      <c r="F269" s="38">
        <v>141.3448574646911</v>
      </c>
      <c r="I269" s="28">
        <f t="shared" si="45"/>
        <v>3.8779338325936556E-3</v>
      </c>
      <c r="J269" s="28">
        <f t="shared" si="46"/>
        <v>7.620702581347334E-3</v>
      </c>
      <c r="K269" s="28">
        <f t="shared" si="47"/>
        <v>2.6515236693741367E-3</v>
      </c>
      <c r="L269" s="28">
        <f t="shared" si="48"/>
        <v>-1.3663003346911385E-2</v>
      </c>
      <c r="N269" s="27">
        <f t="shared" ca="1" si="49"/>
        <v>11398.9391615928</v>
      </c>
      <c r="O269" s="27">
        <f t="shared" ca="1" si="50"/>
        <v>9628.4995019037233</v>
      </c>
      <c r="P269" s="27">
        <f t="shared" ca="1" si="51"/>
        <v>6073.5803560819013</v>
      </c>
      <c r="Q269" s="27">
        <f t="shared" ca="1" si="52"/>
        <v>113.35663520680993</v>
      </c>
      <c r="T269" s="25">
        <f t="shared" ca="1" si="53"/>
        <v>10134733.138392556</v>
      </c>
      <c r="V269" s="25">
        <f t="shared" ca="1" si="54"/>
        <v>134733.13839255646</v>
      </c>
      <c r="X269" s="14">
        <v>-2345.9938603304327</v>
      </c>
    </row>
    <row r="270" spans="1:24">
      <c r="A270" s="1">
        <v>266</v>
      </c>
      <c r="B270" s="9">
        <v>39350</v>
      </c>
      <c r="C270" s="37">
        <v>13778.65</v>
      </c>
      <c r="D270" s="38">
        <v>12896.790089999999</v>
      </c>
      <c r="E270" s="38">
        <v>7968.3474576271192</v>
      </c>
      <c r="F270" s="38">
        <v>143.42191325638333</v>
      </c>
      <c r="I270" s="28">
        <f t="shared" si="45"/>
        <v>-3.0102737193843853E-3</v>
      </c>
      <c r="J270" s="28">
        <f t="shared" si="46"/>
        <v>-1.1534398199886243E-2</v>
      </c>
      <c r="K270" s="28">
        <f t="shared" si="47"/>
        <v>-8.2978598472917362E-3</v>
      </c>
      <c r="L270" s="28">
        <f t="shared" si="48"/>
        <v>1.4588026694590311E-2</v>
      </c>
      <c r="N270" s="27">
        <f t="shared" ca="1" si="49"/>
        <v>10954.493021829394</v>
      </c>
      <c r="O270" s="27">
        <f t="shared" ca="1" si="50"/>
        <v>9877.7328681310555</v>
      </c>
      <c r="P270" s="27">
        <f t="shared" ca="1" si="51"/>
        <v>6191.4997553221147</v>
      </c>
      <c r="Q270" s="27">
        <f t="shared" ca="1" si="52"/>
        <v>111.87103826097099</v>
      </c>
      <c r="T270" s="25">
        <f t="shared" ca="1" si="53"/>
        <v>10044008.913887119</v>
      </c>
      <c r="V270" s="25">
        <f t="shared" ca="1" si="54"/>
        <v>44008.913887118921</v>
      </c>
      <c r="X270" s="14">
        <v>-2189.2357137221843</v>
      </c>
    </row>
    <row r="271" spans="1:24">
      <c r="A271" s="1">
        <v>267</v>
      </c>
      <c r="B271" s="9">
        <v>39351</v>
      </c>
      <c r="C271" s="37">
        <v>13878.15</v>
      </c>
      <c r="D271" s="38">
        <v>12964.4249</v>
      </c>
      <c r="E271" s="38">
        <v>8036.675610789438</v>
      </c>
      <c r="F271" s="38">
        <v>142.05479688850477</v>
      </c>
      <c r="I271" s="28">
        <f t="shared" si="45"/>
        <v>7.1953681761279496E-3</v>
      </c>
      <c r="J271" s="28">
        <f t="shared" si="46"/>
        <v>5.2306099484803418E-3</v>
      </c>
      <c r="K271" s="28">
        <f t="shared" si="47"/>
        <v>8.5383904773737741E-3</v>
      </c>
      <c r="L271" s="28">
        <f t="shared" si="48"/>
        <v>-9.5778518551077156E-3</v>
      </c>
      <c r="N271" s="27">
        <f t="shared" ca="1" si="49"/>
        <v>11008.796883081603</v>
      </c>
      <c r="O271" s="27">
        <f t="shared" ca="1" si="50"/>
        <v>9915.3700363660537</v>
      </c>
      <c r="P271" s="27">
        <f t="shared" ca="1" si="51"/>
        <v>6094.9380097388521</v>
      </c>
      <c r="Q271" s="27">
        <f t="shared" ca="1" si="52"/>
        <v>110.90182083247342</v>
      </c>
      <c r="T271" s="25">
        <f t="shared" ca="1" si="53"/>
        <v>10042723.172734324</v>
      </c>
      <c r="V271" s="25">
        <f t="shared" ca="1" si="54"/>
        <v>42723.172734323889</v>
      </c>
      <c r="X271" s="14">
        <v>-2171.6420771144331</v>
      </c>
    </row>
    <row r="272" spans="1:24">
      <c r="A272" s="1">
        <v>268</v>
      </c>
      <c r="B272" s="9">
        <v>39352</v>
      </c>
      <c r="C272" s="37">
        <v>13912.94</v>
      </c>
      <c r="D272" s="38">
        <v>13127.824959999998</v>
      </c>
      <c r="E272" s="38">
        <v>8114.0249080101894</v>
      </c>
      <c r="F272" s="38">
        <v>145.51932220973461</v>
      </c>
      <c r="I272" s="28">
        <f t="shared" si="45"/>
        <v>2.5036814441748083E-3</v>
      </c>
      <c r="J272" s="28">
        <f t="shared" si="46"/>
        <v>1.2524960245396961E-2</v>
      </c>
      <c r="K272" s="28">
        <f t="shared" si="47"/>
        <v>9.5785180979378777E-3</v>
      </c>
      <c r="L272" s="28">
        <f t="shared" si="48"/>
        <v>2.40959997424138E-2</v>
      </c>
      <c r="N272" s="27">
        <f t="shared" ca="1" si="49"/>
        <v>11029.743806613122</v>
      </c>
      <c r="O272" s="27">
        <f t="shared" ca="1" si="50"/>
        <v>9674.5010397845854</v>
      </c>
      <c r="P272" s="27">
        <f t="shared" ca="1" si="51"/>
        <v>6247.9971851688942</v>
      </c>
      <c r="Q272" s="27">
        <f t="shared" ca="1" si="52"/>
        <v>112.80957524666795</v>
      </c>
      <c r="T272" s="25">
        <f t="shared" ca="1" si="53"/>
        <v>10033556.820560403</v>
      </c>
      <c r="V272" s="25">
        <f t="shared" ca="1" si="54"/>
        <v>33556.820560403168</v>
      </c>
      <c r="X272" s="14">
        <v>-1719.576794968918</v>
      </c>
    </row>
    <row r="273" spans="1:24">
      <c r="A273" s="1">
        <v>269</v>
      </c>
      <c r="B273" s="9">
        <v>39353</v>
      </c>
      <c r="C273" s="37">
        <v>13895.63</v>
      </c>
      <c r="D273" s="38">
        <v>13175.45832</v>
      </c>
      <c r="E273" s="38">
        <v>8130.4267425320058</v>
      </c>
      <c r="F273" s="38">
        <v>145.93714136671883</v>
      </c>
      <c r="I273" s="28">
        <f t="shared" si="45"/>
        <v>-1.2449401199484639E-3</v>
      </c>
      <c r="J273" s="28">
        <f t="shared" si="46"/>
        <v>3.6218605535766027E-3</v>
      </c>
      <c r="K273" s="28">
        <f t="shared" si="47"/>
        <v>2.0193775017333083E-3</v>
      </c>
      <c r="L273" s="28">
        <f t="shared" si="48"/>
        <v>2.8671139289564804E-3</v>
      </c>
      <c r="N273" s="27">
        <f t="shared" ca="1" si="49"/>
        <v>10858.589076221655</v>
      </c>
      <c r="O273" s="27">
        <f t="shared" ca="1" si="50"/>
        <v>9560.2118575848963</v>
      </c>
      <c r="P273" s="27">
        <f t="shared" ca="1" si="51"/>
        <v>6183.6274146436517</v>
      </c>
      <c r="Q273" s="27">
        <f t="shared" ca="1" si="52"/>
        <v>112.68619283112338</v>
      </c>
      <c r="T273" s="25">
        <f t="shared" ca="1" si="53"/>
        <v>9923158.7947578505</v>
      </c>
      <c r="V273" s="25">
        <f t="shared" ca="1" si="54"/>
        <v>-76841.205242149532</v>
      </c>
      <c r="X273" s="14">
        <v>-1328.4232441857457</v>
      </c>
    </row>
    <row r="274" spans="1:24">
      <c r="A274" s="1">
        <v>270</v>
      </c>
      <c r="B274" s="9">
        <v>39356</v>
      </c>
      <c r="C274" s="37">
        <v>14087.55</v>
      </c>
      <c r="D274" s="38">
        <v>13292.1666</v>
      </c>
      <c r="E274" s="38">
        <v>8222.8457484688806</v>
      </c>
      <c r="F274" s="38">
        <v>145.65070032854919</v>
      </c>
      <c r="I274" s="28">
        <f t="shared" si="45"/>
        <v>1.3717026388365472E-2</v>
      </c>
      <c r="J274" s="28">
        <f t="shared" si="46"/>
        <v>8.8190033496069499E-3</v>
      </c>
      <c r="K274" s="28">
        <f t="shared" si="47"/>
        <v>1.1302935227409348E-2</v>
      </c>
      <c r="L274" s="28">
        <f t="shared" si="48"/>
        <v>-1.9646987243625287E-3</v>
      </c>
      <c r="N274" s="27">
        <f t="shared" ca="1" si="49"/>
        <v>11057.521429898483</v>
      </c>
      <c r="O274" s="27">
        <f t="shared" ca="1" si="50"/>
        <v>9497.5779670446991</v>
      </c>
      <c r="P274" s="27">
        <f t="shared" ca="1" si="51"/>
        <v>6233.1037708137565</v>
      </c>
      <c r="Q274" s="27">
        <f t="shared" ca="1" si="52"/>
        <v>112.63319591445324</v>
      </c>
      <c r="T274" s="25">
        <f t="shared" ca="1" si="53"/>
        <v>9982819.8225002661</v>
      </c>
      <c r="V274" s="25">
        <f t="shared" ca="1" si="54"/>
        <v>-17180.177499733865</v>
      </c>
      <c r="X274" s="14">
        <v>-1312.2568606548011</v>
      </c>
    </row>
    <row r="275" spans="1:24">
      <c r="A275" s="1">
        <v>271</v>
      </c>
      <c r="B275" s="9">
        <v>39357</v>
      </c>
      <c r="C275" s="37">
        <v>14047.31</v>
      </c>
      <c r="D275" s="38">
        <v>13266.016319999999</v>
      </c>
      <c r="E275" s="38">
        <v>8207.2884234361736</v>
      </c>
      <c r="F275" s="38">
        <v>147.08179465056082</v>
      </c>
      <c r="I275" s="28">
        <f t="shared" si="45"/>
        <v>-2.8605102309881545E-3</v>
      </c>
      <c r="J275" s="28">
        <f t="shared" si="46"/>
        <v>-1.9692829535692116E-3</v>
      </c>
      <c r="K275" s="28">
        <f t="shared" si="47"/>
        <v>-1.8937556467139459E-3</v>
      </c>
      <c r="L275" s="28">
        <f t="shared" si="48"/>
        <v>9.7775665338643552E-3</v>
      </c>
      <c r="N275" s="27">
        <f t="shared" ca="1" si="49"/>
        <v>11003.432628588273</v>
      </c>
      <c r="O275" s="27">
        <f t="shared" ca="1" si="50"/>
        <v>9545.6148696301207</v>
      </c>
      <c r="P275" s="27">
        <f t="shared" ca="1" si="51"/>
        <v>6249.177743421882</v>
      </c>
      <c r="Q275" s="27">
        <f t="shared" ca="1" si="52"/>
        <v>112.7692114712119</v>
      </c>
      <c r="T275" s="25">
        <f t="shared" ca="1" si="53"/>
        <v>9983205.7852002475</v>
      </c>
      <c r="V275" s="25">
        <f t="shared" ca="1" si="54"/>
        <v>-16794.214799752459</v>
      </c>
      <c r="X275" s="14">
        <v>-1230.5007125288248</v>
      </c>
    </row>
    <row r="276" spans="1:24">
      <c r="A276" s="1">
        <v>272</v>
      </c>
      <c r="B276" s="9">
        <v>39358</v>
      </c>
      <c r="C276" s="37">
        <v>13968.05</v>
      </c>
      <c r="D276" s="38">
        <v>13312.202399999998</v>
      </c>
      <c r="E276" s="38">
        <v>8213.5804215589196</v>
      </c>
      <c r="F276" s="38">
        <v>147.3223982869379</v>
      </c>
      <c r="I276" s="28">
        <f t="shared" si="45"/>
        <v>-5.6583396730153657E-3</v>
      </c>
      <c r="J276" s="28">
        <f t="shared" si="46"/>
        <v>3.4754869750101497E-3</v>
      </c>
      <c r="K276" s="28">
        <f t="shared" si="47"/>
        <v>7.663417191951813E-4</v>
      </c>
      <c r="L276" s="28">
        <f t="shared" si="48"/>
        <v>1.6345126578762221E-3</v>
      </c>
      <c r="N276" s="27">
        <f t="shared" ca="1" si="49"/>
        <v>11027.134488199206</v>
      </c>
      <c r="O276" s="27">
        <f t="shared" ca="1" si="50"/>
        <v>9479.9695065576216</v>
      </c>
      <c r="P276" s="27">
        <f t="shared" ca="1" si="51"/>
        <v>6198.9390176149191</v>
      </c>
      <c r="Q276" s="27">
        <f t="shared" ca="1" si="52"/>
        <v>113.51308078424945</v>
      </c>
      <c r="T276" s="25">
        <f t="shared" ca="1" si="53"/>
        <v>9976377.0836972296</v>
      </c>
      <c r="V276" s="25">
        <f t="shared" ca="1" si="54"/>
        <v>-23622.916302770376</v>
      </c>
      <c r="X276" s="14">
        <v>-1183.7745757941157</v>
      </c>
    </row>
    <row r="277" spans="1:24">
      <c r="A277" s="1">
        <v>273</v>
      </c>
      <c r="B277" s="9">
        <v>39359</v>
      </c>
      <c r="C277" s="37">
        <v>13974.31</v>
      </c>
      <c r="D277" s="38">
        <v>13366.22827</v>
      </c>
      <c r="E277" s="38">
        <v>8204.0848056537106</v>
      </c>
      <c r="F277" s="38">
        <v>146.76704447879104</v>
      </c>
      <c r="I277" s="28">
        <f t="shared" si="45"/>
        <v>4.4806523892275575E-4</v>
      </c>
      <c r="J277" s="28">
        <f t="shared" si="46"/>
        <v>4.0501590607534572E-3</v>
      </c>
      <c r="K277" s="28">
        <f t="shared" si="47"/>
        <v>-1.1567560712954492E-3</v>
      </c>
      <c r="L277" s="28">
        <f t="shared" si="48"/>
        <v>-3.7767725563693311E-3</v>
      </c>
      <c r="N277" s="27">
        <f t="shared" ca="1" si="49"/>
        <v>11228.988116053317</v>
      </c>
      <c r="O277" s="27">
        <f t="shared" ca="1" si="50"/>
        <v>9403.644909747145</v>
      </c>
      <c r="P277" s="27">
        <f t="shared" ca="1" si="51"/>
        <v>6221.4019968772664</v>
      </c>
      <c r="Q277" s="27">
        <f t="shared" ca="1" si="52"/>
        <v>110.86430172524575</v>
      </c>
      <c r="T277" s="25">
        <f t="shared" ca="1" si="53"/>
        <v>9982447.6754105035</v>
      </c>
      <c r="V277" s="25">
        <f t="shared" ca="1" si="54"/>
        <v>-17552.324589496478</v>
      </c>
      <c r="X277" s="14">
        <v>-1155.8707626517862</v>
      </c>
    </row>
    <row r="278" spans="1:24">
      <c r="A278" s="1">
        <v>274</v>
      </c>
      <c r="B278" s="9">
        <v>39360</v>
      </c>
      <c r="C278" s="37">
        <v>14066.01</v>
      </c>
      <c r="D278" s="38">
        <v>13466.64486</v>
      </c>
      <c r="E278" s="38">
        <v>8263.6685051619297</v>
      </c>
      <c r="F278" s="38">
        <v>146.22999143101973</v>
      </c>
      <c r="I278" s="28">
        <f t="shared" si="45"/>
        <v>6.5406048794408173E-3</v>
      </c>
      <c r="J278" s="28">
        <f t="shared" si="46"/>
        <v>7.4846296398083344E-3</v>
      </c>
      <c r="K278" s="28">
        <f t="shared" si="47"/>
        <v>7.236440623937925E-3</v>
      </c>
      <c r="L278" s="28">
        <f t="shared" si="48"/>
        <v>-3.6659323024265385E-3</v>
      </c>
      <c r="N278" s="27">
        <f t="shared" ca="1" si="49"/>
        <v>10979.226083119191</v>
      </c>
      <c r="O278" s="27">
        <f t="shared" ca="1" si="50"/>
        <v>9548.3168946813894</v>
      </c>
      <c r="P278" s="27">
        <f t="shared" ca="1" si="51"/>
        <v>6240.5879249630198</v>
      </c>
      <c r="Q278" s="27">
        <f t="shared" ca="1" si="52"/>
        <v>110.46083091383339</v>
      </c>
      <c r="T278" s="25">
        <f t="shared" ca="1" si="53"/>
        <v>9932959.3393465616</v>
      </c>
      <c r="V278" s="25">
        <f t="shared" ca="1" si="54"/>
        <v>-67040.660653438419</v>
      </c>
      <c r="X278" s="14">
        <v>22.122684737667441</v>
      </c>
    </row>
    <row r="279" spans="1:24">
      <c r="A279" s="1">
        <v>275</v>
      </c>
      <c r="B279" s="9">
        <v>39364</v>
      </c>
      <c r="C279" s="37">
        <v>14164.53</v>
      </c>
      <c r="D279" s="38">
        <v>13453.077439999999</v>
      </c>
      <c r="E279" s="38">
        <v>8258.5657931811784</v>
      </c>
      <c r="F279" s="38">
        <v>146.67834857680145</v>
      </c>
      <c r="I279" s="28">
        <f t="shared" si="45"/>
        <v>6.9797035380961625E-3</v>
      </c>
      <c r="J279" s="28">
        <f t="shared" si="46"/>
        <v>-1.0079911670382599E-3</v>
      </c>
      <c r="K279" s="28">
        <f t="shared" si="47"/>
        <v>-6.1767822085636681E-4</v>
      </c>
      <c r="L279" s="28">
        <f t="shared" si="48"/>
        <v>3.0614184351814241E-3</v>
      </c>
      <c r="N279" s="27">
        <f t="shared" ca="1" si="49"/>
        <v>11107.132414556896</v>
      </c>
      <c r="O279" s="27">
        <f t="shared" ca="1" si="50"/>
        <v>9486.0369172357496</v>
      </c>
      <c r="P279" s="27">
        <f t="shared" ca="1" si="51"/>
        <v>6248.9296081979501</v>
      </c>
      <c r="Q279" s="27">
        <f t="shared" ca="1" si="52"/>
        <v>111.21211960987884</v>
      </c>
      <c r="T279" s="25">
        <f t="shared" ca="1" si="53"/>
        <v>9974578.4006040394</v>
      </c>
      <c r="V279" s="25">
        <f t="shared" ca="1" si="54"/>
        <v>-25421.599395960569</v>
      </c>
      <c r="X279" s="14">
        <v>692.64908994175494</v>
      </c>
    </row>
    <row r="280" spans="1:24">
      <c r="A280" s="1">
        <v>276</v>
      </c>
      <c r="B280" s="9">
        <v>39365</v>
      </c>
      <c r="C280" s="37">
        <v>14078.69</v>
      </c>
      <c r="D280" s="38">
        <v>13555.862099999998</v>
      </c>
      <c r="E280" s="38">
        <v>8269.8158640226629</v>
      </c>
      <c r="F280" s="38">
        <v>146.71925179364536</v>
      </c>
      <c r="I280" s="28">
        <f t="shared" si="45"/>
        <v>-6.078645729136546E-3</v>
      </c>
      <c r="J280" s="28">
        <f t="shared" si="46"/>
        <v>7.6111952520575349E-3</v>
      </c>
      <c r="K280" s="28">
        <f t="shared" si="47"/>
        <v>1.3613035821831555E-3</v>
      </c>
      <c r="L280" s="28">
        <f t="shared" si="48"/>
        <v>2.7882448293539854E-4</v>
      </c>
      <c r="N280" s="27">
        <f t="shared" ca="1" si="49"/>
        <v>10870.639607848931</v>
      </c>
      <c r="O280" s="27">
        <f t="shared" ca="1" si="50"/>
        <v>9376.2909620023747</v>
      </c>
      <c r="P280" s="27">
        <f t="shared" ca="1" si="51"/>
        <v>6143.8378200068155</v>
      </c>
      <c r="Q280" s="27">
        <f t="shared" ca="1" si="52"/>
        <v>111.4668746156383</v>
      </c>
      <c r="T280" s="25">
        <f t="shared" ca="1" si="53"/>
        <v>9842024.0025078561</v>
      </c>
      <c r="V280" s="25">
        <f t="shared" ca="1" si="54"/>
        <v>-157975.99749214388</v>
      </c>
      <c r="X280" s="14">
        <v>813.00988788157701</v>
      </c>
    </row>
    <row r="281" spans="1:24">
      <c r="A281" s="1">
        <v>277</v>
      </c>
      <c r="B281" s="9">
        <v>39366</v>
      </c>
      <c r="C281" s="37">
        <v>14015.12</v>
      </c>
      <c r="D281" s="38">
        <v>13707.893249999999</v>
      </c>
      <c r="E281" s="38">
        <v>8348.0421472305279</v>
      </c>
      <c r="F281" s="38">
        <v>148.48596700119069</v>
      </c>
      <c r="I281" s="28">
        <f t="shared" si="45"/>
        <v>-4.5255597938781162E-3</v>
      </c>
      <c r="J281" s="28">
        <f t="shared" si="46"/>
        <v>1.1152735482865609E-2</v>
      </c>
      <c r="K281" s="28">
        <f t="shared" si="47"/>
        <v>9.4147947316465669E-3</v>
      </c>
      <c r="L281" s="28">
        <f t="shared" si="48"/>
        <v>1.1969546526456459E-2</v>
      </c>
      <c r="N281" s="27">
        <f t="shared" ca="1" si="49"/>
        <v>10956.311586402126</v>
      </c>
      <c r="O281" s="27">
        <f t="shared" ca="1" si="50"/>
        <v>9586.9947126511706</v>
      </c>
      <c r="P281" s="27">
        <f t="shared" ca="1" si="51"/>
        <v>6245.8751047607375</v>
      </c>
      <c r="Q281" s="27">
        <f t="shared" ca="1" si="52"/>
        <v>117.16402845245459</v>
      </c>
      <c r="T281" s="25">
        <f t="shared" ca="1" si="53"/>
        <v>10056410.852936994</v>
      </c>
      <c r="V281" s="25">
        <f t="shared" ca="1" si="54"/>
        <v>56410.852936994284</v>
      </c>
      <c r="X281" s="14">
        <v>887.7434395737946</v>
      </c>
    </row>
    <row r="282" spans="1:24">
      <c r="A282" s="1">
        <v>278</v>
      </c>
      <c r="B282" s="9">
        <v>39367</v>
      </c>
      <c r="C282" s="37">
        <v>14093.08</v>
      </c>
      <c r="D282" s="38">
        <v>13694.95529</v>
      </c>
      <c r="E282" s="38">
        <v>8281.0684426810258</v>
      </c>
      <c r="F282" s="38">
        <v>147.5872434641914</v>
      </c>
      <c r="I282" s="28">
        <f t="shared" si="45"/>
        <v>5.5471499354635872E-3</v>
      </c>
      <c r="J282" s="28">
        <f t="shared" si="46"/>
        <v>-9.4427854406970411E-4</v>
      </c>
      <c r="K282" s="28">
        <f t="shared" si="47"/>
        <v>-8.0550389405218536E-3</v>
      </c>
      <c r="L282" s="28">
        <f t="shared" si="48"/>
        <v>-6.0709734319987236E-3</v>
      </c>
      <c r="N282" s="27">
        <f t="shared" ca="1" si="49"/>
        <v>10949.962448764121</v>
      </c>
      <c r="O282" s="27">
        <f t="shared" ca="1" si="50"/>
        <v>9607.1742181929694</v>
      </c>
      <c r="P282" s="27">
        <f t="shared" ca="1" si="51"/>
        <v>6203.5052936295497</v>
      </c>
      <c r="Q282" s="27">
        <f t="shared" ca="1" si="52"/>
        <v>115.32168257117053</v>
      </c>
      <c r="T282" s="25">
        <f t="shared" ca="1" si="53"/>
        <v>10020920.152066715</v>
      </c>
      <c r="V282" s="25">
        <f t="shared" ca="1" si="54"/>
        <v>20920.152066715062</v>
      </c>
      <c r="X282" s="14">
        <v>947.22670453228056</v>
      </c>
    </row>
    <row r="283" spans="1:24">
      <c r="A283" s="1">
        <v>279</v>
      </c>
      <c r="B283" s="9">
        <v>39370</v>
      </c>
      <c r="C283" s="37">
        <v>13984.8</v>
      </c>
      <c r="D283" s="38">
        <v>13569.397899999998</v>
      </c>
      <c r="E283" s="38">
        <v>8260.9388335704116</v>
      </c>
      <c r="F283" s="38">
        <v>147.77924399795677</v>
      </c>
      <c r="I283" s="28">
        <f t="shared" si="45"/>
        <v>-7.7128712554493028E-3</v>
      </c>
      <c r="J283" s="28">
        <f t="shared" si="46"/>
        <v>-9.2104350858423431E-3</v>
      </c>
      <c r="K283" s="28">
        <f t="shared" si="47"/>
        <v>-2.433757730894956E-3</v>
      </c>
      <c r="L283" s="28">
        <f t="shared" si="48"/>
        <v>1.3000835840153717E-3</v>
      </c>
      <c r="N283" s="27">
        <f t="shared" ca="1" si="49"/>
        <v>10968.85237398702</v>
      </c>
      <c r="O283" s="27">
        <f t="shared" ca="1" si="50"/>
        <v>9339.175025415796</v>
      </c>
      <c r="P283" s="27">
        <f t="shared" ca="1" si="51"/>
        <v>6191.4113660461389</v>
      </c>
      <c r="Q283" s="27">
        <f t="shared" ca="1" si="52"/>
        <v>111.56153999022675</v>
      </c>
      <c r="T283" s="25">
        <f t="shared" ca="1" si="53"/>
        <v>9875418.2012408804</v>
      </c>
      <c r="V283" s="25">
        <f t="shared" ca="1" si="54"/>
        <v>-124581.79875911959</v>
      </c>
      <c r="X283" s="14">
        <v>1043.1438878867775</v>
      </c>
    </row>
    <row r="284" spans="1:24">
      <c r="A284" s="1">
        <v>280</v>
      </c>
      <c r="B284" s="9">
        <v>39371</v>
      </c>
      <c r="C284" s="37">
        <v>13912.94</v>
      </c>
      <c r="D284" s="38">
        <v>13439.596169999999</v>
      </c>
      <c r="E284" s="38">
        <v>8174.3488108720267</v>
      </c>
      <c r="F284" s="38">
        <v>147.01827228274857</v>
      </c>
      <c r="I284" s="28">
        <f t="shared" si="45"/>
        <v>-5.1516831778727493E-3</v>
      </c>
      <c r="J284" s="28">
        <f t="shared" si="46"/>
        <v>-9.6118151601387661E-3</v>
      </c>
      <c r="K284" s="28">
        <f t="shared" si="47"/>
        <v>-1.0537183864446501E-2</v>
      </c>
      <c r="L284" s="28">
        <f t="shared" si="48"/>
        <v>-5.1626853238798927E-3</v>
      </c>
      <c r="N284" s="27">
        <f t="shared" ca="1" si="49"/>
        <v>11076.549084502301</v>
      </c>
      <c r="O284" s="27">
        <f t="shared" ca="1" si="50"/>
        <v>9639.3087110216511</v>
      </c>
      <c r="P284" s="27">
        <f t="shared" ca="1" si="51"/>
        <v>5918.4094938705512</v>
      </c>
      <c r="Q284" s="27">
        <f t="shared" ca="1" si="52"/>
        <v>108.60419564585145</v>
      </c>
      <c r="T284" s="25">
        <f t="shared" ca="1" si="53"/>
        <v>9911840.3792284355</v>
      </c>
      <c r="V284" s="25">
        <f t="shared" ca="1" si="54"/>
        <v>-88159.620771564543</v>
      </c>
      <c r="X284" s="14">
        <v>1236.1507654581219</v>
      </c>
    </row>
    <row r="285" spans="1:24">
      <c r="A285" s="1">
        <v>281</v>
      </c>
      <c r="B285" s="9">
        <v>39372</v>
      </c>
      <c r="C285" s="37">
        <v>13892.54</v>
      </c>
      <c r="D285" s="38">
        <v>13607.149289999999</v>
      </c>
      <c r="E285" s="38">
        <v>8260.6473594548552</v>
      </c>
      <c r="F285" s="38">
        <v>145.31462118615016</v>
      </c>
      <c r="I285" s="28">
        <f t="shared" si="45"/>
        <v>-1.467336917775281E-3</v>
      </c>
      <c r="J285" s="28">
        <f t="shared" si="46"/>
        <v>1.2390049938703782E-2</v>
      </c>
      <c r="K285" s="28">
        <f t="shared" si="47"/>
        <v>1.0501899829102553E-2</v>
      </c>
      <c r="L285" s="28">
        <f t="shared" si="48"/>
        <v>-1.1655687211964531E-2</v>
      </c>
      <c r="N285" s="27">
        <f t="shared" ca="1" si="49"/>
        <v>10693.838566341467</v>
      </c>
      <c r="O285" s="27">
        <f t="shared" ca="1" si="50"/>
        <v>9310.6134222020537</v>
      </c>
      <c r="P285" s="27">
        <f t="shared" ca="1" si="51"/>
        <v>6209.9921461519898</v>
      </c>
      <c r="Q285" s="27">
        <f t="shared" ca="1" si="52"/>
        <v>113.00866437175758</v>
      </c>
      <c r="T285" s="25">
        <f t="shared" ca="1" si="53"/>
        <v>9795337.6506794523</v>
      </c>
      <c r="V285" s="25">
        <f t="shared" ca="1" si="54"/>
        <v>-204662.34932054766</v>
      </c>
      <c r="X285" s="14">
        <v>1558.042326560244</v>
      </c>
    </row>
    <row r="286" spans="1:24">
      <c r="A286" s="1">
        <v>282</v>
      </c>
      <c r="B286" s="9">
        <v>39373</v>
      </c>
      <c r="C286" s="37">
        <v>13888.96</v>
      </c>
      <c r="D286" s="38">
        <v>13525.47616</v>
      </c>
      <c r="E286" s="38">
        <v>8236.5609825764059</v>
      </c>
      <c r="F286" s="38">
        <v>147.88700613815163</v>
      </c>
      <c r="I286" s="28">
        <f t="shared" si="45"/>
        <v>-2.577254662144589E-4</v>
      </c>
      <c r="J286" s="28">
        <f t="shared" si="46"/>
        <v>-6.0203076794869588E-3</v>
      </c>
      <c r="K286" s="28">
        <f t="shared" si="47"/>
        <v>-2.9200569567787334E-3</v>
      </c>
      <c r="L286" s="28">
        <f t="shared" si="48"/>
        <v>1.7547317046196595E-2</v>
      </c>
      <c r="N286" s="27">
        <f t="shared" ca="1" si="49"/>
        <v>10697.422488964796</v>
      </c>
      <c r="O286" s="27">
        <f t="shared" ca="1" si="50"/>
        <v>9673.2830923120309</v>
      </c>
      <c r="P286" s="27">
        <f t="shared" ca="1" si="51"/>
        <v>6202.8437032365255</v>
      </c>
      <c r="Q286" s="27">
        <f t="shared" ca="1" si="52"/>
        <v>115.80692413478174</v>
      </c>
      <c r="T286" s="25">
        <f t="shared" ca="1" si="53"/>
        <v>9958425.6646460742</v>
      </c>
      <c r="V286" s="25">
        <f t="shared" ca="1" si="54"/>
        <v>-41574.335353925824</v>
      </c>
      <c r="X286" s="14">
        <v>1906.7029977422208</v>
      </c>
    </row>
    <row r="287" spans="1:24">
      <c r="A287" s="1">
        <v>283</v>
      </c>
      <c r="B287" s="9">
        <v>39374</v>
      </c>
      <c r="C287" s="37">
        <v>13522.02</v>
      </c>
      <c r="D287" s="38">
        <v>13354.777819999998</v>
      </c>
      <c r="E287" s="38">
        <v>8178.4869639549788</v>
      </c>
      <c r="F287" s="38">
        <v>146.2882373412215</v>
      </c>
      <c r="I287" s="28">
        <f t="shared" si="45"/>
        <v>-2.677481221443883E-2</v>
      </c>
      <c r="J287" s="28">
        <f t="shared" si="46"/>
        <v>-1.2700820070010574E-2</v>
      </c>
      <c r="K287" s="28">
        <f t="shared" si="47"/>
        <v>-7.0757345461271992E-3</v>
      </c>
      <c r="L287" s="28">
        <f t="shared" si="48"/>
        <v>-1.0869606286235919E-2</v>
      </c>
      <c r="N287" s="27">
        <f t="shared" ca="1" si="49"/>
        <v>11141.109230490581</v>
      </c>
      <c r="O287" s="27">
        <f t="shared" ca="1" si="50"/>
        <v>9641.7427473690241</v>
      </c>
      <c r="P287" s="27">
        <f t="shared" ca="1" si="51"/>
        <v>6038.7060648834204</v>
      </c>
      <c r="Q287" s="27">
        <f t="shared" ca="1" si="52"/>
        <v>114.0992071933528</v>
      </c>
      <c r="T287" s="25">
        <f t="shared" ca="1" si="53"/>
        <v>10052842.067818131</v>
      </c>
      <c r="V287" s="25">
        <f t="shared" ca="1" si="54"/>
        <v>52842.067818131298</v>
      </c>
      <c r="X287" s="14">
        <v>2619.6263642199337</v>
      </c>
    </row>
    <row r="288" spans="1:24">
      <c r="A288" s="1">
        <v>284</v>
      </c>
      <c r="B288" s="9">
        <v>39377</v>
      </c>
      <c r="C288" s="37">
        <v>13566.97</v>
      </c>
      <c r="D288" s="38">
        <v>13096.876680000001</v>
      </c>
      <c r="E288" s="38">
        <v>8008.5867873815259</v>
      </c>
      <c r="F288" s="38">
        <v>144.12125197264598</v>
      </c>
      <c r="I288" s="28">
        <f t="shared" si="45"/>
        <v>3.3186945143101163E-3</v>
      </c>
      <c r="J288" s="28">
        <f t="shared" si="46"/>
        <v>-1.9500429551627389E-2</v>
      </c>
      <c r="K288" s="28">
        <f t="shared" si="47"/>
        <v>-2.0992851298379675E-2</v>
      </c>
      <c r="L288" s="28">
        <f t="shared" si="48"/>
        <v>-1.4923930987693517E-2</v>
      </c>
      <c r="N288" s="27">
        <f t="shared" ca="1" si="49"/>
        <v>11053.484302133149</v>
      </c>
      <c r="O288" s="27">
        <f t="shared" ca="1" si="50"/>
        <v>9472.9484330197611</v>
      </c>
      <c r="P288" s="27">
        <f t="shared" ca="1" si="51"/>
        <v>6254.8644738493776</v>
      </c>
      <c r="Q288" s="27">
        <f t="shared" ca="1" si="52"/>
        <v>111.61872013236186</v>
      </c>
      <c r="T288" s="25">
        <f t="shared" ca="1" si="53"/>
        <v>9959183.8373264596</v>
      </c>
      <c r="V288" s="25">
        <f t="shared" ca="1" si="54"/>
        <v>-40816.162673540413</v>
      </c>
      <c r="X288" s="14">
        <v>3077.171224558726</v>
      </c>
    </row>
    <row r="289" spans="1:24">
      <c r="A289" s="1">
        <v>285</v>
      </c>
      <c r="B289" s="9">
        <v>39378</v>
      </c>
      <c r="C289" s="37">
        <v>13676.23</v>
      </c>
      <c r="D289" s="38">
        <v>13343.277599999999</v>
      </c>
      <c r="E289" s="38">
        <v>8126.8518518518522</v>
      </c>
      <c r="F289" s="38">
        <v>143.46019011075262</v>
      </c>
      <c r="I289" s="28">
        <f t="shared" si="45"/>
        <v>8.0211271657692797E-3</v>
      </c>
      <c r="J289" s="28">
        <f t="shared" si="46"/>
        <v>1.8638927054134061E-2</v>
      </c>
      <c r="K289" s="28">
        <f t="shared" si="47"/>
        <v>1.46593079978821E-2</v>
      </c>
      <c r="L289" s="28">
        <f t="shared" si="48"/>
        <v>-4.5973969770607345E-3</v>
      </c>
      <c r="N289" s="27">
        <f t="shared" ca="1" si="49"/>
        <v>10972.333174389101</v>
      </c>
      <c r="O289" s="27">
        <f t="shared" ca="1" si="50"/>
        <v>9679.8970044898251</v>
      </c>
      <c r="P289" s="27">
        <f t="shared" ca="1" si="51"/>
        <v>6109.7819299714365</v>
      </c>
      <c r="Q289" s="27">
        <f t="shared" ca="1" si="52"/>
        <v>113.70564069152601</v>
      </c>
      <c r="T289" s="25">
        <f t="shared" ca="1" si="53"/>
        <v>10008001.478280427</v>
      </c>
      <c r="V289" s="25">
        <f t="shared" ca="1" si="54"/>
        <v>8001.4782804269344</v>
      </c>
      <c r="X289" s="14">
        <v>3683.0590796452016</v>
      </c>
    </row>
    <row r="290" spans="1:24">
      <c r="A290" s="1">
        <v>286</v>
      </c>
      <c r="B290" s="9">
        <v>39379</v>
      </c>
      <c r="C290" s="37">
        <v>13675.25</v>
      </c>
      <c r="D290" s="38">
        <v>13267.357600000001</v>
      </c>
      <c r="E290" s="38">
        <v>8073.2252098449289</v>
      </c>
      <c r="F290" s="38">
        <v>143.39402173913044</v>
      </c>
      <c r="I290" s="28">
        <f t="shared" si="45"/>
        <v>-7.1659742026267985E-5</v>
      </c>
      <c r="J290" s="28">
        <f t="shared" si="46"/>
        <v>-5.7060047921444271E-3</v>
      </c>
      <c r="K290" s="28">
        <f t="shared" si="47"/>
        <v>-6.6205657766081E-3</v>
      </c>
      <c r="L290" s="28">
        <f t="shared" si="48"/>
        <v>-4.6133799025667677E-4</v>
      </c>
      <c r="N290" s="27">
        <f t="shared" ca="1" si="49"/>
        <v>10761.204783327648</v>
      </c>
      <c r="O290" s="27">
        <f t="shared" ca="1" si="50"/>
        <v>9746.9675422129476</v>
      </c>
      <c r="P290" s="27">
        <f t="shared" ca="1" si="51"/>
        <v>6412.6333010277131</v>
      </c>
      <c r="Q290" s="27">
        <f t="shared" ca="1" si="52"/>
        <v>113.61128626139714</v>
      </c>
      <c r="T290" s="25">
        <f t="shared" ca="1" si="53"/>
        <v>9999512.1934848707</v>
      </c>
      <c r="V290" s="25">
        <f t="shared" ca="1" si="54"/>
        <v>-487.80651512928307</v>
      </c>
      <c r="X290" s="14">
        <v>4625.08090066351</v>
      </c>
    </row>
    <row r="291" spans="1:24">
      <c r="A291" s="1">
        <v>287</v>
      </c>
      <c r="B291" s="9">
        <v>39380</v>
      </c>
      <c r="C291" s="37">
        <v>13671.92</v>
      </c>
      <c r="D291" s="38">
        <v>13479.442110000002</v>
      </c>
      <c r="E291" s="38">
        <v>8240.7725321888429</v>
      </c>
      <c r="F291" s="38">
        <v>142.53102844638948</v>
      </c>
      <c r="I291" s="28">
        <f t="shared" si="45"/>
        <v>-2.435352554913565E-4</v>
      </c>
      <c r="J291" s="28">
        <f t="shared" si="46"/>
        <v>1.5859015461044526E-2</v>
      </c>
      <c r="K291" s="28">
        <f t="shared" si="47"/>
        <v>2.0541036735926287E-2</v>
      </c>
      <c r="L291" s="28">
        <f t="shared" si="48"/>
        <v>-6.0365184006811682E-3</v>
      </c>
      <c r="N291" s="27">
        <f t="shared" ca="1" si="49"/>
        <v>11036.481875721174</v>
      </c>
      <c r="O291" s="27">
        <f t="shared" ca="1" si="50"/>
        <v>9751.721087457483</v>
      </c>
      <c r="P291" s="27">
        <f t="shared" ca="1" si="51"/>
        <v>6176.8570002758788</v>
      </c>
      <c r="Q291" s="27">
        <f t="shared" ca="1" si="52"/>
        <v>112.36473073992806</v>
      </c>
      <c r="T291" s="25">
        <f t="shared" ca="1" si="53"/>
        <v>10040774.38587191</v>
      </c>
      <c r="V291" s="25">
        <f t="shared" ca="1" si="54"/>
        <v>40774.385871909559</v>
      </c>
      <c r="X291" s="14">
        <v>5141.5647721923888</v>
      </c>
    </row>
    <row r="292" spans="1:24">
      <c r="A292" s="1">
        <v>288</v>
      </c>
      <c r="B292" s="9">
        <v>39381</v>
      </c>
      <c r="C292" s="37">
        <v>13806.7</v>
      </c>
      <c r="D292" s="38">
        <v>13670.985989999999</v>
      </c>
      <c r="E292" s="38">
        <v>8337.9424460431655</v>
      </c>
      <c r="F292" s="38">
        <v>144.59597021462989</v>
      </c>
      <c r="I292" s="28">
        <f t="shared" si="45"/>
        <v>9.8098871679289656E-3</v>
      </c>
      <c r="J292" s="28">
        <f t="shared" si="46"/>
        <v>1.4110058023114352E-2</v>
      </c>
      <c r="K292" s="28">
        <f t="shared" si="47"/>
        <v>1.172238339225256E-2</v>
      </c>
      <c r="L292" s="28">
        <f t="shared" si="48"/>
        <v>1.4383721344993871E-2</v>
      </c>
      <c r="N292" s="27">
        <f t="shared" ca="1" si="49"/>
        <v>11006.117184674866</v>
      </c>
      <c r="O292" s="27">
        <f t="shared" ca="1" si="50"/>
        <v>9518.6518786954512</v>
      </c>
      <c r="P292" s="27">
        <f t="shared" ca="1" si="51"/>
        <v>6128.7746910145161</v>
      </c>
      <c r="Q292" s="27">
        <f t="shared" ca="1" si="52"/>
        <v>112.42642360931747</v>
      </c>
      <c r="T292" s="25">
        <f t="shared" ca="1" si="53"/>
        <v>9950258.795741275</v>
      </c>
      <c r="V292" s="25">
        <f t="shared" ca="1" si="54"/>
        <v>-49741.204258725047</v>
      </c>
      <c r="X292" s="14">
        <v>5520.3592507168651</v>
      </c>
    </row>
    <row r="293" spans="1:24">
      <c r="A293" s="1">
        <v>289</v>
      </c>
      <c r="B293" s="9">
        <v>39384</v>
      </c>
      <c r="C293" s="37">
        <v>13870.26</v>
      </c>
      <c r="D293" s="38">
        <v>13820.395400000001</v>
      </c>
      <c r="E293" s="38">
        <v>8407.0728896571582</v>
      </c>
      <c r="F293" s="38">
        <v>145.58047079337402</v>
      </c>
      <c r="I293" s="28">
        <f t="shared" si="45"/>
        <v>4.5929980558910705E-3</v>
      </c>
      <c r="J293" s="28">
        <f t="shared" si="46"/>
        <v>1.0869652487048241E-2</v>
      </c>
      <c r="K293" s="28">
        <f t="shared" si="47"/>
        <v>8.2568854051933271E-3</v>
      </c>
      <c r="L293" s="28">
        <f t="shared" si="48"/>
        <v>6.7855567656148379E-3</v>
      </c>
      <c r="N293" s="27">
        <f t="shared" ca="1" si="49"/>
        <v>10963.578954206432</v>
      </c>
      <c r="O293" s="27">
        <f t="shared" ca="1" si="50"/>
        <v>9609.5859895415051</v>
      </c>
      <c r="P293" s="27">
        <f t="shared" ca="1" si="51"/>
        <v>6357.4868123336046</v>
      </c>
      <c r="Q293" s="27">
        <f t="shared" ca="1" si="52"/>
        <v>114.087274029553</v>
      </c>
      <c r="T293" s="25">
        <f t="shared" ca="1" si="53"/>
        <v>10029567.142266262</v>
      </c>
      <c r="V293" s="25">
        <f t="shared" ca="1" si="54"/>
        <v>29567.142266262323</v>
      </c>
      <c r="X293" s="14">
        <v>5912.3063145056367</v>
      </c>
    </row>
    <row r="294" spans="1:24">
      <c r="A294" s="1">
        <v>290</v>
      </c>
      <c r="B294" s="9">
        <v>39385</v>
      </c>
      <c r="C294" s="37">
        <v>13792.47</v>
      </c>
      <c r="D294" s="38">
        <v>13764.8189</v>
      </c>
      <c r="E294" s="38">
        <v>8371.4553584306941</v>
      </c>
      <c r="F294" s="38">
        <v>145.14478730822873</v>
      </c>
      <c r="I294" s="28">
        <f t="shared" si="45"/>
        <v>-5.6241885779945693E-3</v>
      </c>
      <c r="J294" s="28">
        <f t="shared" si="46"/>
        <v>-4.0294466878240641E-3</v>
      </c>
      <c r="K294" s="28">
        <f t="shared" si="47"/>
        <v>-4.245614895542117E-3</v>
      </c>
      <c r="L294" s="28">
        <f t="shared" si="48"/>
        <v>-2.997220221920499E-3</v>
      </c>
      <c r="N294" s="27">
        <f t="shared" ca="1" si="49"/>
        <v>11119.983022082395</v>
      </c>
      <c r="O294" s="27">
        <f t="shared" ca="1" si="50"/>
        <v>9771.2105713294404</v>
      </c>
      <c r="P294" s="27">
        <f t="shared" ca="1" si="51"/>
        <v>6220.3112999345831</v>
      </c>
      <c r="Q294" s="27">
        <f t="shared" ca="1" si="52"/>
        <v>111.54431177718678</v>
      </c>
      <c r="T294" s="25">
        <f t="shared" ca="1" si="53"/>
        <v>10069632.92217741</v>
      </c>
      <c r="V294" s="25">
        <f t="shared" ca="1" si="54"/>
        <v>69632.922177409753</v>
      </c>
      <c r="X294" s="14">
        <v>6838.7719009034336</v>
      </c>
    </row>
    <row r="295" spans="1:24">
      <c r="A295" s="1">
        <v>291</v>
      </c>
      <c r="B295" s="9">
        <v>39386</v>
      </c>
      <c r="C295" s="37">
        <v>13930.01</v>
      </c>
      <c r="D295" s="38">
        <v>13963.45184</v>
      </c>
      <c r="E295" s="38">
        <v>8461.8000289393713</v>
      </c>
      <c r="F295" s="38">
        <v>145.1785063752277</v>
      </c>
      <c r="I295" s="28">
        <f t="shared" si="45"/>
        <v>9.9227145996235097E-3</v>
      </c>
      <c r="J295" s="28">
        <f t="shared" si="46"/>
        <v>1.4327351293015914E-2</v>
      </c>
      <c r="K295" s="28">
        <f t="shared" si="47"/>
        <v>1.0734173029039824E-2</v>
      </c>
      <c r="L295" s="28">
        <f t="shared" si="48"/>
        <v>2.3228633653728557E-4</v>
      </c>
      <c r="N295" s="27">
        <f t="shared" ca="1" si="49"/>
        <v>11020.956998526673</v>
      </c>
      <c r="O295" s="27">
        <f t="shared" ca="1" si="50"/>
        <v>9789.520221869996</v>
      </c>
      <c r="P295" s="27">
        <f t="shared" ca="1" si="51"/>
        <v>6310.2250195395782</v>
      </c>
      <c r="Q295" s="27">
        <f t="shared" ca="1" si="52"/>
        <v>109.78148854867696</v>
      </c>
      <c r="T295" s="25">
        <f t="shared" ca="1" si="53"/>
        <v>10022669.039686617</v>
      </c>
      <c r="V295" s="25">
        <f t="shared" ca="1" si="54"/>
        <v>22669.03968661651</v>
      </c>
      <c r="X295" s="14">
        <v>6995.7805323433131</v>
      </c>
    </row>
    <row r="296" spans="1:24">
      <c r="A296" s="1">
        <v>292</v>
      </c>
      <c r="B296" s="9">
        <v>39387</v>
      </c>
      <c r="C296" s="37">
        <v>13567.87</v>
      </c>
      <c r="D296" s="38">
        <v>13710.284370000001</v>
      </c>
      <c r="E296" s="38">
        <v>8273.3073480583225</v>
      </c>
      <c r="F296" s="38">
        <v>146.8523676880223</v>
      </c>
      <c r="I296" s="28">
        <f t="shared" si="45"/>
        <v>-2.634100803082522E-2</v>
      </c>
      <c r="J296" s="28">
        <f t="shared" si="46"/>
        <v>-1.8297098091128713E-2</v>
      </c>
      <c r="K296" s="28">
        <f t="shared" si="47"/>
        <v>-2.2527570107795665E-2</v>
      </c>
      <c r="L296" s="28">
        <f t="shared" si="48"/>
        <v>1.1463716973416043E-2</v>
      </c>
      <c r="N296" s="27">
        <f t="shared" ca="1" si="49"/>
        <v>10882.075568835055</v>
      </c>
      <c r="O296" s="27">
        <f t="shared" ca="1" si="50"/>
        <v>9618.5701543867563</v>
      </c>
      <c r="P296" s="27">
        <f t="shared" ca="1" si="51"/>
        <v>6053.5655832769953</v>
      </c>
      <c r="Q296" s="27">
        <f t="shared" ca="1" si="52"/>
        <v>115.05477240411726</v>
      </c>
      <c r="T296" s="25">
        <f t="shared" ca="1" si="53"/>
        <v>9970930.8881406169</v>
      </c>
      <c r="V296" s="25">
        <f t="shared" ca="1" si="54"/>
        <v>-29069.111859383062</v>
      </c>
      <c r="X296" s="14">
        <v>7039.7770459149033</v>
      </c>
    </row>
    <row r="297" spans="1:24">
      <c r="A297" s="1">
        <v>293</v>
      </c>
      <c r="B297" s="9">
        <v>39388</v>
      </c>
      <c r="C297" s="37">
        <v>13595.1</v>
      </c>
      <c r="D297" s="38">
        <v>13596.709199999999</v>
      </c>
      <c r="E297" s="38">
        <v>8284.4605358435911</v>
      </c>
      <c r="F297" s="38">
        <v>143.93063785291042</v>
      </c>
      <c r="I297" s="28">
        <f t="shared" si="45"/>
        <v>2.0049360671181137E-3</v>
      </c>
      <c r="J297" s="28">
        <f t="shared" si="46"/>
        <v>-8.3184422792608684E-3</v>
      </c>
      <c r="K297" s="28">
        <f t="shared" si="47"/>
        <v>1.3471851460057731E-3</v>
      </c>
      <c r="L297" s="28">
        <f t="shared" si="48"/>
        <v>-2.009627873495742E-2</v>
      </c>
      <c r="N297" s="27">
        <f t="shared" ca="1" si="49"/>
        <v>10930.693784825791</v>
      </c>
      <c r="O297" s="27">
        <f t="shared" ca="1" si="50"/>
        <v>9514.1320951136513</v>
      </c>
      <c r="P297" s="27">
        <f t="shared" ca="1" si="51"/>
        <v>6292.3129273651211</v>
      </c>
      <c r="Q297" s="27">
        <f t="shared" ca="1" si="52"/>
        <v>112.18079255963129</v>
      </c>
      <c r="T297" s="25">
        <f t="shared" ca="1" si="53"/>
        <v>9943495.6938609071</v>
      </c>
      <c r="V297" s="25">
        <f t="shared" ca="1" si="54"/>
        <v>-56504.306139092892</v>
      </c>
      <c r="X297" s="14">
        <v>7287.4981074556708</v>
      </c>
    </row>
    <row r="298" spans="1:24">
      <c r="A298" s="1">
        <v>294</v>
      </c>
      <c r="B298" s="9">
        <v>39391</v>
      </c>
      <c r="C298" s="37">
        <v>13543.4</v>
      </c>
      <c r="D298" s="38">
        <v>13443.588839999999</v>
      </c>
      <c r="E298" s="38">
        <v>8225.4666473737507</v>
      </c>
      <c r="F298" s="38">
        <v>142.08663755458517</v>
      </c>
      <c r="I298" s="28">
        <f t="shared" si="45"/>
        <v>-3.81008991234854E-3</v>
      </c>
      <c r="J298" s="28">
        <f t="shared" si="46"/>
        <v>-1.1325466638754009E-2</v>
      </c>
      <c r="K298" s="28">
        <f t="shared" si="47"/>
        <v>-7.1465051172625912E-3</v>
      </c>
      <c r="L298" s="28">
        <f t="shared" si="48"/>
        <v>-1.2894506777799101E-2</v>
      </c>
      <c r="N298" s="27">
        <f t="shared" ca="1" si="49"/>
        <v>11187.974616157635</v>
      </c>
      <c r="O298" s="27">
        <f t="shared" ca="1" si="50"/>
        <v>9547.988957517533</v>
      </c>
      <c r="P298" s="27">
        <f t="shared" ca="1" si="51"/>
        <v>6112.6669222736264</v>
      </c>
      <c r="Q298" s="27">
        <f t="shared" ca="1" si="52"/>
        <v>111.79934184793534</v>
      </c>
      <c r="T298" s="25">
        <f t="shared" ca="1" si="53"/>
        <v>10011710.197439466</v>
      </c>
      <c r="V298" s="25">
        <f t="shared" ca="1" si="54"/>
        <v>11710.197439465672</v>
      </c>
      <c r="X298" s="14">
        <v>7388.1833214201033</v>
      </c>
    </row>
    <row r="299" spans="1:24">
      <c r="A299" s="1">
        <v>295</v>
      </c>
      <c r="B299" s="9">
        <v>39392</v>
      </c>
      <c r="C299" s="37">
        <v>13660.94</v>
      </c>
      <c r="D299" s="38">
        <v>13517.00124</v>
      </c>
      <c r="E299" s="38">
        <v>8308.2363213038407</v>
      </c>
      <c r="F299" s="38">
        <v>142.15405476336278</v>
      </c>
      <c r="I299" s="28">
        <f t="shared" si="45"/>
        <v>8.6413220402115562E-3</v>
      </c>
      <c r="J299" s="28">
        <f t="shared" si="46"/>
        <v>5.4459180026076928E-3</v>
      </c>
      <c r="K299" s="28">
        <f t="shared" si="47"/>
        <v>1.0012320353601988E-2</v>
      </c>
      <c r="L299" s="28">
        <f t="shared" si="48"/>
        <v>4.7436705485078717E-4</v>
      </c>
      <c r="N299" s="27">
        <f t="shared" ca="1" si="49"/>
        <v>11033.596389150129</v>
      </c>
      <c r="O299" s="27">
        <f t="shared" ca="1" si="50"/>
        <v>9506.3059309848104</v>
      </c>
      <c r="P299" s="27">
        <f t="shared" ca="1" si="51"/>
        <v>6199.1816196473783</v>
      </c>
      <c r="Q299" s="27">
        <f t="shared" ca="1" si="52"/>
        <v>112.72225099963411</v>
      </c>
      <c r="T299" s="25">
        <f t="shared" ca="1" si="53"/>
        <v>9972972.4539316054</v>
      </c>
      <c r="V299" s="25">
        <f t="shared" ca="1" si="54"/>
        <v>-27027.546068394557</v>
      </c>
      <c r="X299" s="14">
        <v>7937.9440375808626</v>
      </c>
    </row>
    <row r="300" spans="1:24">
      <c r="A300" s="1">
        <v>296</v>
      </c>
      <c r="B300" s="9">
        <v>39393</v>
      </c>
      <c r="C300" s="37">
        <v>13300.02</v>
      </c>
      <c r="D300" s="38">
        <v>13434.250400000001</v>
      </c>
      <c r="E300" s="38">
        <v>8335.6116163097686</v>
      </c>
      <c r="F300" s="38">
        <v>142.13403973509935</v>
      </c>
      <c r="I300" s="28">
        <f t="shared" si="45"/>
        <v>-2.6775126844726507E-2</v>
      </c>
      <c r="J300" s="28">
        <f t="shared" si="46"/>
        <v>-6.1407982935695648E-3</v>
      </c>
      <c r="K300" s="28">
        <f t="shared" si="47"/>
        <v>3.289542153281819E-3</v>
      </c>
      <c r="L300" s="28">
        <f t="shared" si="48"/>
        <v>-1.4080806536624152E-4</v>
      </c>
      <c r="N300" s="27">
        <f t="shared" ca="1" si="49"/>
        <v>11143.063800632752</v>
      </c>
      <c r="O300" s="27">
        <f t="shared" ca="1" si="50"/>
        <v>9657.1260748320456</v>
      </c>
      <c r="P300" s="27">
        <f t="shared" ca="1" si="51"/>
        <v>6159.118120567683</v>
      </c>
      <c r="Q300" s="27">
        <f t="shared" ca="1" si="52"/>
        <v>114.56741755553078</v>
      </c>
      <c r="T300" s="25">
        <f t="shared" ca="1" si="53"/>
        <v>10086078.772042688</v>
      </c>
      <c r="V300" s="25">
        <f t="shared" ca="1" si="54"/>
        <v>86078.772042687982</v>
      </c>
      <c r="X300" s="14">
        <v>8818.0353431608528</v>
      </c>
    </row>
    <row r="301" spans="1:24">
      <c r="A301" s="1">
        <v>297</v>
      </c>
      <c r="B301" s="9">
        <v>39394</v>
      </c>
      <c r="C301" s="37">
        <v>13266.29</v>
      </c>
      <c r="D301" s="38">
        <v>13453.683389999998</v>
      </c>
      <c r="E301" s="38">
        <v>8272.0769682726204</v>
      </c>
      <c r="F301" s="38">
        <v>139.86848173111031</v>
      </c>
      <c r="I301" s="28">
        <f t="shared" si="45"/>
        <v>-2.5393077265518475E-3</v>
      </c>
      <c r="J301" s="28">
        <f t="shared" si="46"/>
        <v>1.4454806037090403E-3</v>
      </c>
      <c r="K301" s="28">
        <f t="shared" si="47"/>
        <v>-7.6512703940371163E-3</v>
      </c>
      <c r="L301" s="28">
        <f t="shared" si="48"/>
        <v>-1.6067989289833721E-2</v>
      </c>
      <c r="N301" s="27">
        <f t="shared" ca="1" si="49"/>
        <v>10983.832757097725</v>
      </c>
      <c r="O301" s="27">
        <f t="shared" ca="1" si="50"/>
        <v>9468.195590630181</v>
      </c>
      <c r="P301" s="27">
        <f t="shared" ca="1" si="51"/>
        <v>5995.3589550845227</v>
      </c>
      <c r="Q301" s="27">
        <f t="shared" ca="1" si="52"/>
        <v>113.20119641707637</v>
      </c>
      <c r="T301" s="25">
        <f t="shared" ca="1" si="53"/>
        <v>9918620.9498738162</v>
      </c>
      <c r="V301" s="25">
        <f t="shared" ca="1" si="54"/>
        <v>-81379.050126183778</v>
      </c>
      <c r="X301" s="14">
        <v>9430.7408436965197</v>
      </c>
    </row>
    <row r="302" spans="1:24">
      <c r="A302" s="1">
        <v>298</v>
      </c>
      <c r="B302" s="9">
        <v>39395</v>
      </c>
      <c r="C302" s="37">
        <v>13042.74</v>
      </c>
      <c r="D302" s="38">
        <v>13207.50452</v>
      </c>
      <c r="E302" s="38">
        <v>8108.2929693233527</v>
      </c>
      <c r="F302" s="38">
        <v>140.83524627202891</v>
      </c>
      <c r="I302" s="28">
        <f t="shared" si="45"/>
        <v>-1.6994574134213136E-2</v>
      </c>
      <c r="J302" s="28">
        <f t="shared" si="46"/>
        <v>-1.8467734262088916E-2</v>
      </c>
      <c r="K302" s="28">
        <f t="shared" si="47"/>
        <v>-1.9998261095957499E-2</v>
      </c>
      <c r="L302" s="28">
        <f t="shared" si="48"/>
        <v>6.8881761585215268E-3</v>
      </c>
      <c r="N302" s="27">
        <f t="shared" ca="1" si="49"/>
        <v>10917.370767477028</v>
      </c>
      <c r="O302" s="27">
        <f t="shared" ca="1" si="50"/>
        <v>9653.4475208856256</v>
      </c>
      <c r="P302" s="27">
        <f t="shared" ca="1" si="51"/>
        <v>6227.6645523891875</v>
      </c>
      <c r="Q302" s="27">
        <f t="shared" ca="1" si="52"/>
        <v>110.68173734638883</v>
      </c>
      <c r="T302" s="25">
        <f t="shared" ca="1" si="53"/>
        <v>9945196.9147876501</v>
      </c>
      <c r="V302" s="25">
        <f t="shared" ca="1" si="54"/>
        <v>-54803.085212349892</v>
      </c>
      <c r="X302" s="14">
        <v>9470.6128783747554</v>
      </c>
    </row>
    <row r="303" spans="1:24">
      <c r="A303" s="1">
        <v>299</v>
      </c>
      <c r="B303" s="9">
        <v>39398</v>
      </c>
      <c r="C303" s="37">
        <v>12987.55</v>
      </c>
      <c r="D303" s="38">
        <v>13051.00368</v>
      </c>
      <c r="E303" s="38">
        <v>8047.0417211804051</v>
      </c>
      <c r="F303" s="38">
        <v>138.9384713841653</v>
      </c>
      <c r="I303" s="28">
        <f t="shared" si="45"/>
        <v>-4.2404508516454562E-3</v>
      </c>
      <c r="J303" s="28">
        <f t="shared" si="46"/>
        <v>-1.1920151129987906E-2</v>
      </c>
      <c r="K303" s="28">
        <f t="shared" si="47"/>
        <v>-7.5828254638841E-3</v>
      </c>
      <c r="L303" s="28">
        <f t="shared" si="48"/>
        <v>-1.3559557814592503E-2</v>
      </c>
      <c r="N303" s="27">
        <f t="shared" ca="1" si="49"/>
        <v>11183.235362929761</v>
      </c>
      <c r="O303" s="27">
        <f t="shared" ca="1" si="50"/>
        <v>9537.4832406662263</v>
      </c>
      <c r="P303" s="27">
        <f t="shared" ca="1" si="51"/>
        <v>6104.0023039597099</v>
      </c>
      <c r="Q303" s="27">
        <f t="shared" ca="1" si="52"/>
        <v>113.49344486173837</v>
      </c>
      <c r="T303" s="25">
        <f t="shared" ca="1" si="53"/>
        <v>10035341.179136664</v>
      </c>
      <c r="V303" s="25">
        <f t="shared" ca="1" si="54"/>
        <v>35341.179136663675</v>
      </c>
      <c r="X303" s="14">
        <v>9970.3683889992535</v>
      </c>
    </row>
    <row r="304" spans="1:24">
      <c r="A304" s="1">
        <v>300</v>
      </c>
      <c r="B304" s="9">
        <v>39399</v>
      </c>
      <c r="C304" s="37">
        <v>13307.09</v>
      </c>
      <c r="D304" s="38">
        <v>13185.437759999999</v>
      </c>
      <c r="E304" s="38">
        <v>8088.3615654205605</v>
      </c>
      <c r="F304" s="38">
        <v>137.22788714506032</v>
      </c>
      <c r="I304" s="28">
        <f t="shared" si="45"/>
        <v>2.4305769622799907E-2</v>
      </c>
      <c r="J304" s="28">
        <f t="shared" si="46"/>
        <v>1.024797946320349E-2</v>
      </c>
      <c r="K304" s="28">
        <f t="shared" si="47"/>
        <v>5.1216488152052916E-3</v>
      </c>
      <c r="L304" s="28">
        <f t="shared" si="48"/>
        <v>-1.238822950669179E-2</v>
      </c>
      <c r="N304" s="27">
        <f t="shared" ca="1" si="49"/>
        <v>10866.858593039689</v>
      </c>
      <c r="O304" s="27">
        <f t="shared" ca="1" si="50"/>
        <v>9584.4706222223667</v>
      </c>
      <c r="P304" s="27">
        <f t="shared" ca="1" si="51"/>
        <v>6070.4959297445321</v>
      </c>
      <c r="Q304" s="27">
        <f t="shared" ca="1" si="52"/>
        <v>114.95038046064136</v>
      </c>
      <c r="T304" s="25">
        <f t="shared" ca="1" si="53"/>
        <v>9955632.2692004163</v>
      </c>
      <c r="V304" s="25">
        <f t="shared" ca="1" si="54"/>
        <v>-44367.730799583718</v>
      </c>
      <c r="X304" s="14">
        <v>10018.562276512384</v>
      </c>
    </row>
    <row r="305" spans="1:24">
      <c r="A305" s="1">
        <v>301</v>
      </c>
      <c r="B305" s="9">
        <v>39400</v>
      </c>
      <c r="C305" s="37">
        <v>13231.01</v>
      </c>
      <c r="D305" s="38">
        <v>13284.859340000001</v>
      </c>
      <c r="E305" s="38">
        <v>8248.0164560681751</v>
      </c>
      <c r="F305" s="38">
        <v>139.1342908438061</v>
      </c>
      <c r="I305" s="28">
        <f t="shared" si="45"/>
        <v>-5.7336590356060931E-3</v>
      </c>
      <c r="J305" s="28">
        <f t="shared" si="46"/>
        <v>7.5119706553714522E-3</v>
      </c>
      <c r="K305" s="28">
        <f t="shared" si="47"/>
        <v>1.9546557218001633E-2</v>
      </c>
      <c r="L305" s="28">
        <f t="shared" si="48"/>
        <v>1.3796634202217266E-2</v>
      </c>
      <c r="N305" s="27">
        <f t="shared" ca="1" si="49"/>
        <v>11044.720580879359</v>
      </c>
      <c r="O305" s="27">
        <f t="shared" ca="1" si="50"/>
        <v>9790.3070934841235</v>
      </c>
      <c r="P305" s="27">
        <f t="shared" ca="1" si="51"/>
        <v>6216.5181430831371</v>
      </c>
      <c r="Q305" s="27">
        <f t="shared" ca="1" si="52"/>
        <v>114.48583457930162</v>
      </c>
      <c r="T305" s="25">
        <f t="shared" ca="1" si="53"/>
        <v>10099819.937582105</v>
      </c>
      <c r="V305" s="25">
        <f t="shared" ca="1" si="54"/>
        <v>99819.937582105398</v>
      </c>
      <c r="X305" s="14">
        <v>10733.194129504263</v>
      </c>
    </row>
    <row r="306" spans="1:24">
      <c r="A306" s="1">
        <v>302</v>
      </c>
      <c r="B306" s="9">
        <v>39401</v>
      </c>
      <c r="C306" s="37">
        <v>13110.05</v>
      </c>
      <c r="D306" s="38">
        <v>13007.289880000002</v>
      </c>
      <c r="E306" s="38">
        <v>8133.8745063624401</v>
      </c>
      <c r="F306" s="38">
        <v>138.79293247994229</v>
      </c>
      <c r="I306" s="28">
        <f t="shared" si="45"/>
        <v>-9.1842052098912649E-3</v>
      </c>
      <c r="J306" s="28">
        <f t="shared" si="46"/>
        <v>-2.11150309802553E-2</v>
      </c>
      <c r="K306" s="28">
        <f t="shared" si="47"/>
        <v>-1.3935362786246387E-2</v>
      </c>
      <c r="L306" s="28">
        <f t="shared" si="48"/>
        <v>-2.4564598705615654E-3</v>
      </c>
      <c r="N306" s="27">
        <f t="shared" ca="1" si="49"/>
        <v>10844.798440161161</v>
      </c>
      <c r="O306" s="27">
        <f t="shared" ca="1" si="50"/>
        <v>9597.7764973908215</v>
      </c>
      <c r="P306" s="27">
        <f t="shared" ca="1" si="51"/>
        <v>6255.2072483214442</v>
      </c>
      <c r="Q306" s="27">
        <f t="shared" ca="1" si="52"/>
        <v>113.48007659616901</v>
      </c>
      <c r="T306" s="25">
        <f t="shared" ca="1" si="53"/>
        <v>9955510.7194993813</v>
      </c>
      <c r="V306" s="25">
        <f t="shared" ca="1" si="54"/>
        <v>-44489.280500618741</v>
      </c>
      <c r="X306" s="14">
        <v>10897.281797345728</v>
      </c>
    </row>
    <row r="307" spans="1:24">
      <c r="A307" s="1">
        <v>303</v>
      </c>
      <c r="B307" s="9">
        <v>39402</v>
      </c>
      <c r="C307" s="37">
        <v>13176.79</v>
      </c>
      <c r="D307" s="38">
        <v>12869.90784</v>
      </c>
      <c r="E307" s="38">
        <v>8082.5724319578576</v>
      </c>
      <c r="F307" s="38">
        <v>137.00940240484587</v>
      </c>
      <c r="I307" s="28">
        <f t="shared" si="45"/>
        <v>5.0778369255744344E-3</v>
      </c>
      <c r="J307" s="28">
        <f t="shared" si="46"/>
        <v>-1.0618099551165204E-2</v>
      </c>
      <c r="K307" s="28">
        <f t="shared" si="47"/>
        <v>-6.3271869292764547E-3</v>
      </c>
      <c r="L307" s="28">
        <f t="shared" si="48"/>
        <v>-1.2933573878444883E-2</v>
      </c>
      <c r="N307" s="27">
        <f t="shared" ca="1" si="49"/>
        <v>10913.420857402569</v>
      </c>
      <c r="O307" s="27">
        <f t="shared" ca="1" si="50"/>
        <v>9700.0869031372622</v>
      </c>
      <c r="P307" s="27">
        <f t="shared" ca="1" si="51"/>
        <v>6224.8992173025317</v>
      </c>
      <c r="Q307" s="27">
        <f t="shared" ca="1" si="52"/>
        <v>113.35439229923254</v>
      </c>
      <c r="T307" s="25">
        <f t="shared" ca="1" si="53"/>
        <v>10005270.634862728</v>
      </c>
      <c r="V307" s="25">
        <f t="shared" ca="1" si="54"/>
        <v>5270.6348627284169</v>
      </c>
      <c r="X307" s="14">
        <v>11011.542993880808</v>
      </c>
    </row>
    <row r="308" spans="1:24">
      <c r="A308" s="1">
        <v>304</v>
      </c>
      <c r="B308" s="9">
        <v>39405</v>
      </c>
      <c r="C308" s="37">
        <v>12958.44</v>
      </c>
      <c r="D308" s="38">
        <v>12559.26952</v>
      </c>
      <c r="E308" s="38">
        <v>7960.975967174677</v>
      </c>
      <c r="F308" s="38">
        <v>136.52713741150842</v>
      </c>
      <c r="I308" s="28">
        <f t="shared" si="45"/>
        <v>-1.670963526777856E-2</v>
      </c>
      <c r="J308" s="28">
        <f t="shared" si="46"/>
        <v>-2.4432860630165636E-2</v>
      </c>
      <c r="K308" s="28">
        <f t="shared" si="47"/>
        <v>-1.5158590873778698E-2</v>
      </c>
      <c r="L308" s="28">
        <f t="shared" si="48"/>
        <v>-3.5261504247838774E-3</v>
      </c>
      <c r="N308" s="27">
        <f t="shared" ca="1" si="49"/>
        <v>10834.938908398855</v>
      </c>
      <c r="O308" s="27">
        <f t="shared" ca="1" si="50"/>
        <v>9562.083904311954</v>
      </c>
      <c r="P308" s="27">
        <f t="shared" ca="1" si="51"/>
        <v>6167.0375440623129</v>
      </c>
      <c r="Q308" s="27">
        <f t="shared" ca="1" si="52"/>
        <v>111.42685213634329</v>
      </c>
      <c r="T308" s="25">
        <f t="shared" ca="1" si="53"/>
        <v>9890160.9944320768</v>
      </c>
      <c r="V308" s="25">
        <f t="shared" ca="1" si="54"/>
        <v>-109839.00556792319</v>
      </c>
      <c r="X308" s="14">
        <v>11023.674793794751</v>
      </c>
    </row>
    <row r="309" spans="1:24">
      <c r="A309" s="1">
        <v>305</v>
      </c>
      <c r="B309" s="9">
        <v>39406</v>
      </c>
      <c r="C309" s="37">
        <v>13010.14</v>
      </c>
      <c r="D309" s="38">
        <v>12855.231900000001</v>
      </c>
      <c r="E309" s="38">
        <v>8139.9556541019965</v>
      </c>
      <c r="F309" s="38">
        <v>138.08569353667394</v>
      </c>
      <c r="I309" s="28">
        <f t="shared" si="45"/>
        <v>3.9817401109643385E-3</v>
      </c>
      <c r="J309" s="28">
        <f t="shared" si="46"/>
        <v>2.3291880115348794E-2</v>
      </c>
      <c r="K309" s="28">
        <f t="shared" si="47"/>
        <v>2.2233130818619315E-2</v>
      </c>
      <c r="L309" s="28">
        <f t="shared" si="48"/>
        <v>1.1351056352956346E-2</v>
      </c>
      <c r="N309" s="27">
        <f t="shared" ca="1" si="49"/>
        <v>11042.629654667609</v>
      </c>
      <c r="O309" s="27">
        <f t="shared" ca="1" si="50"/>
        <v>9525.24539691475</v>
      </c>
      <c r="P309" s="27">
        <f t="shared" ca="1" si="51"/>
        <v>6188.5565585861923</v>
      </c>
      <c r="Q309" s="27">
        <f t="shared" ca="1" si="52"/>
        <v>114.18580565078112</v>
      </c>
      <c r="T309" s="25">
        <f t="shared" ca="1" si="53"/>
        <v>10006400.201944871</v>
      </c>
      <c r="V309" s="25">
        <f t="shared" ca="1" si="54"/>
        <v>6400.2019448708743</v>
      </c>
      <c r="X309" s="14">
        <v>11404.249653523788</v>
      </c>
    </row>
    <row r="310" spans="1:24">
      <c r="A310" s="1">
        <v>306</v>
      </c>
      <c r="B310" s="9">
        <v>39407</v>
      </c>
      <c r="C310" s="37">
        <v>12799.04</v>
      </c>
      <c r="D310" s="38">
        <v>12476.306589999998</v>
      </c>
      <c r="E310" s="38">
        <v>7978.2060785767235</v>
      </c>
      <c r="F310" s="38">
        <v>136.85353255856853</v>
      </c>
      <c r="I310" s="28">
        <f t="shared" si="45"/>
        <v>-1.6358885306697289E-2</v>
      </c>
      <c r="J310" s="28">
        <f t="shared" si="46"/>
        <v>-2.9919507401992305E-2</v>
      </c>
      <c r="K310" s="28">
        <f t="shared" si="47"/>
        <v>-2.0071148094040318E-2</v>
      </c>
      <c r="L310" s="28">
        <f t="shared" si="48"/>
        <v>-8.9632115782504549E-3</v>
      </c>
      <c r="N310" s="27">
        <f t="shared" ca="1" si="49"/>
        <v>10855.504520388065</v>
      </c>
      <c r="O310" s="27">
        <f t="shared" ca="1" si="50"/>
        <v>9667.4384876301265</v>
      </c>
      <c r="P310" s="27">
        <f t="shared" ca="1" si="51"/>
        <v>6212.7903756905289</v>
      </c>
      <c r="Q310" s="27">
        <f t="shared" ca="1" si="52"/>
        <v>112.16449775277682</v>
      </c>
      <c r="T310" s="25">
        <f t="shared" ca="1" si="53"/>
        <v>9951003.3632757962</v>
      </c>
      <c r="V310" s="25">
        <f t="shared" ca="1" si="54"/>
        <v>-48996.636724203825</v>
      </c>
      <c r="X310" s="14">
        <v>11603.644864631817</v>
      </c>
    </row>
    <row r="311" spans="1:24">
      <c r="A311" s="1">
        <v>307</v>
      </c>
      <c r="B311" s="9">
        <v>39412</v>
      </c>
      <c r="C311" s="37">
        <v>12743.44</v>
      </c>
      <c r="D311" s="38">
        <v>12780.037900000001</v>
      </c>
      <c r="E311" s="38">
        <v>8099.7032200623235</v>
      </c>
      <c r="F311" s="38">
        <v>139.80426750415666</v>
      </c>
      <c r="I311" s="28">
        <f t="shared" si="45"/>
        <v>-4.353538718004344E-3</v>
      </c>
      <c r="J311" s="28">
        <f t="shared" si="46"/>
        <v>2.4053041689769985E-2</v>
      </c>
      <c r="K311" s="28">
        <f t="shared" si="47"/>
        <v>1.5113837502120598E-2</v>
      </c>
      <c r="L311" s="28">
        <f t="shared" si="48"/>
        <v>2.1332106599239179E-2</v>
      </c>
      <c r="N311" s="27">
        <f t="shared" ca="1" si="49"/>
        <v>11213.668940502892</v>
      </c>
      <c r="O311" s="27">
        <f t="shared" ca="1" si="50"/>
        <v>9461.0461494157607</v>
      </c>
      <c r="P311" s="27">
        <f t="shared" ca="1" si="51"/>
        <v>6233.0573967795617</v>
      </c>
      <c r="Q311" s="27">
        <f t="shared" ca="1" si="52"/>
        <v>112.97951532782201</v>
      </c>
      <c r="T311" s="25">
        <f t="shared" ca="1" si="53"/>
        <v>10034202.510018654</v>
      </c>
      <c r="V311" s="25">
        <f t="shared" ca="1" si="54"/>
        <v>34202.510018654168</v>
      </c>
      <c r="X311" s="14">
        <v>12013.011278660968</v>
      </c>
    </row>
    <row r="312" spans="1:24">
      <c r="A312" s="1">
        <v>308</v>
      </c>
      <c r="B312" s="9">
        <v>39413</v>
      </c>
      <c r="C312" s="37">
        <v>12958.44</v>
      </c>
      <c r="D312" s="38">
        <v>12710.020859999999</v>
      </c>
      <c r="E312" s="38">
        <v>8075.746767721801</v>
      </c>
      <c r="F312" s="38">
        <v>140.21230542507141</v>
      </c>
      <c r="I312" s="28">
        <f t="shared" si="45"/>
        <v>1.6730683913737332E-2</v>
      </c>
      <c r="J312" s="28">
        <f t="shared" si="46"/>
        <v>-5.4936880888007428E-3</v>
      </c>
      <c r="K312" s="28">
        <f t="shared" si="47"/>
        <v>-2.9620777010322262E-3</v>
      </c>
      <c r="L312" s="28">
        <f t="shared" si="48"/>
        <v>2.914386141199351E-3</v>
      </c>
      <c r="N312" s="27">
        <f t="shared" ca="1" si="49"/>
        <v>11073.705569100759</v>
      </c>
      <c r="O312" s="27">
        <f t="shared" ca="1" si="50"/>
        <v>9575.9743746971144</v>
      </c>
      <c r="P312" s="27">
        <f t="shared" ca="1" si="51"/>
        <v>6046.7552430282285</v>
      </c>
      <c r="Q312" s="27">
        <f t="shared" ca="1" si="52"/>
        <v>112.79091090954016</v>
      </c>
      <c r="T312" s="25">
        <f t="shared" ca="1" si="53"/>
        <v>9985933.8446167354</v>
      </c>
      <c r="V312" s="25">
        <f t="shared" ca="1" si="54"/>
        <v>-14066.155383264646</v>
      </c>
      <c r="X312" s="14">
        <v>13161.305945089087</v>
      </c>
    </row>
    <row r="313" spans="1:24">
      <c r="A313" s="1">
        <v>309</v>
      </c>
      <c r="B313" s="9">
        <v>39414</v>
      </c>
      <c r="C313" s="37">
        <v>13289.45</v>
      </c>
      <c r="D313" s="38">
        <v>13061.401440000001</v>
      </c>
      <c r="E313" s="38">
        <v>8207.2166469893746</v>
      </c>
      <c r="F313" s="38">
        <v>137.81174972717352</v>
      </c>
      <c r="I313" s="28">
        <f t="shared" si="45"/>
        <v>2.522317406050429E-2</v>
      </c>
      <c r="J313" s="28">
        <f t="shared" si="46"/>
        <v>2.7270699473925422E-2</v>
      </c>
      <c r="K313" s="28">
        <f t="shared" si="47"/>
        <v>1.6148502321343718E-2</v>
      </c>
      <c r="L313" s="28">
        <f t="shared" si="48"/>
        <v>-1.7269119786031243E-2</v>
      </c>
      <c r="N313" s="27">
        <f t="shared" ca="1" si="49"/>
        <v>11094.093651127185</v>
      </c>
      <c r="O313" s="27">
        <f t="shared" ca="1" si="50"/>
        <v>9605.9112113836472</v>
      </c>
      <c r="P313" s="27">
        <f t="shared" ca="1" si="51"/>
        <v>6131.9996323335326</v>
      </c>
      <c r="Q313" s="27">
        <f t="shared" ca="1" si="52"/>
        <v>110.55365516049866</v>
      </c>
      <c r="T313" s="25">
        <f t="shared" ca="1" si="53"/>
        <v>9976776.553624101</v>
      </c>
      <c r="V313" s="25">
        <f t="shared" ca="1" si="54"/>
        <v>-23223.446375899017</v>
      </c>
      <c r="X313" s="14">
        <v>13186.150822412223</v>
      </c>
    </row>
    <row r="314" spans="1:24">
      <c r="A314" s="1">
        <v>310</v>
      </c>
      <c r="B314" s="9">
        <v>39415</v>
      </c>
      <c r="C314" s="37">
        <v>13311.73</v>
      </c>
      <c r="D314" s="38">
        <v>13095.018750000001</v>
      </c>
      <c r="E314" s="38">
        <v>8268.9955686853755</v>
      </c>
      <c r="F314" s="38">
        <v>141.45837512537614</v>
      </c>
      <c r="I314" s="28">
        <f t="shared" si="45"/>
        <v>1.6751140520696475E-3</v>
      </c>
      <c r="J314" s="28">
        <f t="shared" si="46"/>
        <v>2.5704839015445653E-3</v>
      </c>
      <c r="K314" s="28">
        <f t="shared" si="47"/>
        <v>7.4992007160397042E-3</v>
      </c>
      <c r="L314" s="28">
        <f t="shared" si="48"/>
        <v>2.6116883612147139E-2</v>
      </c>
      <c r="N314" s="27">
        <f t="shared" ca="1" si="49"/>
        <v>11009.373990293272</v>
      </c>
      <c r="O314" s="27">
        <f t="shared" ca="1" si="50"/>
        <v>9888.7891766664325</v>
      </c>
      <c r="P314" s="27">
        <f t="shared" ca="1" si="51"/>
        <v>6184.0036092082173</v>
      </c>
      <c r="Q314" s="27">
        <f t="shared" ca="1" si="52"/>
        <v>114.76446938655585</v>
      </c>
      <c r="T314" s="25">
        <f t="shared" ca="1" si="53"/>
        <v>10117463.753947955</v>
      </c>
      <c r="V314" s="25">
        <f t="shared" ca="1" si="54"/>
        <v>117463.75394795462</v>
      </c>
      <c r="X314" s="14">
        <v>13477.673929823563</v>
      </c>
    </row>
    <row r="315" spans="1:24">
      <c r="A315" s="1">
        <v>311</v>
      </c>
      <c r="B315" s="9">
        <v>39416</v>
      </c>
      <c r="C315" s="37">
        <v>13371.72</v>
      </c>
      <c r="D315" s="38">
        <v>13225.863249999999</v>
      </c>
      <c r="E315" s="38">
        <v>8324.383440986494</v>
      </c>
      <c r="F315" s="38">
        <v>141.42018398268399</v>
      </c>
      <c r="I315" s="28">
        <f t="shared" si="45"/>
        <v>4.4964276412851369E-3</v>
      </c>
      <c r="J315" s="28">
        <f t="shared" si="46"/>
        <v>9.9423399133153779E-3</v>
      </c>
      <c r="K315" s="28">
        <f t="shared" si="47"/>
        <v>6.6759251360593514E-3</v>
      </c>
      <c r="L315" s="28">
        <f t="shared" si="48"/>
        <v>-2.7001794016909335E-4</v>
      </c>
      <c r="N315" s="27">
        <f t="shared" ca="1" si="49"/>
        <v>11361.672685171041</v>
      </c>
      <c r="O315" s="27">
        <f t="shared" ca="1" si="50"/>
        <v>9764.1651208697804</v>
      </c>
      <c r="P315" s="27">
        <f t="shared" ca="1" si="51"/>
        <v>6214.9330395360821</v>
      </c>
      <c r="Q315" s="27">
        <f t="shared" ca="1" si="52"/>
        <v>115.32999221246448</v>
      </c>
      <c r="T315" s="25">
        <f t="shared" ca="1" si="53"/>
        <v>10221383.872551462</v>
      </c>
      <c r="V315" s="25">
        <f t="shared" ca="1" si="54"/>
        <v>221383.87255146168</v>
      </c>
      <c r="X315" s="14">
        <v>13900.343605011702</v>
      </c>
    </row>
    <row r="316" spans="1:24">
      <c r="A316" s="1">
        <v>312</v>
      </c>
      <c r="B316" s="9">
        <v>39419</v>
      </c>
      <c r="C316" s="37">
        <v>13314.57</v>
      </c>
      <c r="D316" s="38">
        <v>13203.018180000001</v>
      </c>
      <c r="E316" s="38">
        <v>8253.1300395836388</v>
      </c>
      <c r="F316" s="38">
        <v>141.47705259346429</v>
      </c>
      <c r="I316" s="28">
        <f t="shared" si="45"/>
        <v>-4.2831047229097089E-3</v>
      </c>
      <c r="J316" s="28">
        <f t="shared" si="46"/>
        <v>-1.7287962602828405E-3</v>
      </c>
      <c r="K316" s="28">
        <f t="shared" si="47"/>
        <v>-8.5964448505839453E-3</v>
      </c>
      <c r="L316" s="28">
        <f t="shared" si="48"/>
        <v>4.0204430580227852E-4</v>
      </c>
      <c r="N316" s="27">
        <f t="shared" ca="1" si="49"/>
        <v>10927.077623887119</v>
      </c>
      <c r="O316" s="27">
        <f t="shared" ca="1" si="50"/>
        <v>9528.9650860346646</v>
      </c>
      <c r="P316" s="27">
        <f t="shared" ca="1" si="51"/>
        <v>6141.0705098226044</v>
      </c>
      <c r="Q316" s="27">
        <f t="shared" ca="1" si="52"/>
        <v>113.26116223852988</v>
      </c>
      <c r="T316" s="25">
        <f t="shared" ca="1" si="53"/>
        <v>9941578.0718542058</v>
      </c>
      <c r="V316" s="25">
        <f t="shared" ca="1" si="54"/>
        <v>-58421.928145794198</v>
      </c>
      <c r="X316" s="14">
        <v>14368.740369811654</v>
      </c>
    </row>
    <row r="317" spans="1:24">
      <c r="A317" s="1">
        <v>313</v>
      </c>
      <c r="B317" s="9">
        <v>39420</v>
      </c>
      <c r="C317" s="37">
        <v>13248.73</v>
      </c>
      <c r="D317" s="38">
        <v>13001.10224</v>
      </c>
      <c r="E317" s="38">
        <v>8184.1398642667455</v>
      </c>
      <c r="F317" s="38">
        <v>141.21683999270206</v>
      </c>
      <c r="I317" s="28">
        <f t="shared" si="45"/>
        <v>-4.9572255578003814E-3</v>
      </c>
      <c r="J317" s="28">
        <f t="shared" si="46"/>
        <v>-1.5411311896326744E-2</v>
      </c>
      <c r="K317" s="28">
        <f t="shared" si="47"/>
        <v>-8.3944086630372752E-3</v>
      </c>
      <c r="L317" s="28">
        <f t="shared" si="48"/>
        <v>-1.8409500953289709E-3</v>
      </c>
      <c r="N317" s="27">
        <f t="shared" ca="1" si="49"/>
        <v>11140.364100435467</v>
      </c>
      <c r="O317" s="27">
        <f t="shared" ca="1" si="50"/>
        <v>9689.8634908564018</v>
      </c>
      <c r="P317" s="27">
        <f t="shared" ca="1" si="51"/>
        <v>6251.1924613378733</v>
      </c>
      <c r="Q317" s="27">
        <f t="shared" ca="1" si="52"/>
        <v>114.03037309745108</v>
      </c>
      <c r="T317" s="25">
        <f t="shared" ca="1" si="53"/>
        <v>10100659.132021748</v>
      </c>
      <c r="V317" s="25">
        <f t="shared" ca="1" si="54"/>
        <v>100659.13202174753</v>
      </c>
      <c r="X317" s="14">
        <v>14600.03317537345</v>
      </c>
    </row>
    <row r="318" spans="1:24">
      <c r="A318" s="1">
        <v>314</v>
      </c>
      <c r="B318" s="9">
        <v>39421</v>
      </c>
      <c r="C318" s="37">
        <v>13444.96</v>
      </c>
      <c r="D318" s="38">
        <v>13166.828880000001</v>
      </c>
      <c r="E318" s="38">
        <v>8294.1081635644132</v>
      </c>
      <c r="F318" s="38">
        <v>140.70927612007571</v>
      </c>
      <c r="I318" s="28">
        <f t="shared" si="45"/>
        <v>1.4702615850915184E-2</v>
      </c>
      <c r="J318" s="28">
        <f t="shared" si="46"/>
        <v>1.2666561603504824E-2</v>
      </c>
      <c r="K318" s="28">
        <f t="shared" si="47"/>
        <v>1.3347284453802224E-2</v>
      </c>
      <c r="L318" s="28">
        <f t="shared" si="48"/>
        <v>-3.6006910463211085E-3</v>
      </c>
      <c r="N318" s="27">
        <f t="shared" ca="1" si="49"/>
        <v>11077.122462638146</v>
      </c>
      <c r="O318" s="27">
        <f t="shared" ca="1" si="50"/>
        <v>9256.8987000020443</v>
      </c>
      <c r="P318" s="27">
        <f t="shared" ca="1" si="51"/>
        <v>6182.7722350814738</v>
      </c>
      <c r="Q318" s="27">
        <f t="shared" ca="1" si="52"/>
        <v>111.02877178604227</v>
      </c>
      <c r="T318" s="25">
        <f t="shared" ca="1" si="53"/>
        <v>9878161.0082193147</v>
      </c>
      <c r="V318" s="25">
        <f t="shared" ca="1" si="54"/>
        <v>-121838.99178068526</v>
      </c>
      <c r="X318" s="14">
        <v>14611.174308633432</v>
      </c>
    </row>
    <row r="319" spans="1:24">
      <c r="A319" s="1">
        <v>315</v>
      </c>
      <c r="B319" s="9">
        <v>39422</v>
      </c>
      <c r="C319" s="37">
        <v>13619.89</v>
      </c>
      <c r="D319" s="38">
        <v>13135.934240000001</v>
      </c>
      <c r="E319" s="38">
        <v>8296.1836525807867</v>
      </c>
      <c r="F319" s="38">
        <v>142.54741379310346</v>
      </c>
      <c r="I319" s="28">
        <f t="shared" si="45"/>
        <v>1.2926909697727518E-2</v>
      </c>
      <c r="J319" s="28">
        <f t="shared" si="46"/>
        <v>-2.3491565556680795E-3</v>
      </c>
      <c r="K319" s="28">
        <f t="shared" si="47"/>
        <v>2.5020524656248054E-4</v>
      </c>
      <c r="L319" s="28">
        <f t="shared" si="48"/>
        <v>1.2978782433639924E-2</v>
      </c>
      <c r="N319" s="27">
        <f t="shared" ca="1" si="49"/>
        <v>10931.357456524376</v>
      </c>
      <c r="O319" s="27">
        <f t="shared" ca="1" si="50"/>
        <v>9579.7903213158406</v>
      </c>
      <c r="P319" s="27">
        <f t="shared" ca="1" si="51"/>
        <v>6202.5890685396298</v>
      </c>
      <c r="Q319" s="27">
        <f t="shared" ca="1" si="52"/>
        <v>111.27345042700368</v>
      </c>
      <c r="T319" s="25">
        <f t="shared" ca="1" si="53"/>
        <v>9933699.8208045494</v>
      </c>
      <c r="V319" s="25">
        <f t="shared" ca="1" si="54"/>
        <v>-66300.179195450619</v>
      </c>
      <c r="X319" s="14">
        <v>14949.100672587752</v>
      </c>
    </row>
    <row r="320" spans="1:24">
      <c r="A320" s="1">
        <v>316</v>
      </c>
      <c r="B320" s="9">
        <v>39423</v>
      </c>
      <c r="C320" s="37">
        <v>13625.58</v>
      </c>
      <c r="D320" s="38">
        <v>13303.169550000001</v>
      </c>
      <c r="E320" s="38">
        <v>8379.1208791208792</v>
      </c>
      <c r="F320" s="38">
        <v>142.88860034028835</v>
      </c>
      <c r="I320" s="28">
        <f t="shared" si="45"/>
        <v>4.1768412016565312E-4</v>
      </c>
      <c r="J320" s="28">
        <f t="shared" si="46"/>
        <v>1.2650772258574262E-2</v>
      </c>
      <c r="K320" s="28">
        <f t="shared" si="47"/>
        <v>9.947393796890934E-3</v>
      </c>
      <c r="L320" s="28">
        <f t="shared" si="48"/>
        <v>2.3906353283047171E-3</v>
      </c>
      <c r="N320" s="27">
        <f t="shared" ca="1" si="49"/>
        <v>11001.524765399403</v>
      </c>
      <c r="O320" s="27">
        <f t="shared" ca="1" si="50"/>
        <v>9505.6461801926998</v>
      </c>
      <c r="P320" s="27">
        <f t="shared" ca="1" si="51"/>
        <v>6145.2736879120384</v>
      </c>
      <c r="Q320" s="27">
        <f t="shared" ca="1" si="52"/>
        <v>117.37905529400224</v>
      </c>
      <c r="T320" s="25">
        <f t="shared" ca="1" si="53"/>
        <v>10034984.204173923</v>
      </c>
      <c r="V320" s="25">
        <f t="shared" ca="1" si="54"/>
        <v>34984.204173922539</v>
      </c>
      <c r="X320" s="14">
        <v>15406.17902350612</v>
      </c>
    </row>
    <row r="321" spans="1:24">
      <c r="A321" s="1">
        <v>317</v>
      </c>
      <c r="B321" s="9">
        <v>39426</v>
      </c>
      <c r="C321" s="37">
        <v>13727.03</v>
      </c>
      <c r="D321" s="38">
        <v>13434.121479999998</v>
      </c>
      <c r="E321" s="38">
        <v>8462.213066509712</v>
      </c>
      <c r="F321" s="38">
        <v>142.55115925163369</v>
      </c>
      <c r="I321" s="28">
        <f t="shared" si="45"/>
        <v>7.4179732903967644E-3</v>
      </c>
      <c r="J321" s="28">
        <f t="shared" si="46"/>
        <v>9.7955306652133048E-3</v>
      </c>
      <c r="K321" s="28">
        <f t="shared" si="47"/>
        <v>9.8677292302677983E-3</v>
      </c>
      <c r="L321" s="28">
        <f t="shared" si="48"/>
        <v>-2.3643604964775247E-3</v>
      </c>
      <c r="N321" s="27">
        <f t="shared" ca="1" si="49"/>
        <v>11205.972543192551</v>
      </c>
      <c r="O321" s="27">
        <f t="shared" ca="1" si="50"/>
        <v>9553.1193409127845</v>
      </c>
      <c r="P321" s="27">
        <f t="shared" ca="1" si="51"/>
        <v>6244.5303111371022</v>
      </c>
      <c r="Q321" s="27">
        <f t="shared" ca="1" si="52"/>
        <v>114.80674314440644</v>
      </c>
      <c r="T321" s="25">
        <f t="shared" ca="1" si="53"/>
        <v>10094424.254650699</v>
      </c>
      <c r="V321" s="25">
        <f t="shared" ca="1" si="54"/>
        <v>94424.254650698975</v>
      </c>
      <c r="X321" s="14">
        <v>15973.228337209672</v>
      </c>
    </row>
    <row r="322" spans="1:24">
      <c r="A322" s="1">
        <v>318</v>
      </c>
      <c r="B322" s="9">
        <v>39427</v>
      </c>
      <c r="C322" s="37">
        <v>13432.77</v>
      </c>
      <c r="D322" s="38">
        <v>13328.739100000001</v>
      </c>
      <c r="E322" s="38">
        <v>8411.3429327064368</v>
      </c>
      <c r="F322" s="38">
        <v>143.75701102051787</v>
      </c>
      <c r="I322" s="28">
        <f t="shared" si="45"/>
        <v>-2.166963781967839E-2</v>
      </c>
      <c r="J322" s="28">
        <f t="shared" si="46"/>
        <v>-7.8753109623898865E-3</v>
      </c>
      <c r="K322" s="28">
        <f t="shared" si="47"/>
        <v>-6.0295871154554476E-3</v>
      </c>
      <c r="L322" s="28">
        <f t="shared" si="48"/>
        <v>8.4235032333964278E-3</v>
      </c>
      <c r="N322" s="27">
        <f t="shared" ca="1" si="49"/>
        <v>11045.050359213561</v>
      </c>
      <c r="O322" s="27">
        <f t="shared" ca="1" si="50"/>
        <v>9607.3136913975868</v>
      </c>
      <c r="P322" s="27">
        <f t="shared" ca="1" si="51"/>
        <v>6280.7273322946376</v>
      </c>
      <c r="Q322" s="27">
        <f t="shared" ca="1" si="52"/>
        <v>112.84997088373791</v>
      </c>
      <c r="T322" s="25">
        <f t="shared" ca="1" si="53"/>
        <v>10024110.244096467</v>
      </c>
      <c r="V322" s="25">
        <f t="shared" ca="1" si="54"/>
        <v>24110.244096467271</v>
      </c>
      <c r="X322" s="14">
        <v>16299.519296277314</v>
      </c>
    </row>
    <row r="323" spans="1:24">
      <c r="A323" s="1">
        <v>319</v>
      </c>
      <c r="B323" s="9">
        <v>39428</v>
      </c>
      <c r="C323" s="37">
        <v>13473.9</v>
      </c>
      <c r="D323" s="38">
        <v>13418.72688</v>
      </c>
      <c r="E323" s="38">
        <v>8431.1802701115666</v>
      </c>
      <c r="F323" s="38">
        <v>141.94814682822525</v>
      </c>
      <c r="I323" s="28">
        <f t="shared" si="45"/>
        <v>3.0572368885335805E-3</v>
      </c>
      <c r="J323" s="28">
        <f t="shared" si="46"/>
        <v>6.7287211123912335E-3</v>
      </c>
      <c r="K323" s="28">
        <f t="shared" si="47"/>
        <v>2.3556264508972921E-3</v>
      </c>
      <c r="L323" s="28">
        <f t="shared" si="48"/>
        <v>-1.2662623073336448E-2</v>
      </c>
      <c r="N323" s="27">
        <f t="shared" ca="1" si="49"/>
        <v>11080.059339318006</v>
      </c>
      <c r="O323" s="27">
        <f t="shared" ca="1" si="50"/>
        <v>9529.5401356172879</v>
      </c>
      <c r="P323" s="27">
        <f t="shared" ca="1" si="51"/>
        <v>6147.1865036897589</v>
      </c>
      <c r="Q323" s="27">
        <f t="shared" ca="1" si="52"/>
        <v>113.08742872946124</v>
      </c>
      <c r="T323" s="25">
        <f t="shared" ca="1" si="53"/>
        <v>9995182.7620593607</v>
      </c>
      <c r="V323" s="25">
        <f t="shared" ca="1" si="54"/>
        <v>-4817.2379406392574</v>
      </c>
      <c r="X323" s="14">
        <v>18216.509085442871</v>
      </c>
    </row>
    <row r="324" spans="1:24">
      <c r="A324" s="1">
        <v>320</v>
      </c>
      <c r="B324" s="9">
        <v>39429</v>
      </c>
      <c r="C324" s="37">
        <v>13517.96</v>
      </c>
      <c r="D324" s="38">
        <v>12968.33034</v>
      </c>
      <c r="E324" s="38">
        <v>8165.4885351248722</v>
      </c>
      <c r="F324" s="38">
        <v>138.54574638844301</v>
      </c>
      <c r="I324" s="28">
        <f t="shared" si="45"/>
        <v>3.2646908463049408E-3</v>
      </c>
      <c r="J324" s="28">
        <f t="shared" si="46"/>
        <v>-3.4141002099100579E-2</v>
      </c>
      <c r="K324" s="28">
        <f t="shared" si="47"/>
        <v>-3.2020213059592004E-2</v>
      </c>
      <c r="L324" s="28">
        <f t="shared" si="48"/>
        <v>-2.4261257807172944E-2</v>
      </c>
      <c r="N324" s="27">
        <f t="shared" ca="1" si="49"/>
        <v>10942.881026845233</v>
      </c>
      <c r="O324" s="27">
        <f t="shared" ca="1" si="50"/>
        <v>9822.5305754705714</v>
      </c>
      <c r="P324" s="27">
        <f t="shared" ca="1" si="51"/>
        <v>6252.7908969104392</v>
      </c>
      <c r="Q324" s="27">
        <f t="shared" ca="1" si="52"/>
        <v>112.99952150396891</v>
      </c>
      <c r="T324" s="25">
        <f t="shared" ca="1" si="53"/>
        <v>10052433.604179636</v>
      </c>
      <c r="V324" s="25">
        <f t="shared" ca="1" si="54"/>
        <v>52433.604179635644</v>
      </c>
      <c r="X324" s="14">
        <v>18645.426939535886</v>
      </c>
    </row>
    <row r="325" spans="1:24">
      <c r="A325" s="1">
        <v>321</v>
      </c>
      <c r="B325" s="9">
        <v>39430</v>
      </c>
      <c r="C325" s="37">
        <v>13339.85</v>
      </c>
      <c r="D325" s="38">
        <v>12919.3812</v>
      </c>
      <c r="E325" s="38">
        <v>8092.0456185939074</v>
      </c>
      <c r="F325" s="38">
        <v>136.86053281580806</v>
      </c>
      <c r="I325" s="28">
        <f t="shared" si="45"/>
        <v>-1.3263375609730191E-2</v>
      </c>
      <c r="J325" s="28">
        <f t="shared" si="46"/>
        <v>-3.7816551114721732E-3</v>
      </c>
      <c r="K325" s="28">
        <f t="shared" si="47"/>
        <v>-9.0350006881576433E-3</v>
      </c>
      <c r="L325" s="28">
        <f t="shared" si="48"/>
        <v>-1.2238171262613826E-2</v>
      </c>
      <c r="N325" s="27">
        <f t="shared" ca="1" si="49"/>
        <v>11033.881346355989</v>
      </c>
      <c r="O325" s="27">
        <f t="shared" ca="1" si="50"/>
        <v>9438.8591619678082</v>
      </c>
      <c r="P325" s="27">
        <f t="shared" ca="1" si="51"/>
        <v>6361.9513914728605</v>
      </c>
      <c r="Q325" s="27">
        <f t="shared" ca="1" si="52"/>
        <v>113.69354510529924</v>
      </c>
      <c r="T325" s="25">
        <f t="shared" ca="1" si="53"/>
        <v>9995468.1912045404</v>
      </c>
      <c r="V325" s="25">
        <f t="shared" ca="1" si="54"/>
        <v>-4531.8087954595685</v>
      </c>
      <c r="X325" s="14">
        <v>20347.894314669073</v>
      </c>
    </row>
    <row r="326" spans="1:24">
      <c r="A326" s="1">
        <v>322</v>
      </c>
      <c r="B326" s="9">
        <v>39433</v>
      </c>
      <c r="C326" s="37">
        <v>13167.2</v>
      </c>
      <c r="D326" s="38">
        <v>12650.394780000001</v>
      </c>
      <c r="E326" s="38">
        <v>7928.2346175963203</v>
      </c>
      <c r="F326" s="38">
        <v>134.6678735429177</v>
      </c>
      <c r="I326" s="28">
        <f t="shared" ref="I326:I389" si="55">LN(C326/C325)</f>
        <v>-1.3026907298726815E-2</v>
      </c>
      <c r="J326" s="28">
        <f t="shared" ref="J326:J389" si="56">LN(D326/D325)</f>
        <v>-2.1040179878913014E-2</v>
      </c>
      <c r="K326" s="28">
        <f t="shared" ref="K326:K389" si="57">LN(E326/E325)</f>
        <v>-2.0451166651457204E-2</v>
      </c>
      <c r="L326" s="28">
        <f t="shared" ref="L326:L389" si="58">LN(F326/F325)</f>
        <v>-1.6150847456410281E-2</v>
      </c>
      <c r="N326" s="27">
        <f t="shared" ref="N326:N389" ca="1" si="59">C$504*EXP((I$1-I$2/2)*(1)+I$3*_xlfn.NORM.S.INV(RAND())*SQRT(1))</f>
        <v>11022.321422047718</v>
      </c>
      <c r="O326" s="27">
        <f t="shared" ref="O326:O389" ca="1" si="60">D$504*EXP((J$1-J$2/2)*(1)+J$3*_xlfn.NORM.S.INV(RAND())*SQRT(1))</f>
        <v>9490.7787363576281</v>
      </c>
      <c r="P326" s="27">
        <f t="shared" ref="P326:P389" ca="1" si="61">E$504*EXP((K$1-K$2/2)*(1)+K$3*_xlfn.NORM.S.INV(RAND())*SQRT(1))</f>
        <v>6177.0362142496815</v>
      </c>
      <c r="Q326" s="27">
        <f t="shared" ref="Q326:Q389" ca="1" si="62">F$504*EXP((L$1-L$2/2)*(1)+L$3*_xlfn.NORM.S.INV(RAND())*SQRT(1))</f>
        <v>112.6592638459972</v>
      </c>
      <c r="T326" s="25">
        <f t="shared" ref="T326:T389" ca="1" si="63">N326/C$504*T$2+O326/D$504*U$2+P326/E$504*V$2+Q326/F$504*W$2</f>
        <v>9959340.1861388478</v>
      </c>
      <c r="V326" s="25">
        <f t="shared" ref="V326:V389" ca="1" si="64">T326-X$2</f>
        <v>-40659.813861152157</v>
      </c>
      <c r="X326" s="14">
        <v>20593.676954211667</v>
      </c>
    </row>
    <row r="327" spans="1:24">
      <c r="A327" s="1">
        <v>323</v>
      </c>
      <c r="B327" s="9">
        <v>39434</v>
      </c>
      <c r="C327" s="37">
        <v>13232.47</v>
      </c>
      <c r="D327" s="38">
        <v>12671.627399999999</v>
      </c>
      <c r="E327" s="38">
        <v>7935.1433098084399</v>
      </c>
      <c r="F327" s="38">
        <v>134.33318611430087</v>
      </c>
      <c r="I327" s="28">
        <f t="shared" si="55"/>
        <v>4.9447688544280565E-3</v>
      </c>
      <c r="J327" s="28">
        <f t="shared" si="56"/>
        <v>1.6770086389794009E-3</v>
      </c>
      <c r="K327" s="28">
        <f t="shared" si="57"/>
        <v>8.7102415141695143E-4</v>
      </c>
      <c r="L327" s="28">
        <f t="shared" si="58"/>
        <v>-2.4883738505872589E-3</v>
      </c>
      <c r="N327" s="27">
        <f t="shared" ca="1" si="59"/>
        <v>11130.123644639085</v>
      </c>
      <c r="O327" s="27">
        <f t="shared" ca="1" si="60"/>
        <v>9648.678533426988</v>
      </c>
      <c r="P327" s="27">
        <f t="shared" ca="1" si="61"/>
        <v>6314.5057166409033</v>
      </c>
      <c r="Q327" s="27">
        <f t="shared" ca="1" si="62"/>
        <v>113.41590130923994</v>
      </c>
      <c r="T327" s="25">
        <f t="shared" ca="1" si="63"/>
        <v>10083390.75672593</v>
      </c>
      <c r="V327" s="25">
        <f t="shared" ca="1" si="64"/>
        <v>83390.756725929677</v>
      </c>
      <c r="X327" s="14">
        <v>21175.131909027696</v>
      </c>
    </row>
    <row r="328" spans="1:24">
      <c r="A328" s="1">
        <v>324</v>
      </c>
      <c r="B328" s="9">
        <v>39435</v>
      </c>
      <c r="C328" s="37">
        <v>13207.27</v>
      </c>
      <c r="D328" s="38">
        <v>12590.3673</v>
      </c>
      <c r="E328" s="38">
        <v>7909.9568345323751</v>
      </c>
      <c r="F328" s="38">
        <v>132.57925377083885</v>
      </c>
      <c r="I328" s="28">
        <f t="shared" si="55"/>
        <v>-1.9062220453553668E-3</v>
      </c>
      <c r="J328" s="28">
        <f t="shared" si="56"/>
        <v>-6.4334096524084582E-3</v>
      </c>
      <c r="K328" s="28">
        <f t="shared" si="57"/>
        <v>-3.179089593516845E-3</v>
      </c>
      <c r="L328" s="28">
        <f t="shared" si="58"/>
        <v>-1.3142569077094646E-2</v>
      </c>
      <c r="N328" s="27">
        <f t="shared" ca="1" si="59"/>
        <v>10946.773880909561</v>
      </c>
      <c r="O328" s="27">
        <f t="shared" ca="1" si="60"/>
        <v>9895.4921580383507</v>
      </c>
      <c r="P328" s="27">
        <f t="shared" ca="1" si="61"/>
        <v>6224.3045760962914</v>
      </c>
      <c r="Q328" s="27">
        <f t="shared" ca="1" si="62"/>
        <v>114.24277415229568</v>
      </c>
      <c r="T328" s="25">
        <f t="shared" ca="1" si="63"/>
        <v>10094091.980575221</v>
      </c>
      <c r="V328" s="25">
        <f t="shared" ca="1" si="64"/>
        <v>94091.980575220659</v>
      </c>
      <c r="X328" s="14">
        <v>21488.487293086946</v>
      </c>
    </row>
    <row r="329" spans="1:24">
      <c r="A329" s="1">
        <v>325</v>
      </c>
      <c r="B329" s="9">
        <v>39436</v>
      </c>
      <c r="C329" s="37">
        <v>13245.64</v>
      </c>
      <c r="D329" s="38">
        <v>12572.53728</v>
      </c>
      <c r="E329" s="38">
        <v>7905.12048192771</v>
      </c>
      <c r="F329" s="38">
        <v>133.12904082897884</v>
      </c>
      <c r="I329" s="28">
        <f t="shared" si="55"/>
        <v>2.9010061206599588E-3</v>
      </c>
      <c r="J329" s="28">
        <f t="shared" si="56"/>
        <v>-1.4171673168658493E-3</v>
      </c>
      <c r="K329" s="28">
        <f t="shared" si="57"/>
        <v>-6.1161291325372946E-4</v>
      </c>
      <c r="L329" s="28">
        <f t="shared" si="58"/>
        <v>4.1382813703790058E-3</v>
      </c>
      <c r="N329" s="27">
        <f t="shared" ca="1" si="59"/>
        <v>11039.890819053771</v>
      </c>
      <c r="O329" s="27">
        <f t="shared" ca="1" si="60"/>
        <v>9495.6978974679751</v>
      </c>
      <c r="P329" s="27">
        <f t="shared" ca="1" si="61"/>
        <v>6139.0786712469398</v>
      </c>
      <c r="Q329" s="27">
        <f t="shared" ca="1" si="62"/>
        <v>109.75360531409711</v>
      </c>
      <c r="T329" s="25">
        <f t="shared" ca="1" si="63"/>
        <v>9909623.0641354546</v>
      </c>
      <c r="V329" s="25">
        <f t="shared" ca="1" si="64"/>
        <v>-90376.935864545405</v>
      </c>
      <c r="X329" s="14">
        <v>21515.79174740985</v>
      </c>
    </row>
    <row r="330" spans="1:24">
      <c r="A330" s="1">
        <v>326</v>
      </c>
      <c r="B330" s="9">
        <v>39437</v>
      </c>
      <c r="C330" s="37">
        <v>13450.65</v>
      </c>
      <c r="D330" s="38">
        <v>12765.89781</v>
      </c>
      <c r="E330" s="38">
        <v>8052.2707674619151</v>
      </c>
      <c r="F330" s="38">
        <v>133.92731741573033</v>
      </c>
      <c r="I330" s="28">
        <f t="shared" si="55"/>
        <v>1.5358990340222138E-2</v>
      </c>
      <c r="J330" s="28">
        <f t="shared" si="56"/>
        <v>1.5262527683760189E-2</v>
      </c>
      <c r="K330" s="28">
        <f t="shared" si="57"/>
        <v>1.8443422791224701E-2</v>
      </c>
      <c r="L330" s="28">
        <f t="shared" si="58"/>
        <v>5.9783558015979697E-3</v>
      </c>
      <c r="N330" s="27">
        <f t="shared" ca="1" si="59"/>
        <v>11062.943310167781</v>
      </c>
      <c r="O330" s="27">
        <f t="shared" ca="1" si="60"/>
        <v>9584.1592567025473</v>
      </c>
      <c r="P330" s="27">
        <f t="shared" ca="1" si="61"/>
        <v>6172.0692726259522</v>
      </c>
      <c r="Q330" s="27">
        <f t="shared" ca="1" si="62"/>
        <v>112.59564612438689</v>
      </c>
      <c r="T330" s="25">
        <f t="shared" ca="1" si="63"/>
        <v>10001335.117713304</v>
      </c>
      <c r="V330" s="25">
        <f t="shared" ca="1" si="64"/>
        <v>1335.1177133042365</v>
      </c>
      <c r="X330" s="14">
        <v>22103.61356696859</v>
      </c>
    </row>
    <row r="331" spans="1:24">
      <c r="A331" s="1">
        <v>327</v>
      </c>
      <c r="B331" s="9">
        <v>39443</v>
      </c>
      <c r="C331" s="37">
        <v>13359.61</v>
      </c>
      <c r="D331" s="38">
        <v>12918.92596</v>
      </c>
      <c r="E331" s="38">
        <v>8198.5431235431224</v>
      </c>
      <c r="F331" s="38">
        <v>136.34101261387528</v>
      </c>
      <c r="I331" s="28">
        <f t="shared" si="55"/>
        <v>-6.7914559520263961E-3</v>
      </c>
      <c r="J331" s="28">
        <f t="shared" si="56"/>
        <v>1.1915982922827372E-2</v>
      </c>
      <c r="K331" s="28">
        <f t="shared" si="57"/>
        <v>1.8002336057718026E-2</v>
      </c>
      <c r="L331" s="28">
        <f t="shared" si="58"/>
        <v>1.786194757997513E-2</v>
      </c>
      <c r="N331" s="27">
        <f t="shared" ca="1" si="59"/>
        <v>11137.340082971536</v>
      </c>
      <c r="O331" s="27">
        <f t="shared" ca="1" si="60"/>
        <v>9662.718644955632</v>
      </c>
      <c r="P331" s="27">
        <f t="shared" ca="1" si="61"/>
        <v>6080.7329997950183</v>
      </c>
      <c r="Q331" s="27">
        <f t="shared" ca="1" si="62"/>
        <v>110.94316918095252</v>
      </c>
      <c r="T331" s="25">
        <f t="shared" ca="1" si="63"/>
        <v>10008860.204513591</v>
      </c>
      <c r="V331" s="25">
        <f t="shared" ca="1" si="64"/>
        <v>8860.2045135907829</v>
      </c>
      <c r="X331" s="14">
        <v>22420.278127007186</v>
      </c>
    </row>
    <row r="332" spans="1:24">
      <c r="A332" s="1">
        <v>328</v>
      </c>
      <c r="B332" s="9">
        <v>39444</v>
      </c>
      <c r="C332" s="37">
        <v>13365.87</v>
      </c>
      <c r="D332" s="38">
        <v>12907.814009999998</v>
      </c>
      <c r="E332" s="38">
        <v>8274.1508601676214</v>
      </c>
      <c r="F332" s="38">
        <v>135.3114116503138</v>
      </c>
      <c r="I332" s="28">
        <f t="shared" si="55"/>
        <v>4.6846680504779287E-4</v>
      </c>
      <c r="J332" s="28">
        <f t="shared" si="56"/>
        <v>-8.6049967580675705E-4</v>
      </c>
      <c r="K332" s="28">
        <f t="shared" si="57"/>
        <v>9.1798302875460858E-3</v>
      </c>
      <c r="L332" s="28">
        <f t="shared" si="58"/>
        <v>-7.5803180959868356E-3</v>
      </c>
      <c r="N332" s="27">
        <f t="shared" ca="1" si="59"/>
        <v>10881.344716137181</v>
      </c>
      <c r="O332" s="27">
        <f t="shared" ca="1" si="60"/>
        <v>9421.1549443598888</v>
      </c>
      <c r="P332" s="27">
        <f t="shared" ca="1" si="61"/>
        <v>6300.7804118803106</v>
      </c>
      <c r="Q332" s="27">
        <f t="shared" ca="1" si="62"/>
        <v>116.30250089317194</v>
      </c>
      <c r="T332" s="25">
        <f t="shared" ca="1" si="63"/>
        <v>9970962.0699546617</v>
      </c>
      <c r="V332" s="25">
        <f t="shared" ca="1" si="64"/>
        <v>-29037.930045338348</v>
      </c>
      <c r="X332" s="14">
        <v>22955.629728445783</v>
      </c>
    </row>
    <row r="333" spans="1:24">
      <c r="A333" s="1">
        <v>329</v>
      </c>
      <c r="B333" s="9">
        <v>39451</v>
      </c>
      <c r="C333" s="37">
        <v>12800.18</v>
      </c>
      <c r="D333" s="38">
        <v>12534.4784</v>
      </c>
      <c r="E333" s="38">
        <v>8047.857565011821</v>
      </c>
      <c r="F333" s="38">
        <v>135.74249283932366</v>
      </c>
      <c r="I333" s="28">
        <f t="shared" si="55"/>
        <v>-4.3245209544002114E-2</v>
      </c>
      <c r="J333" s="28">
        <f t="shared" si="56"/>
        <v>-2.934974593555615E-2</v>
      </c>
      <c r="K333" s="28">
        <f t="shared" si="57"/>
        <v>-2.7730385896001887E-2</v>
      </c>
      <c r="L333" s="28">
        <f t="shared" si="58"/>
        <v>3.1807809835615866E-3</v>
      </c>
      <c r="N333" s="27">
        <f t="shared" ca="1" si="59"/>
        <v>10937.194685764878</v>
      </c>
      <c r="O333" s="27">
        <f t="shared" ca="1" si="60"/>
        <v>9482.777221575574</v>
      </c>
      <c r="P333" s="27">
        <f t="shared" ca="1" si="61"/>
        <v>6227.0048870406408</v>
      </c>
      <c r="Q333" s="27">
        <f t="shared" ca="1" si="62"/>
        <v>110.51470884158165</v>
      </c>
      <c r="T333" s="25">
        <f t="shared" ca="1" si="63"/>
        <v>9895988.843047725</v>
      </c>
      <c r="V333" s="25">
        <f t="shared" ca="1" si="64"/>
        <v>-104011.15695227496</v>
      </c>
      <c r="X333" s="14">
        <v>23006.143730839714</v>
      </c>
    </row>
    <row r="334" spans="1:24">
      <c r="A334" s="1">
        <v>330</v>
      </c>
      <c r="B334" s="9">
        <v>39454</v>
      </c>
      <c r="C334" s="37">
        <v>12827.49</v>
      </c>
      <c r="D334" s="38">
        <v>12516.17535</v>
      </c>
      <c r="E334" s="38">
        <v>8025.9493670886077</v>
      </c>
      <c r="F334" s="38">
        <v>133.41199742386604</v>
      </c>
      <c r="I334" s="28">
        <f t="shared" si="55"/>
        <v>2.1312909318520023E-3</v>
      </c>
      <c r="J334" s="28">
        <f t="shared" si="56"/>
        <v>-1.4612834810309601E-3</v>
      </c>
      <c r="K334" s="28">
        <f t="shared" si="57"/>
        <v>-2.7259518024656724E-3</v>
      </c>
      <c r="L334" s="28">
        <f t="shared" si="58"/>
        <v>-1.7317590768396778E-2</v>
      </c>
      <c r="N334" s="27">
        <f t="shared" ca="1" si="59"/>
        <v>11046.261390056368</v>
      </c>
      <c r="O334" s="27">
        <f t="shared" ca="1" si="60"/>
        <v>9618.2067246140941</v>
      </c>
      <c r="P334" s="27">
        <f t="shared" ca="1" si="61"/>
        <v>6164.1141800429023</v>
      </c>
      <c r="Q334" s="27">
        <f t="shared" ca="1" si="62"/>
        <v>110.16865102062718</v>
      </c>
      <c r="T334" s="25">
        <f t="shared" ca="1" si="63"/>
        <v>9961614.6635693144</v>
      </c>
      <c r="V334" s="25">
        <f t="shared" ca="1" si="64"/>
        <v>-38385.336430685595</v>
      </c>
      <c r="X334" s="14">
        <v>23159.502623969689</v>
      </c>
    </row>
    <row r="335" spans="1:24">
      <c r="A335" s="1">
        <v>331</v>
      </c>
      <c r="B335" s="9">
        <v>39455</v>
      </c>
      <c r="C335" s="37">
        <v>12589.07</v>
      </c>
      <c r="D335" s="38">
        <v>12544.552750000001</v>
      </c>
      <c r="E335" s="38">
        <v>8086.6244849911718</v>
      </c>
      <c r="F335" s="38">
        <v>132.42794640415642</v>
      </c>
      <c r="I335" s="28">
        <f t="shared" si="55"/>
        <v>-1.8761547080002529E-2</v>
      </c>
      <c r="J335" s="28">
        <f t="shared" si="56"/>
        <v>2.26469175319516E-3</v>
      </c>
      <c r="K335" s="28">
        <f t="shared" si="57"/>
        <v>7.5314354197057237E-3</v>
      </c>
      <c r="L335" s="28">
        <f t="shared" si="58"/>
        <v>-7.4033683589997418E-3</v>
      </c>
      <c r="N335" s="27">
        <f t="shared" ca="1" si="59"/>
        <v>10949.833036165277</v>
      </c>
      <c r="O335" s="27">
        <f t="shared" ca="1" si="60"/>
        <v>9636.6042587506454</v>
      </c>
      <c r="P335" s="27">
        <f t="shared" ca="1" si="61"/>
        <v>6358.9050697121038</v>
      </c>
      <c r="Q335" s="27">
        <f t="shared" ca="1" si="62"/>
        <v>115.04096738043664</v>
      </c>
      <c r="T335" s="25">
        <f t="shared" ca="1" si="63"/>
        <v>10050156.807220129</v>
      </c>
      <c r="V335" s="25">
        <f t="shared" ca="1" si="64"/>
        <v>50156.807220129296</v>
      </c>
      <c r="X335" s="14">
        <v>23364.251658419147</v>
      </c>
    </row>
    <row r="336" spans="1:24">
      <c r="A336" s="1">
        <v>332</v>
      </c>
      <c r="B336" s="9">
        <v>39456</v>
      </c>
      <c r="C336" s="37">
        <v>12735.31</v>
      </c>
      <c r="D336" s="38">
        <v>12283.82841</v>
      </c>
      <c r="E336" s="38">
        <v>7973.3313774387561</v>
      </c>
      <c r="F336" s="38">
        <v>133.27697644695999</v>
      </c>
      <c r="I336" s="28">
        <f t="shared" si="55"/>
        <v>1.154947332016994E-2</v>
      </c>
      <c r="J336" s="28">
        <f t="shared" si="56"/>
        <v>-2.1002893624801157E-2</v>
      </c>
      <c r="K336" s="28">
        <f t="shared" si="57"/>
        <v>-1.4109003523805487E-2</v>
      </c>
      <c r="L336" s="28">
        <f t="shared" si="58"/>
        <v>6.3907956494290846E-3</v>
      </c>
      <c r="N336" s="27">
        <f t="shared" ca="1" si="59"/>
        <v>10830.629923583319</v>
      </c>
      <c r="O336" s="27">
        <f t="shared" ca="1" si="60"/>
        <v>9723.9541318990341</v>
      </c>
      <c r="P336" s="27">
        <f t="shared" ca="1" si="61"/>
        <v>6204.7535421307757</v>
      </c>
      <c r="Q336" s="27">
        <f t="shared" ca="1" si="62"/>
        <v>112.51336309867841</v>
      </c>
      <c r="T336" s="25">
        <f t="shared" ca="1" si="63"/>
        <v>9964525.6471081469</v>
      </c>
      <c r="V336" s="25">
        <f t="shared" ca="1" si="64"/>
        <v>-35474.352891853079</v>
      </c>
      <c r="X336" s="14">
        <v>23476.792615648359</v>
      </c>
    </row>
    <row r="337" spans="1:24">
      <c r="A337" s="1">
        <v>333</v>
      </c>
      <c r="B337" s="9">
        <v>39457</v>
      </c>
      <c r="C337" s="37">
        <v>12853.09</v>
      </c>
      <c r="D337" s="38">
        <v>12180.93525</v>
      </c>
      <c r="E337" s="38">
        <v>7958.1933392278224</v>
      </c>
      <c r="F337" s="38">
        <v>131.42226890756302</v>
      </c>
      <c r="I337" s="28">
        <f t="shared" si="55"/>
        <v>9.2057988610468842E-3</v>
      </c>
      <c r="J337" s="28">
        <f t="shared" si="56"/>
        <v>-8.4115888558390327E-3</v>
      </c>
      <c r="K337" s="28">
        <f t="shared" si="57"/>
        <v>-1.9003884481923288E-3</v>
      </c>
      <c r="L337" s="28">
        <f t="shared" si="58"/>
        <v>-1.4013926565368635E-2</v>
      </c>
      <c r="N337" s="27">
        <f t="shared" ca="1" si="59"/>
        <v>11108.754157422763</v>
      </c>
      <c r="O337" s="27">
        <f t="shared" ca="1" si="60"/>
        <v>9574.3296672764882</v>
      </c>
      <c r="P337" s="27">
        <f t="shared" ca="1" si="61"/>
        <v>6177.1979757241406</v>
      </c>
      <c r="Q337" s="27">
        <f t="shared" ca="1" si="62"/>
        <v>112.24386579631076</v>
      </c>
      <c r="T337" s="25">
        <f t="shared" ca="1" si="63"/>
        <v>10009479.627788639</v>
      </c>
      <c r="V337" s="25">
        <f t="shared" ca="1" si="64"/>
        <v>9479.6277886386961</v>
      </c>
      <c r="X337" s="14">
        <v>23484.938092451543</v>
      </c>
    </row>
    <row r="338" spans="1:24">
      <c r="A338" s="1">
        <v>334</v>
      </c>
      <c r="B338" s="9">
        <v>39458</v>
      </c>
      <c r="C338" s="37">
        <v>12606.3</v>
      </c>
      <c r="D338" s="38">
        <v>12145.3766</v>
      </c>
      <c r="E338" s="38">
        <v>7945.872781065088</v>
      </c>
      <c r="F338" s="38">
        <v>129.43303980920933</v>
      </c>
      <c r="I338" s="28">
        <f t="shared" si="55"/>
        <v>-1.9387560360678402E-2</v>
      </c>
      <c r="J338" s="28">
        <f t="shared" si="56"/>
        <v>-2.9234744292538925E-3</v>
      </c>
      <c r="K338" s="28">
        <f t="shared" si="57"/>
        <v>-1.5493598346721393E-3</v>
      </c>
      <c r="L338" s="28">
        <f t="shared" si="58"/>
        <v>-1.5251885569807288E-2</v>
      </c>
      <c r="N338" s="27">
        <f t="shared" ca="1" si="59"/>
        <v>10851.284582891503</v>
      </c>
      <c r="O338" s="27">
        <f t="shared" ca="1" si="60"/>
        <v>9718.0709965878741</v>
      </c>
      <c r="P338" s="27">
        <f t="shared" ca="1" si="61"/>
        <v>6300.3166594197382</v>
      </c>
      <c r="Q338" s="27">
        <f t="shared" ca="1" si="62"/>
        <v>113.09950323724343</v>
      </c>
      <c r="T338" s="25">
        <f t="shared" ca="1" si="63"/>
        <v>9995985.8401988931</v>
      </c>
      <c r="V338" s="25">
        <f t="shared" ca="1" si="64"/>
        <v>-4014.1598011069</v>
      </c>
      <c r="X338" s="14">
        <v>23670.341208180413</v>
      </c>
    </row>
    <row r="339" spans="1:24">
      <c r="A339" s="1">
        <v>335</v>
      </c>
      <c r="B339" s="9">
        <v>39462</v>
      </c>
      <c r="C339" s="37">
        <v>12501.11</v>
      </c>
      <c r="D339" s="38">
        <v>11878.867840000001</v>
      </c>
      <c r="E339" s="38">
        <v>7799.7920380273317</v>
      </c>
      <c r="F339" s="38">
        <v>130.805373525557</v>
      </c>
      <c r="I339" s="28">
        <f t="shared" si="55"/>
        <v>-8.3792486333144432E-3</v>
      </c>
      <c r="J339" s="28">
        <f t="shared" si="56"/>
        <v>-2.2187560889012935E-2</v>
      </c>
      <c r="K339" s="28">
        <f t="shared" si="57"/>
        <v>-1.8555575278176428E-2</v>
      </c>
      <c r="L339" s="28">
        <f t="shared" si="58"/>
        <v>1.0546839874984486E-2</v>
      </c>
      <c r="N339" s="27">
        <f t="shared" ca="1" si="59"/>
        <v>11185.034069304966</v>
      </c>
      <c r="O339" s="27">
        <f t="shared" ca="1" si="60"/>
        <v>9707.6477571109644</v>
      </c>
      <c r="P339" s="27">
        <f t="shared" ca="1" si="61"/>
        <v>6246.8885112297285</v>
      </c>
      <c r="Q339" s="27">
        <f t="shared" ca="1" si="62"/>
        <v>115.52204599386812</v>
      </c>
      <c r="T339" s="25">
        <f t="shared" ca="1" si="63"/>
        <v>10148176.66286315</v>
      </c>
      <c r="V339" s="25">
        <f t="shared" ca="1" si="64"/>
        <v>148176.66286315024</v>
      </c>
      <c r="X339" s="14">
        <v>23896.009442634881</v>
      </c>
    </row>
    <row r="340" spans="1:24">
      <c r="A340" s="1">
        <v>336</v>
      </c>
      <c r="B340" s="9">
        <v>39463</v>
      </c>
      <c r="C340" s="37">
        <v>12466.16</v>
      </c>
      <c r="D340" s="38">
        <v>11677.20421</v>
      </c>
      <c r="E340" s="38">
        <v>7673.1130690161526</v>
      </c>
      <c r="F340" s="38">
        <v>126.39938225383752</v>
      </c>
      <c r="I340" s="28">
        <f t="shared" si="55"/>
        <v>-2.7996671505189897E-3</v>
      </c>
      <c r="J340" s="28">
        <f t="shared" si="56"/>
        <v>-1.712242656452195E-2</v>
      </c>
      <c r="K340" s="28">
        <f t="shared" si="57"/>
        <v>-1.6374662502433624E-2</v>
      </c>
      <c r="L340" s="28">
        <f t="shared" si="58"/>
        <v>-3.4263925710410946E-2</v>
      </c>
      <c r="N340" s="27">
        <f t="shared" ca="1" si="59"/>
        <v>10886.697575975621</v>
      </c>
      <c r="O340" s="27">
        <f t="shared" ca="1" si="60"/>
        <v>9353.9758820392472</v>
      </c>
      <c r="P340" s="27">
        <f t="shared" ca="1" si="61"/>
        <v>6065.8025780030339</v>
      </c>
      <c r="Q340" s="27">
        <f t="shared" ca="1" si="62"/>
        <v>114.71139710686793</v>
      </c>
      <c r="T340" s="25">
        <f t="shared" ca="1" si="63"/>
        <v>9885808.230835624</v>
      </c>
      <c r="V340" s="25">
        <f t="shared" ca="1" si="64"/>
        <v>-114191.76916437596</v>
      </c>
      <c r="X340" s="14">
        <v>24033.563794121146</v>
      </c>
    </row>
    <row r="341" spans="1:24">
      <c r="A341" s="1">
        <v>337</v>
      </c>
      <c r="B341" s="9">
        <v>39464</v>
      </c>
      <c r="C341" s="37">
        <v>12159.21</v>
      </c>
      <c r="D341" s="38">
        <v>11668.45456</v>
      </c>
      <c r="E341" s="38">
        <v>7575.0440658049356</v>
      </c>
      <c r="F341" s="38">
        <v>128.66097265005135</v>
      </c>
      <c r="I341" s="28">
        <f t="shared" si="55"/>
        <v>-2.4930865892945967E-2</v>
      </c>
      <c r="J341" s="28">
        <f t="shared" si="56"/>
        <v>-7.495740853471338E-4</v>
      </c>
      <c r="K341" s="28">
        <f t="shared" si="57"/>
        <v>-1.2863240399821981E-2</v>
      </c>
      <c r="L341" s="28">
        <f t="shared" si="58"/>
        <v>1.7734231333821935E-2</v>
      </c>
      <c r="N341" s="27">
        <f t="shared" ca="1" si="59"/>
        <v>11151.127015825939</v>
      </c>
      <c r="O341" s="27">
        <f t="shared" ca="1" si="60"/>
        <v>9538.3418195510967</v>
      </c>
      <c r="P341" s="27">
        <f t="shared" ca="1" si="61"/>
        <v>6326.5690197256445</v>
      </c>
      <c r="Q341" s="27">
        <f t="shared" ca="1" si="62"/>
        <v>114.4599812089388</v>
      </c>
      <c r="T341" s="25">
        <f t="shared" ca="1" si="63"/>
        <v>10076986.467304854</v>
      </c>
      <c r="V341" s="25">
        <f t="shared" ca="1" si="64"/>
        <v>76986.467304853722</v>
      </c>
      <c r="X341" s="14">
        <v>25188.949449108914</v>
      </c>
    </row>
    <row r="342" spans="1:24">
      <c r="A342" s="1">
        <v>338</v>
      </c>
      <c r="B342" s="9">
        <v>39465</v>
      </c>
      <c r="C342" s="37">
        <v>12099.3</v>
      </c>
      <c r="D342" s="38">
        <v>11530.741459999999</v>
      </c>
      <c r="E342" s="38">
        <v>7448.2960362732192</v>
      </c>
      <c r="F342" s="38">
        <v>129.46007284953771</v>
      </c>
      <c r="I342" s="28">
        <f t="shared" si="55"/>
        <v>-4.9393076327254653E-3</v>
      </c>
      <c r="J342" s="28">
        <f t="shared" si="56"/>
        <v>-1.1872369841517459E-2</v>
      </c>
      <c r="K342" s="28">
        <f t="shared" si="57"/>
        <v>-1.6873882378748879E-2</v>
      </c>
      <c r="L342" s="28">
        <f t="shared" si="58"/>
        <v>6.1916900333729152E-3</v>
      </c>
      <c r="N342" s="27">
        <f t="shared" ca="1" si="59"/>
        <v>10894.894748971585</v>
      </c>
      <c r="O342" s="27">
        <f t="shared" ca="1" si="60"/>
        <v>9384.7713604475994</v>
      </c>
      <c r="P342" s="27">
        <f t="shared" ca="1" si="61"/>
        <v>6056.619611763268</v>
      </c>
      <c r="Q342" s="27">
        <f t="shared" ca="1" si="62"/>
        <v>113.85798658748706</v>
      </c>
      <c r="T342" s="25">
        <f t="shared" ca="1" si="63"/>
        <v>9881797.289491266</v>
      </c>
      <c r="V342" s="25">
        <f t="shared" ca="1" si="64"/>
        <v>-118202.71050873399</v>
      </c>
      <c r="X342" s="14">
        <v>25443.597914729267</v>
      </c>
    </row>
    <row r="343" spans="1:24">
      <c r="A343" s="1">
        <v>339</v>
      </c>
      <c r="B343" s="9">
        <v>39469</v>
      </c>
      <c r="C343" s="37">
        <v>11971.19</v>
      </c>
      <c r="D343" s="38">
        <v>11255.188080000002</v>
      </c>
      <c r="E343" s="38">
        <v>7077.6673487284415</v>
      </c>
      <c r="F343" s="38">
        <v>117.70314547837484</v>
      </c>
      <c r="I343" s="28">
        <f t="shared" si="55"/>
        <v>-1.064466985638224E-2</v>
      </c>
      <c r="J343" s="28">
        <f t="shared" si="56"/>
        <v>-2.4187454224237213E-2</v>
      </c>
      <c r="K343" s="28">
        <f t="shared" si="57"/>
        <v>-5.1040903368031049E-2</v>
      </c>
      <c r="L343" s="28">
        <f t="shared" si="58"/>
        <v>-9.5206777386431296E-2</v>
      </c>
      <c r="N343" s="27">
        <f t="shared" ca="1" si="59"/>
        <v>11040.07383183612</v>
      </c>
      <c r="O343" s="27">
        <f t="shared" ca="1" si="60"/>
        <v>9758.037878862362</v>
      </c>
      <c r="P343" s="27">
        <f t="shared" ca="1" si="61"/>
        <v>5997.1722900136156</v>
      </c>
      <c r="Q343" s="27">
        <f t="shared" ca="1" si="62"/>
        <v>115.57159319228671</v>
      </c>
      <c r="T343" s="25">
        <f t="shared" ca="1" si="63"/>
        <v>10071920.517629853</v>
      </c>
      <c r="V343" s="25">
        <f t="shared" ca="1" si="64"/>
        <v>71920.517629852518</v>
      </c>
      <c r="X343" s="14">
        <v>25914.440129633993</v>
      </c>
    </row>
    <row r="344" spans="1:24">
      <c r="A344" s="1">
        <v>340</v>
      </c>
      <c r="B344" s="9">
        <v>39470</v>
      </c>
      <c r="C344" s="37">
        <v>12270.17</v>
      </c>
      <c r="D344" s="38">
        <v>10935.33035</v>
      </c>
      <c r="E344" s="38">
        <v>6749.286754002911</v>
      </c>
      <c r="F344" s="38">
        <v>121.33793625271917</v>
      </c>
      <c r="I344" s="28">
        <f t="shared" si="55"/>
        <v>2.4668183724370484E-2</v>
      </c>
      <c r="J344" s="28">
        <f t="shared" si="56"/>
        <v>-2.8830321008075272E-2</v>
      </c>
      <c r="K344" s="28">
        <f t="shared" si="57"/>
        <v>-4.7507549671968227E-2</v>
      </c>
      <c r="L344" s="28">
        <f t="shared" si="58"/>
        <v>3.0413775948578047E-2</v>
      </c>
      <c r="N344" s="27">
        <f t="shared" ca="1" si="59"/>
        <v>11026.504056240066</v>
      </c>
      <c r="O344" s="27">
        <f t="shared" ca="1" si="60"/>
        <v>9763.4528249691812</v>
      </c>
      <c r="P344" s="27">
        <f t="shared" ca="1" si="61"/>
        <v>6042.2109200997356</v>
      </c>
      <c r="Q344" s="27">
        <f t="shared" ca="1" si="62"/>
        <v>115.5789294580985</v>
      </c>
      <c r="T344" s="25">
        <f t="shared" ca="1" si="63"/>
        <v>10076081.999660298</v>
      </c>
      <c r="V344" s="25">
        <f t="shared" ca="1" si="64"/>
        <v>76081.999660298228</v>
      </c>
      <c r="X344" s="14">
        <v>26950.290582520887</v>
      </c>
    </row>
    <row r="345" spans="1:24">
      <c r="A345" s="1">
        <v>341</v>
      </c>
      <c r="B345" s="9">
        <v>39471</v>
      </c>
      <c r="C345" s="37">
        <v>12378.61</v>
      </c>
      <c r="D345" s="38">
        <v>11584.727280000001</v>
      </c>
      <c r="E345" s="38">
        <v>7230.4942630185351</v>
      </c>
      <c r="F345" s="38">
        <v>122.74097684447361</v>
      </c>
      <c r="I345" s="28">
        <f t="shared" si="55"/>
        <v>8.7988695277234231E-3</v>
      </c>
      <c r="J345" s="28">
        <f t="shared" si="56"/>
        <v>5.76887528155536E-2</v>
      </c>
      <c r="K345" s="28">
        <f t="shared" si="57"/>
        <v>6.8870563402778889E-2</v>
      </c>
      <c r="L345" s="28">
        <f t="shared" si="58"/>
        <v>1.1496741179570507E-2</v>
      </c>
      <c r="N345" s="27">
        <f t="shared" ca="1" si="59"/>
        <v>11042.127802847064</v>
      </c>
      <c r="O345" s="27">
        <f t="shared" ca="1" si="60"/>
        <v>9659.3012676159415</v>
      </c>
      <c r="P345" s="27">
        <f t="shared" ca="1" si="61"/>
        <v>6157.156492479915</v>
      </c>
      <c r="Q345" s="27">
        <f t="shared" ca="1" si="62"/>
        <v>111.35687114583929</v>
      </c>
      <c r="T345" s="25">
        <f t="shared" ca="1" si="63"/>
        <v>9992898.1961499825</v>
      </c>
      <c r="V345" s="25">
        <f t="shared" ca="1" si="64"/>
        <v>-7101.803850017488</v>
      </c>
      <c r="X345" s="14">
        <v>27328.239729838446</v>
      </c>
    </row>
    <row r="346" spans="1:24">
      <c r="A346" s="1">
        <v>342</v>
      </c>
      <c r="B346" s="9">
        <v>39472</v>
      </c>
      <c r="C346" s="37">
        <v>12207.17</v>
      </c>
      <c r="D346" s="38">
        <v>11639.400800000001</v>
      </c>
      <c r="E346" s="38">
        <v>7169.4885361552024</v>
      </c>
      <c r="F346" s="38">
        <v>127.01919850885368</v>
      </c>
      <c r="I346" s="28">
        <f t="shared" si="55"/>
        <v>-1.3946499058947804E-2</v>
      </c>
      <c r="J346" s="28">
        <f t="shared" si="56"/>
        <v>4.70834649328878E-3</v>
      </c>
      <c r="K346" s="28">
        <f t="shared" si="57"/>
        <v>-8.4730784329414763E-3</v>
      </c>
      <c r="L346" s="28">
        <f t="shared" si="58"/>
        <v>3.4261988817278967E-2</v>
      </c>
      <c r="N346" s="27">
        <f t="shared" ca="1" si="59"/>
        <v>11043.944472174318</v>
      </c>
      <c r="O346" s="27">
        <f t="shared" ca="1" si="60"/>
        <v>9636.4744428415852</v>
      </c>
      <c r="P346" s="27">
        <f t="shared" ca="1" si="61"/>
        <v>6181.9036164390864</v>
      </c>
      <c r="Q346" s="27">
        <f t="shared" ca="1" si="62"/>
        <v>113.78682147324386</v>
      </c>
      <c r="T346" s="25">
        <f t="shared" ca="1" si="63"/>
        <v>10033491.017984645</v>
      </c>
      <c r="V346" s="25">
        <f t="shared" ca="1" si="64"/>
        <v>33491.017984645441</v>
      </c>
      <c r="X346" s="14">
        <v>28560.093246016651</v>
      </c>
    </row>
    <row r="347" spans="1:24">
      <c r="A347" s="1">
        <v>343</v>
      </c>
      <c r="B347" s="9">
        <v>39475</v>
      </c>
      <c r="C347" s="37">
        <v>12383.89</v>
      </c>
      <c r="D347" s="38">
        <v>11504.85986</v>
      </c>
      <c r="E347" s="38">
        <v>7173.1025299600542</v>
      </c>
      <c r="F347" s="38">
        <v>122.55744919936323</v>
      </c>
      <c r="I347" s="28">
        <f t="shared" si="55"/>
        <v>1.4372950352639339E-2</v>
      </c>
      <c r="J347" s="28">
        <f t="shared" si="56"/>
        <v>-1.1626420692858949E-2</v>
      </c>
      <c r="K347" s="28">
        <f t="shared" si="57"/>
        <v>5.0395271881888365E-4</v>
      </c>
      <c r="L347" s="28">
        <f t="shared" si="58"/>
        <v>-3.5758351287393748E-2</v>
      </c>
      <c r="N347" s="27">
        <f t="shared" ca="1" si="59"/>
        <v>11142.680084844917</v>
      </c>
      <c r="O347" s="27">
        <f t="shared" ca="1" si="60"/>
        <v>9679.4622884077999</v>
      </c>
      <c r="P347" s="27">
        <f t="shared" ca="1" si="61"/>
        <v>6083.0505380810619</v>
      </c>
      <c r="Q347" s="27">
        <f t="shared" ca="1" si="62"/>
        <v>110.42030668228918</v>
      </c>
      <c r="T347" s="25">
        <f t="shared" ca="1" si="63"/>
        <v>10007135.559434623</v>
      </c>
      <c r="V347" s="25">
        <f t="shared" ca="1" si="64"/>
        <v>7135.5594346225262</v>
      </c>
      <c r="X347" s="14">
        <v>28899.130532957613</v>
      </c>
    </row>
    <row r="348" spans="1:24">
      <c r="A348" s="1">
        <v>344</v>
      </c>
      <c r="B348" s="9">
        <v>39476</v>
      </c>
      <c r="C348" s="37">
        <v>12480.3</v>
      </c>
      <c r="D348" s="38">
        <v>11696.24648</v>
      </c>
      <c r="E348" s="38">
        <v>7296.8842291789715</v>
      </c>
      <c r="F348" s="38">
        <v>126.06490834268612</v>
      </c>
      <c r="I348" s="28">
        <f t="shared" si="55"/>
        <v>7.7549667349190565E-3</v>
      </c>
      <c r="J348" s="28">
        <f t="shared" si="56"/>
        <v>1.6498434034598497E-2</v>
      </c>
      <c r="K348" s="28">
        <f t="shared" si="57"/>
        <v>1.7109168204562233E-2</v>
      </c>
      <c r="L348" s="28">
        <f t="shared" si="58"/>
        <v>2.8217026779106948E-2</v>
      </c>
      <c r="N348" s="27">
        <f t="shared" ca="1" si="59"/>
        <v>10990.419764017459</v>
      </c>
      <c r="O348" s="27">
        <f t="shared" ca="1" si="60"/>
        <v>9640.1467723831283</v>
      </c>
      <c r="P348" s="27">
        <f t="shared" ca="1" si="61"/>
        <v>6083.8045317050955</v>
      </c>
      <c r="Q348" s="27">
        <f t="shared" ca="1" si="62"/>
        <v>111.8788345185644</v>
      </c>
      <c r="T348" s="25">
        <f t="shared" ca="1" si="63"/>
        <v>9965569.7123466842</v>
      </c>
      <c r="V348" s="25">
        <f t="shared" ca="1" si="64"/>
        <v>-34430.287653315812</v>
      </c>
      <c r="X348" s="14">
        <v>29014.162510041147</v>
      </c>
    </row>
    <row r="349" spans="1:24">
      <c r="A349" s="1">
        <v>345</v>
      </c>
      <c r="B349" s="9">
        <v>39477</v>
      </c>
      <c r="C349" s="37">
        <v>12442.83</v>
      </c>
      <c r="D349" s="38">
        <v>11607.47105</v>
      </c>
      <c r="E349" s="38">
        <v>7206.2250480555958</v>
      </c>
      <c r="F349" s="38">
        <v>124.3132743362832</v>
      </c>
      <c r="I349" s="28">
        <f t="shared" si="55"/>
        <v>-3.0068477138251435E-3</v>
      </c>
      <c r="J349" s="28">
        <f t="shared" si="56"/>
        <v>-7.6190298250566222E-3</v>
      </c>
      <c r="K349" s="28">
        <f t="shared" si="57"/>
        <v>-1.2502196633878734E-2</v>
      </c>
      <c r="L349" s="28">
        <f t="shared" si="58"/>
        <v>-1.3992134342141723E-2</v>
      </c>
      <c r="N349" s="27">
        <f t="shared" ca="1" si="59"/>
        <v>11091.863198083391</v>
      </c>
      <c r="O349" s="27">
        <f t="shared" ca="1" si="60"/>
        <v>9493.6123250510918</v>
      </c>
      <c r="P349" s="27">
        <f t="shared" ca="1" si="61"/>
        <v>6187.9868908936396</v>
      </c>
      <c r="Q349" s="27">
        <f t="shared" ca="1" si="62"/>
        <v>112.23601991758147</v>
      </c>
      <c r="T349" s="25">
        <f t="shared" ca="1" si="63"/>
        <v>9979726.2699355371</v>
      </c>
      <c r="V349" s="25">
        <f t="shared" ca="1" si="64"/>
        <v>-20273.73006446287</v>
      </c>
      <c r="X349" s="14">
        <v>29587.900719322264</v>
      </c>
    </row>
    <row r="350" spans="1:24">
      <c r="A350" s="1">
        <v>346</v>
      </c>
      <c r="B350" s="9">
        <v>39478</v>
      </c>
      <c r="C350" s="37">
        <v>12650.36</v>
      </c>
      <c r="D350" s="38">
        <v>11690.218360000001</v>
      </c>
      <c r="E350" s="38">
        <v>7210.2309742374891</v>
      </c>
      <c r="F350" s="38">
        <v>127.8449021820918</v>
      </c>
      <c r="I350" s="28">
        <f t="shared" si="55"/>
        <v>1.6541119866542043E-2</v>
      </c>
      <c r="J350" s="28">
        <f t="shared" si="56"/>
        <v>7.1035076908011717E-3</v>
      </c>
      <c r="K350" s="28">
        <f t="shared" si="57"/>
        <v>5.5574355844477093E-4</v>
      </c>
      <c r="L350" s="28">
        <f t="shared" si="58"/>
        <v>2.8013041968867929E-2</v>
      </c>
      <c r="N350" s="27">
        <f t="shared" ca="1" si="59"/>
        <v>11227.038421340681</v>
      </c>
      <c r="O350" s="27">
        <f t="shared" ca="1" si="60"/>
        <v>9599.4598398349572</v>
      </c>
      <c r="P350" s="27">
        <f t="shared" ca="1" si="61"/>
        <v>6292.4035042845398</v>
      </c>
      <c r="Q350" s="27">
        <f t="shared" ca="1" si="62"/>
        <v>112.20694364867595</v>
      </c>
      <c r="T350" s="25">
        <f t="shared" ca="1" si="63"/>
        <v>10078185.092800556</v>
      </c>
      <c r="V350" s="25">
        <f t="shared" ca="1" si="64"/>
        <v>78185.092800555751</v>
      </c>
      <c r="X350" s="14">
        <v>29903.921205535531</v>
      </c>
    </row>
    <row r="351" spans="1:24">
      <c r="A351" s="1">
        <v>347</v>
      </c>
      <c r="B351" s="9">
        <v>39479</v>
      </c>
      <c r="C351" s="37">
        <v>12743.19</v>
      </c>
      <c r="D351" s="38">
        <v>11869.083119999999</v>
      </c>
      <c r="E351" s="38">
        <v>7379.2766083605111</v>
      </c>
      <c r="F351" s="38">
        <v>127.03209411764706</v>
      </c>
      <c r="I351" s="28">
        <f t="shared" si="55"/>
        <v>7.3113379991165571E-3</v>
      </c>
      <c r="J351" s="28">
        <f t="shared" si="56"/>
        <v>1.5184507644685666E-2</v>
      </c>
      <c r="K351" s="28">
        <f t="shared" si="57"/>
        <v>2.3174627215169771E-2</v>
      </c>
      <c r="L351" s="28">
        <f t="shared" si="58"/>
        <v>-6.3780633924727399E-3</v>
      </c>
      <c r="N351" s="27">
        <f t="shared" ca="1" si="59"/>
        <v>10792.033928957811</v>
      </c>
      <c r="O351" s="27">
        <f t="shared" ca="1" si="60"/>
        <v>9531.5382406702465</v>
      </c>
      <c r="P351" s="27">
        <f t="shared" ca="1" si="61"/>
        <v>6220.7298301122628</v>
      </c>
      <c r="Q351" s="27">
        <f t="shared" ca="1" si="62"/>
        <v>113.77364516741366</v>
      </c>
      <c r="T351" s="25">
        <f t="shared" ca="1" si="63"/>
        <v>9915305.9293623082</v>
      </c>
      <c r="V351" s="25">
        <f t="shared" ca="1" si="64"/>
        <v>-84694.070637691766</v>
      </c>
      <c r="X351" s="14">
        <v>30042.693391129375</v>
      </c>
    </row>
    <row r="352" spans="1:24">
      <c r="A352" s="1">
        <v>348</v>
      </c>
      <c r="B352" s="9">
        <v>39482</v>
      </c>
      <c r="C352" s="37">
        <v>12635.16</v>
      </c>
      <c r="D352" s="38">
        <v>11905.96334</v>
      </c>
      <c r="E352" s="38">
        <v>7369.447325529708</v>
      </c>
      <c r="F352" s="38">
        <v>129.79677842292566</v>
      </c>
      <c r="I352" s="28">
        <f t="shared" si="55"/>
        <v>-8.5136072687148154E-3</v>
      </c>
      <c r="J352" s="28">
        <f t="shared" si="56"/>
        <v>3.1024334394753024E-3</v>
      </c>
      <c r="K352" s="28">
        <f t="shared" si="57"/>
        <v>-1.3328996230596159E-3</v>
      </c>
      <c r="L352" s="28">
        <f t="shared" si="58"/>
        <v>2.1530220295278332E-2</v>
      </c>
      <c r="N352" s="27">
        <f t="shared" ca="1" si="59"/>
        <v>10853.596149606123</v>
      </c>
      <c r="O352" s="27">
        <f t="shared" ca="1" si="60"/>
        <v>9793.3760948154068</v>
      </c>
      <c r="P352" s="27">
        <f t="shared" ca="1" si="61"/>
        <v>6288.3897819606091</v>
      </c>
      <c r="Q352" s="27">
        <f t="shared" ca="1" si="62"/>
        <v>112.52502077304358</v>
      </c>
      <c r="T352" s="25">
        <f t="shared" ca="1" si="63"/>
        <v>10008250.39053113</v>
      </c>
      <c r="V352" s="25">
        <f t="shared" ca="1" si="64"/>
        <v>8250.3905311301351</v>
      </c>
      <c r="X352" s="14">
        <v>30114.3311842978</v>
      </c>
    </row>
    <row r="353" spans="1:24">
      <c r="A353" s="1">
        <v>349</v>
      </c>
      <c r="B353" s="9">
        <v>39483</v>
      </c>
      <c r="C353" s="37">
        <v>12265.13</v>
      </c>
      <c r="D353" s="38">
        <v>11528.272799999999</v>
      </c>
      <c r="E353" s="38">
        <v>6994.9626592473278</v>
      </c>
      <c r="F353" s="38">
        <v>128.55873550317995</v>
      </c>
      <c r="I353" s="28">
        <f t="shared" si="55"/>
        <v>-2.972312707653401E-2</v>
      </c>
      <c r="J353" s="28">
        <f t="shared" si="56"/>
        <v>-3.2236873067318997E-2</v>
      </c>
      <c r="K353" s="28">
        <f t="shared" si="57"/>
        <v>-5.2152443740684694E-2</v>
      </c>
      <c r="L353" s="28">
        <f t="shared" si="58"/>
        <v>-9.5840988846322209E-3</v>
      </c>
      <c r="N353" s="27">
        <f t="shared" ca="1" si="59"/>
        <v>10944.973347946039</v>
      </c>
      <c r="O353" s="27">
        <f t="shared" ca="1" si="60"/>
        <v>9506.8838531527308</v>
      </c>
      <c r="P353" s="27">
        <f t="shared" ca="1" si="61"/>
        <v>6221.3608151932885</v>
      </c>
      <c r="Q353" s="27">
        <f t="shared" ca="1" si="62"/>
        <v>111.81491291147871</v>
      </c>
      <c r="T353" s="25">
        <f t="shared" ca="1" si="63"/>
        <v>9928483.6560991127</v>
      </c>
      <c r="V353" s="25">
        <f t="shared" ca="1" si="64"/>
        <v>-71516.343900887296</v>
      </c>
      <c r="X353" s="14">
        <v>30304.121637813747</v>
      </c>
    </row>
    <row r="354" spans="1:24">
      <c r="A354" s="1">
        <v>350</v>
      </c>
      <c r="B354" s="9">
        <v>39484</v>
      </c>
      <c r="C354" s="37">
        <v>12200.1</v>
      </c>
      <c r="D354" s="38">
        <v>11516.959079999999</v>
      </c>
      <c r="E354" s="38">
        <v>7060.1436528877166</v>
      </c>
      <c r="F354" s="38">
        <v>122.72100430953719</v>
      </c>
      <c r="I354" s="28">
        <f t="shared" si="55"/>
        <v>-5.3161284935558878E-3</v>
      </c>
      <c r="J354" s="28">
        <f t="shared" si="56"/>
        <v>-9.8187086750503496E-4</v>
      </c>
      <c r="K354" s="28">
        <f t="shared" si="57"/>
        <v>9.2751288357123176E-3</v>
      </c>
      <c r="L354" s="28">
        <f t="shared" si="58"/>
        <v>-4.6472364198002124E-2</v>
      </c>
      <c r="N354" s="27">
        <f t="shared" ca="1" si="59"/>
        <v>11100.646828132223</v>
      </c>
      <c r="O354" s="27">
        <f t="shared" ca="1" si="60"/>
        <v>9720.3959936158044</v>
      </c>
      <c r="P354" s="27">
        <f t="shared" ca="1" si="61"/>
        <v>6231.1666327980956</v>
      </c>
      <c r="Q354" s="27">
        <f t="shared" ca="1" si="62"/>
        <v>110.80966755224543</v>
      </c>
      <c r="T354" s="25">
        <f t="shared" ca="1" si="63"/>
        <v>10035463.62341666</v>
      </c>
      <c r="V354" s="25">
        <f t="shared" ca="1" si="64"/>
        <v>35463.623416660354</v>
      </c>
      <c r="X354" s="14">
        <v>30341.435519939288</v>
      </c>
    </row>
    <row r="355" spans="1:24">
      <c r="A355" s="1">
        <v>351</v>
      </c>
      <c r="B355" s="9">
        <v>39485</v>
      </c>
      <c r="C355" s="37">
        <v>12247</v>
      </c>
      <c r="D355" s="38">
        <v>11113.912560000001</v>
      </c>
      <c r="E355" s="38">
        <v>6851.0514865844816</v>
      </c>
      <c r="F355" s="38">
        <v>123.8712249108985</v>
      </c>
      <c r="I355" s="28">
        <f t="shared" si="55"/>
        <v>3.8368606122208332E-3</v>
      </c>
      <c r="J355" s="28">
        <f t="shared" si="56"/>
        <v>-3.5622944399517978E-2</v>
      </c>
      <c r="K355" s="28">
        <f t="shared" si="57"/>
        <v>-3.0063256547545235E-2</v>
      </c>
      <c r="L355" s="28">
        <f t="shared" si="58"/>
        <v>9.328995864761035E-3</v>
      </c>
      <c r="N355" s="27">
        <f t="shared" ca="1" si="59"/>
        <v>10897.813274092427</v>
      </c>
      <c r="O355" s="27">
        <f t="shared" ca="1" si="60"/>
        <v>9592.3980269210897</v>
      </c>
      <c r="P355" s="27">
        <f t="shared" ca="1" si="61"/>
        <v>6081.7836491026874</v>
      </c>
      <c r="Q355" s="27">
        <f t="shared" ca="1" si="62"/>
        <v>111.37377075703023</v>
      </c>
      <c r="T355" s="25">
        <f t="shared" ca="1" si="63"/>
        <v>9907761.1794198528</v>
      </c>
      <c r="V355" s="25">
        <f t="shared" ca="1" si="64"/>
        <v>-92238.820580147207</v>
      </c>
      <c r="X355" s="14">
        <v>30383.122662207112</v>
      </c>
    </row>
    <row r="356" spans="1:24">
      <c r="A356" s="1">
        <v>352</v>
      </c>
      <c r="B356" s="9">
        <v>39486</v>
      </c>
      <c r="C356" s="37">
        <v>12182.13</v>
      </c>
      <c r="D356" s="38">
        <v>11257.9776</v>
      </c>
      <c r="E356" s="38">
        <v>6827.5587126703394</v>
      </c>
      <c r="F356" s="38">
        <v>121.14695207073056</v>
      </c>
      <c r="I356" s="28">
        <f t="shared" si="55"/>
        <v>-5.310885199282158E-3</v>
      </c>
      <c r="J356" s="28">
        <f t="shared" si="56"/>
        <v>1.2879290071295048E-2</v>
      </c>
      <c r="K356" s="28">
        <f t="shared" si="57"/>
        <v>-3.4349684172888971E-3</v>
      </c>
      <c r="L356" s="28">
        <f t="shared" si="58"/>
        <v>-2.2238228562126518E-2</v>
      </c>
      <c r="N356" s="27">
        <f t="shared" ca="1" si="59"/>
        <v>10921.106864399591</v>
      </c>
      <c r="O356" s="27">
        <f t="shared" ca="1" si="60"/>
        <v>9679.5013463365995</v>
      </c>
      <c r="P356" s="27">
        <f t="shared" ca="1" si="61"/>
        <v>6130.5283994288684</v>
      </c>
      <c r="Q356" s="27">
        <f t="shared" ca="1" si="62"/>
        <v>110.97842101255293</v>
      </c>
      <c r="T356" s="25">
        <f t="shared" ca="1" si="63"/>
        <v>9944287.8796754889</v>
      </c>
      <c r="V356" s="25">
        <f t="shared" ca="1" si="64"/>
        <v>-55712.120324511081</v>
      </c>
      <c r="X356" s="14">
        <v>30551.921015074477</v>
      </c>
    </row>
    <row r="357" spans="1:24">
      <c r="A357" s="1">
        <v>353</v>
      </c>
      <c r="B357" s="9">
        <v>39490</v>
      </c>
      <c r="C357" s="37">
        <v>12373.41</v>
      </c>
      <c r="D357" s="38">
        <v>11585.964</v>
      </c>
      <c r="E357" s="38">
        <v>7063.6363636363631</v>
      </c>
      <c r="F357" s="38">
        <v>121.21344131062085</v>
      </c>
      <c r="I357" s="28">
        <f t="shared" si="55"/>
        <v>1.5579691511515852E-2</v>
      </c>
      <c r="J357" s="28">
        <f t="shared" si="56"/>
        <v>2.8717368127622843E-2</v>
      </c>
      <c r="K357" s="28">
        <f t="shared" si="57"/>
        <v>3.3992810807399972E-2</v>
      </c>
      <c r="L357" s="28">
        <f t="shared" si="58"/>
        <v>5.4868075291271846E-4</v>
      </c>
      <c r="N357" s="27">
        <f t="shared" ca="1" si="59"/>
        <v>10979.658790516467</v>
      </c>
      <c r="O357" s="27">
        <f t="shared" ca="1" si="60"/>
        <v>9662.9293340751374</v>
      </c>
      <c r="P357" s="27">
        <f t="shared" ca="1" si="61"/>
        <v>6381.1577858844739</v>
      </c>
      <c r="Q357" s="27">
        <f t="shared" ca="1" si="62"/>
        <v>111.21757239434655</v>
      </c>
      <c r="T357" s="25">
        <f t="shared" ca="1" si="63"/>
        <v>10005019.020396931</v>
      </c>
      <c r="V357" s="25">
        <f t="shared" ca="1" si="64"/>
        <v>5019.0203969310969</v>
      </c>
      <c r="X357" s="14">
        <v>31028.098998934031</v>
      </c>
    </row>
    <row r="358" spans="1:24">
      <c r="A358" s="1">
        <v>354</v>
      </c>
      <c r="B358" s="9">
        <v>39491</v>
      </c>
      <c r="C358" s="37">
        <v>12552.24</v>
      </c>
      <c r="D358" s="38">
        <v>11540.87227</v>
      </c>
      <c r="E358" s="38">
        <v>7071.6574424701421</v>
      </c>
      <c r="F358" s="38">
        <v>120.73447893569845</v>
      </c>
      <c r="I358" s="28">
        <f t="shared" si="55"/>
        <v>1.4349320355444862E-2</v>
      </c>
      <c r="J358" s="28">
        <f t="shared" si="56"/>
        <v>-3.8995205927233071E-3</v>
      </c>
      <c r="K358" s="28">
        <f t="shared" si="57"/>
        <v>1.1349010221836171E-3</v>
      </c>
      <c r="L358" s="28">
        <f t="shared" si="58"/>
        <v>-3.9592239528023878E-3</v>
      </c>
      <c r="N358" s="27">
        <f t="shared" ca="1" si="59"/>
        <v>11082.173542632172</v>
      </c>
      <c r="O358" s="27">
        <f t="shared" ca="1" si="60"/>
        <v>9541.4454897553114</v>
      </c>
      <c r="P358" s="27">
        <f t="shared" ca="1" si="61"/>
        <v>6190.3072324185669</v>
      </c>
      <c r="Q358" s="27">
        <f t="shared" ca="1" si="62"/>
        <v>113.00917704932495</v>
      </c>
      <c r="T358" s="25">
        <f t="shared" ca="1" si="63"/>
        <v>10005237.829960156</v>
      </c>
      <c r="V358" s="25">
        <f t="shared" ca="1" si="64"/>
        <v>5237.8299601562321</v>
      </c>
      <c r="X358" s="14">
        <v>31067.52001979202</v>
      </c>
    </row>
    <row r="359" spans="1:24">
      <c r="A359" s="1">
        <v>355</v>
      </c>
      <c r="B359" s="9">
        <v>39492</v>
      </c>
      <c r="C359" s="37">
        <v>12376.98</v>
      </c>
      <c r="D359" s="38">
        <v>11592.803740000001</v>
      </c>
      <c r="E359" s="38">
        <v>7104.3281181459279</v>
      </c>
      <c r="F359" s="38">
        <v>125.97254321900712</v>
      </c>
      <c r="I359" s="28">
        <f t="shared" si="55"/>
        <v>-1.4060840050709726E-2</v>
      </c>
      <c r="J359" s="28">
        <f t="shared" si="56"/>
        <v>4.4896934850228807E-3</v>
      </c>
      <c r="K359" s="28">
        <f t="shared" si="57"/>
        <v>4.6093068279036021E-3</v>
      </c>
      <c r="L359" s="28">
        <f t="shared" si="58"/>
        <v>4.2470226809111465E-2</v>
      </c>
      <c r="N359" s="27">
        <f t="shared" ca="1" si="59"/>
        <v>10981.033239407427</v>
      </c>
      <c r="O359" s="27">
        <f t="shared" ca="1" si="60"/>
        <v>9584.6780613533101</v>
      </c>
      <c r="P359" s="27">
        <f t="shared" ca="1" si="61"/>
        <v>6118.2622114429669</v>
      </c>
      <c r="Q359" s="27">
        <f t="shared" ca="1" si="62"/>
        <v>111.47533471194669</v>
      </c>
      <c r="T359" s="25">
        <f t="shared" ca="1" si="63"/>
        <v>9943233.5925398339</v>
      </c>
      <c r="V359" s="25">
        <f t="shared" ca="1" si="64"/>
        <v>-56766.407460166141</v>
      </c>
      <c r="X359" s="14">
        <v>31658.394961399958</v>
      </c>
    </row>
    <row r="360" spans="1:24">
      <c r="A360" s="1">
        <v>356</v>
      </c>
      <c r="B360" s="9">
        <v>39493</v>
      </c>
      <c r="C360" s="37">
        <v>12348.21</v>
      </c>
      <c r="D360" s="38">
        <v>11359.901280000002</v>
      </c>
      <c r="E360" s="38">
        <v>7010.1219333039517</v>
      </c>
      <c r="F360" s="38">
        <v>126.58018955584463</v>
      </c>
      <c r="I360" s="28">
        <f t="shared" si="55"/>
        <v>-2.3271823580993133E-3</v>
      </c>
      <c r="J360" s="28">
        <f t="shared" si="56"/>
        <v>-2.0294815249160797E-2</v>
      </c>
      <c r="K360" s="28">
        <f t="shared" si="57"/>
        <v>-1.3349097335524697E-2</v>
      </c>
      <c r="L360" s="28">
        <f t="shared" si="58"/>
        <v>4.8120446189918427E-3</v>
      </c>
      <c r="N360" s="27">
        <f t="shared" ca="1" si="59"/>
        <v>10956.816629961617</v>
      </c>
      <c r="O360" s="27">
        <f t="shared" ca="1" si="60"/>
        <v>9840.8232750841398</v>
      </c>
      <c r="P360" s="27">
        <f t="shared" ca="1" si="61"/>
        <v>6271.5693372607102</v>
      </c>
      <c r="Q360" s="27">
        <f t="shared" ca="1" si="62"/>
        <v>112.7933088380953</v>
      </c>
      <c r="T360" s="25">
        <f t="shared" ca="1" si="63"/>
        <v>10062580.534199243</v>
      </c>
      <c r="V360" s="25">
        <f t="shared" ca="1" si="64"/>
        <v>62580.534199243411</v>
      </c>
      <c r="X360" s="14">
        <v>31782.61825697124</v>
      </c>
    </row>
    <row r="361" spans="1:24">
      <c r="A361" s="1">
        <v>357</v>
      </c>
      <c r="B361" s="9">
        <v>39497</v>
      </c>
      <c r="C361" s="37">
        <v>12337.22</v>
      </c>
      <c r="D361" s="38">
        <v>11643.21197</v>
      </c>
      <c r="E361" s="38">
        <v>7204.1138307283982</v>
      </c>
      <c r="F361" s="38">
        <v>127.9329551794681</v>
      </c>
      <c r="I361" s="28">
        <f t="shared" si="55"/>
        <v>-8.9040383141710379E-4</v>
      </c>
      <c r="J361" s="28">
        <f t="shared" si="56"/>
        <v>2.4633623563640638E-2</v>
      </c>
      <c r="K361" s="28">
        <f t="shared" si="57"/>
        <v>2.7297133144110912E-2</v>
      </c>
      <c r="L361" s="28">
        <f t="shared" si="58"/>
        <v>1.0630322170369265E-2</v>
      </c>
      <c r="N361" s="27">
        <f t="shared" ca="1" si="59"/>
        <v>11084.335771565553</v>
      </c>
      <c r="O361" s="27">
        <f t="shared" ca="1" si="60"/>
        <v>9430.3665376814424</v>
      </c>
      <c r="P361" s="27">
        <f t="shared" ca="1" si="61"/>
        <v>6082.1449327591081</v>
      </c>
      <c r="Q361" s="27">
        <f t="shared" ca="1" si="62"/>
        <v>111.29942015513981</v>
      </c>
      <c r="T361" s="25">
        <f t="shared" ca="1" si="63"/>
        <v>9923556.6686254796</v>
      </c>
      <c r="V361" s="25">
        <f t="shared" ca="1" si="64"/>
        <v>-76443.331374520436</v>
      </c>
      <c r="X361" s="14">
        <v>32003.89057277143</v>
      </c>
    </row>
    <row r="362" spans="1:24">
      <c r="A362" s="1">
        <v>358</v>
      </c>
      <c r="B362" s="9">
        <v>39498</v>
      </c>
      <c r="C362" s="37">
        <v>12427.26</v>
      </c>
      <c r="D362" s="38">
        <v>11437.120160000002</v>
      </c>
      <c r="E362" s="38">
        <v>7049.6704262487192</v>
      </c>
      <c r="F362" s="38">
        <v>123.20994168286587</v>
      </c>
      <c r="I362" s="28">
        <f t="shared" si="55"/>
        <v>7.2717373239527166E-3</v>
      </c>
      <c r="J362" s="28">
        <f t="shared" si="56"/>
        <v>-1.7859126682512674E-2</v>
      </c>
      <c r="K362" s="28">
        <f t="shared" si="57"/>
        <v>-2.167136055227863E-2</v>
      </c>
      <c r="L362" s="28">
        <f t="shared" si="58"/>
        <v>-3.7616595713013394E-2</v>
      </c>
      <c r="N362" s="27">
        <f t="shared" ca="1" si="59"/>
        <v>10909.882830414275</v>
      </c>
      <c r="O362" s="27">
        <f t="shared" ca="1" si="60"/>
        <v>9692.8931050463161</v>
      </c>
      <c r="P362" s="27">
        <f t="shared" ca="1" si="61"/>
        <v>6162.0218890779588</v>
      </c>
      <c r="Q362" s="27">
        <f t="shared" ca="1" si="62"/>
        <v>114.10548373180558</v>
      </c>
      <c r="T362" s="25">
        <f t="shared" ca="1" si="63"/>
        <v>10004912.325136166</v>
      </c>
      <c r="V362" s="25">
        <f t="shared" ca="1" si="64"/>
        <v>4912.3251361660659</v>
      </c>
      <c r="X362" s="14">
        <v>32620.64181054011</v>
      </c>
    </row>
    <row r="363" spans="1:24">
      <c r="A363" s="1">
        <v>359</v>
      </c>
      <c r="B363" s="9">
        <v>39499</v>
      </c>
      <c r="C363" s="37">
        <v>12284.3</v>
      </c>
      <c r="D363" s="38">
        <v>11627.111999999999</v>
      </c>
      <c r="E363" s="38">
        <v>7186.5848247300701</v>
      </c>
      <c r="F363" s="38">
        <v>127.32099339596317</v>
      </c>
      <c r="I363" s="28">
        <f t="shared" si="55"/>
        <v>-1.1570422497818152E-2</v>
      </c>
      <c r="J363" s="28">
        <f t="shared" si="56"/>
        <v>1.6475392395902018E-2</v>
      </c>
      <c r="K363" s="28">
        <f t="shared" si="57"/>
        <v>1.9235201601643735E-2</v>
      </c>
      <c r="L363" s="28">
        <f t="shared" si="58"/>
        <v>3.2821661417910444E-2</v>
      </c>
      <c r="N363" s="27">
        <f t="shared" ca="1" si="59"/>
        <v>11072.152640017239</v>
      </c>
      <c r="O363" s="27">
        <f t="shared" ca="1" si="60"/>
        <v>9820.3047559525057</v>
      </c>
      <c r="P363" s="27">
        <f t="shared" ca="1" si="61"/>
        <v>6142.9571271106115</v>
      </c>
      <c r="Q363" s="27">
        <f t="shared" ca="1" si="62"/>
        <v>111.32905892665092</v>
      </c>
      <c r="T363" s="25">
        <f t="shared" ca="1" si="63"/>
        <v>10051325.487680173</v>
      </c>
      <c r="V363" s="25">
        <f t="shared" ca="1" si="64"/>
        <v>51325.487680172548</v>
      </c>
      <c r="X363" s="14">
        <v>33330.141788659617</v>
      </c>
    </row>
    <row r="364" spans="1:24">
      <c r="A364" s="1">
        <v>360</v>
      </c>
      <c r="B364" s="9">
        <v>39500</v>
      </c>
      <c r="C364" s="37">
        <v>12381.02</v>
      </c>
      <c r="D364" s="38">
        <v>11581.5018</v>
      </c>
      <c r="E364" s="38">
        <v>7147.4814814814808</v>
      </c>
      <c r="F364" s="38">
        <v>126.21970830216904</v>
      </c>
      <c r="I364" s="28">
        <f t="shared" si="55"/>
        <v>7.8426305229148761E-3</v>
      </c>
      <c r="J364" s="28">
        <f t="shared" si="56"/>
        <v>-3.9304595363175848E-3</v>
      </c>
      <c r="K364" s="28">
        <f t="shared" si="57"/>
        <v>-5.4560149807986588E-3</v>
      </c>
      <c r="L364" s="28">
        <f t="shared" si="58"/>
        <v>-8.6872996130331181E-3</v>
      </c>
      <c r="N364" s="27">
        <f t="shared" ca="1" si="59"/>
        <v>11011.055791625156</v>
      </c>
      <c r="O364" s="27">
        <f t="shared" ca="1" si="60"/>
        <v>9782.9100870147013</v>
      </c>
      <c r="P364" s="27">
        <f t="shared" ca="1" si="61"/>
        <v>6169.1297083283443</v>
      </c>
      <c r="Q364" s="27">
        <f t="shared" ca="1" si="62"/>
        <v>111.96113162989657</v>
      </c>
      <c r="T364" s="25">
        <f t="shared" ca="1" si="63"/>
        <v>10032892.840263071</v>
      </c>
      <c r="V364" s="25">
        <f t="shared" ca="1" si="64"/>
        <v>32892.840263070539</v>
      </c>
      <c r="X364" s="14">
        <v>33956.02394637838</v>
      </c>
    </row>
    <row r="365" spans="1:24">
      <c r="A365" s="1">
        <v>361</v>
      </c>
      <c r="B365" s="9">
        <v>39503</v>
      </c>
      <c r="C365" s="37">
        <v>12570.22</v>
      </c>
      <c r="D365" s="38">
        <v>11806.41605</v>
      </c>
      <c r="E365" s="38">
        <v>7295.3581491917548</v>
      </c>
      <c r="F365" s="38">
        <v>128.73133499861225</v>
      </c>
      <c r="I365" s="28">
        <f t="shared" si="55"/>
        <v>1.5165869622208143E-2</v>
      </c>
      <c r="J365" s="28">
        <f t="shared" si="56"/>
        <v>1.9233963898100156E-2</v>
      </c>
      <c r="K365" s="28">
        <f t="shared" si="57"/>
        <v>2.0478221627088736E-2</v>
      </c>
      <c r="L365" s="28">
        <f t="shared" si="58"/>
        <v>1.9703453023586982E-2</v>
      </c>
      <c r="N365" s="27">
        <f t="shared" ca="1" si="59"/>
        <v>11067.796894703213</v>
      </c>
      <c r="O365" s="27">
        <f t="shared" ca="1" si="60"/>
        <v>9744.9749495867673</v>
      </c>
      <c r="P365" s="27">
        <f t="shared" ca="1" si="61"/>
        <v>6298.0639756711707</v>
      </c>
      <c r="Q365" s="27">
        <f t="shared" ca="1" si="62"/>
        <v>115.22320446486229</v>
      </c>
      <c r="T365" s="25">
        <f t="shared" ca="1" si="63"/>
        <v>10120251.169018308</v>
      </c>
      <c r="V365" s="25">
        <f t="shared" ca="1" si="64"/>
        <v>120251.1690183077</v>
      </c>
      <c r="X365" s="14">
        <v>35860.692224184051</v>
      </c>
    </row>
    <row r="366" spans="1:24">
      <c r="A366" s="1">
        <v>362</v>
      </c>
      <c r="B366" s="9">
        <v>39504</v>
      </c>
      <c r="C366" s="37">
        <v>12684.92</v>
      </c>
      <c r="D366" s="38">
        <v>12005.570279999998</v>
      </c>
      <c r="E366" s="38">
        <v>7400.4017857142844</v>
      </c>
      <c r="F366" s="38">
        <v>128.42285183464932</v>
      </c>
      <c r="I366" s="28">
        <f t="shared" si="55"/>
        <v>9.0833619320866126E-3</v>
      </c>
      <c r="J366" s="28">
        <f t="shared" si="56"/>
        <v>1.6727615331937024E-2</v>
      </c>
      <c r="K366" s="28">
        <f t="shared" si="57"/>
        <v>1.4296018173419075E-2</v>
      </c>
      <c r="L366" s="28">
        <f t="shared" si="58"/>
        <v>-2.3992089394777078E-3</v>
      </c>
      <c r="N366" s="27">
        <f t="shared" ca="1" si="59"/>
        <v>10946.989738834651</v>
      </c>
      <c r="O366" s="27">
        <f t="shared" ca="1" si="60"/>
        <v>9693.0032263168905</v>
      </c>
      <c r="P366" s="27">
        <f t="shared" ca="1" si="61"/>
        <v>6277.155618954831</v>
      </c>
      <c r="Q366" s="27">
        <f t="shared" ca="1" si="62"/>
        <v>114.17783288636102</v>
      </c>
      <c r="T366" s="25">
        <f t="shared" ca="1" si="63"/>
        <v>10038264.458504135</v>
      </c>
      <c r="V366" s="25">
        <f t="shared" ca="1" si="64"/>
        <v>38264.458504134789</v>
      </c>
      <c r="X366" s="14">
        <v>36279.5305275172</v>
      </c>
    </row>
    <row r="367" spans="1:24">
      <c r="A367" s="1">
        <v>363</v>
      </c>
      <c r="B367" s="9">
        <v>39505</v>
      </c>
      <c r="C367" s="37">
        <v>12694.28</v>
      </c>
      <c r="D367" s="38">
        <v>12083.12025</v>
      </c>
      <c r="E367" s="38">
        <v>7501.2379227053134</v>
      </c>
      <c r="F367" s="38">
        <v>131.72455876830642</v>
      </c>
      <c r="I367" s="28">
        <f t="shared" si="55"/>
        <v>7.3761193610328874E-4</v>
      </c>
      <c r="J367" s="28">
        <f t="shared" si="56"/>
        <v>6.4387259091757123E-3</v>
      </c>
      <c r="K367" s="28">
        <f t="shared" si="57"/>
        <v>1.3533769179691698E-2</v>
      </c>
      <c r="L367" s="28">
        <f t="shared" si="58"/>
        <v>2.538471723646334E-2</v>
      </c>
      <c r="N367" s="27">
        <f t="shared" ca="1" si="59"/>
        <v>11075.431438791729</v>
      </c>
      <c r="O367" s="27">
        <f t="shared" ca="1" si="60"/>
        <v>9608.9352571757336</v>
      </c>
      <c r="P367" s="27">
        <f t="shared" ca="1" si="61"/>
        <v>6087.1652668883125</v>
      </c>
      <c r="Q367" s="27">
        <f t="shared" ca="1" si="62"/>
        <v>113.25774969917074</v>
      </c>
      <c r="T367" s="25">
        <f t="shared" ca="1" si="63"/>
        <v>10011653.552403742</v>
      </c>
      <c r="V367" s="25">
        <f t="shared" ca="1" si="64"/>
        <v>11653.552403742447</v>
      </c>
      <c r="X367" s="14">
        <v>37397.435724802315</v>
      </c>
    </row>
    <row r="368" spans="1:24">
      <c r="A368" s="1">
        <v>364</v>
      </c>
      <c r="B368" s="9">
        <v>39506</v>
      </c>
      <c r="C368" s="37">
        <v>12582.18</v>
      </c>
      <c r="D368" s="38">
        <v>11869.35672</v>
      </c>
      <c r="E368" s="38">
        <v>7384.9878567091673</v>
      </c>
      <c r="F368" s="38">
        <v>131.65840975701997</v>
      </c>
      <c r="I368" s="28">
        <f t="shared" si="55"/>
        <v>-8.8699711088992082E-3</v>
      </c>
      <c r="J368" s="28">
        <f t="shared" si="56"/>
        <v>-1.7849444607080777E-2</v>
      </c>
      <c r="K368" s="28">
        <f t="shared" si="57"/>
        <v>-1.5618791619004913E-2</v>
      </c>
      <c r="L368" s="28">
        <f t="shared" si="58"/>
        <v>-5.0230288653549827E-4</v>
      </c>
      <c r="N368" s="27">
        <f t="shared" ca="1" si="59"/>
        <v>11186.897937875388</v>
      </c>
      <c r="O368" s="27">
        <f t="shared" ca="1" si="60"/>
        <v>9646.9352509622277</v>
      </c>
      <c r="P368" s="27">
        <f t="shared" ca="1" si="61"/>
        <v>6137.8717013419018</v>
      </c>
      <c r="Q368" s="27">
        <f t="shared" ca="1" si="62"/>
        <v>114.57864442789406</v>
      </c>
      <c r="T368" s="25">
        <f t="shared" ca="1" si="63"/>
        <v>10095574.285893811</v>
      </c>
      <c r="V368" s="25">
        <f t="shared" ca="1" si="64"/>
        <v>95574.285893810913</v>
      </c>
      <c r="X368" s="14">
        <v>37777.266372207552</v>
      </c>
    </row>
    <row r="369" spans="1:24">
      <c r="A369" s="1">
        <v>365</v>
      </c>
      <c r="B369" s="9">
        <v>39507</v>
      </c>
      <c r="C369" s="37">
        <v>12266.39</v>
      </c>
      <c r="D369" s="38">
        <v>11705.049560000001</v>
      </c>
      <c r="E369" s="38">
        <v>7271.7972070431078</v>
      </c>
      <c r="F369" s="38">
        <v>130.67262247838619</v>
      </c>
      <c r="I369" s="28">
        <f t="shared" si="55"/>
        <v>-2.5418525292554828E-2</v>
      </c>
      <c r="J369" s="28">
        <f t="shared" si="56"/>
        <v>-1.3939678365338326E-2</v>
      </c>
      <c r="K369" s="28">
        <f t="shared" si="57"/>
        <v>-1.5445801997587418E-2</v>
      </c>
      <c r="L369" s="28">
        <f t="shared" si="58"/>
        <v>-7.5156332850976719E-3</v>
      </c>
      <c r="N369" s="27">
        <f t="shared" ca="1" si="59"/>
        <v>10886.785104771614</v>
      </c>
      <c r="O369" s="27">
        <f t="shared" ca="1" si="60"/>
        <v>9623.8654395494959</v>
      </c>
      <c r="P369" s="27">
        <f t="shared" ca="1" si="61"/>
        <v>6209.0868825988528</v>
      </c>
      <c r="Q369" s="27">
        <f t="shared" ca="1" si="62"/>
        <v>112.29957835656262</v>
      </c>
      <c r="T369" s="25">
        <f t="shared" ca="1" si="63"/>
        <v>9950535.9108488783</v>
      </c>
      <c r="V369" s="25">
        <f t="shared" ca="1" si="64"/>
        <v>-49464.089151121676</v>
      </c>
      <c r="X369" s="14">
        <v>38397.396716756746</v>
      </c>
    </row>
    <row r="370" spans="1:24">
      <c r="A370" s="1">
        <v>366</v>
      </c>
      <c r="B370" s="9">
        <v>39510</v>
      </c>
      <c r="C370" s="37">
        <v>12258.9</v>
      </c>
      <c r="D370" s="38">
        <v>11535.3745</v>
      </c>
      <c r="E370" s="38">
        <v>7208.7855297157612</v>
      </c>
      <c r="F370" s="38">
        <v>125.66186284940517</v>
      </c>
      <c r="I370" s="28">
        <f t="shared" si="55"/>
        <v>-6.1079809721806245E-4</v>
      </c>
      <c r="J370" s="28">
        <f t="shared" si="56"/>
        <v>-1.4601977516623793E-2</v>
      </c>
      <c r="K370" s="28">
        <f t="shared" si="57"/>
        <v>-8.7029750377255813E-3</v>
      </c>
      <c r="L370" s="28">
        <f t="shared" si="58"/>
        <v>-3.9100458888653281E-2</v>
      </c>
      <c r="N370" s="27">
        <f t="shared" ca="1" si="59"/>
        <v>10996.935873334562</v>
      </c>
      <c r="O370" s="27">
        <f t="shared" ca="1" si="60"/>
        <v>9663.3684245590466</v>
      </c>
      <c r="P370" s="27">
        <f t="shared" ca="1" si="61"/>
        <v>6284.9778205573348</v>
      </c>
      <c r="Q370" s="27">
        <f t="shared" ca="1" si="62"/>
        <v>112.70619565795046</v>
      </c>
      <c r="T370" s="25">
        <f t="shared" ca="1" si="63"/>
        <v>10022303.186975384</v>
      </c>
      <c r="V370" s="25">
        <f t="shared" ca="1" si="64"/>
        <v>22303.186975384131</v>
      </c>
      <c r="X370" s="14">
        <v>38426.414126280695</v>
      </c>
    </row>
    <row r="371" spans="1:24">
      <c r="A371" s="1">
        <v>367</v>
      </c>
      <c r="B371" s="9">
        <v>39511</v>
      </c>
      <c r="C371" s="37">
        <v>12213.8</v>
      </c>
      <c r="D371" s="38">
        <v>11455.22897</v>
      </c>
      <c r="E371" s="38">
        <v>7123.5679463741617</v>
      </c>
      <c r="F371" s="38">
        <v>126.3963420566203</v>
      </c>
      <c r="I371" s="28">
        <f t="shared" si="55"/>
        <v>-3.6857437925399824E-3</v>
      </c>
      <c r="J371" s="28">
        <f t="shared" si="56"/>
        <v>-6.9720531483507889E-3</v>
      </c>
      <c r="K371" s="28">
        <f t="shared" si="57"/>
        <v>-1.1891778657405885E-2</v>
      </c>
      <c r="L371" s="28">
        <f t="shared" si="58"/>
        <v>5.8278704818462658E-3</v>
      </c>
      <c r="N371" s="27">
        <f t="shared" ca="1" si="59"/>
        <v>10983.855922399152</v>
      </c>
      <c r="O371" s="27">
        <f t="shared" ca="1" si="60"/>
        <v>9618.4325996558946</v>
      </c>
      <c r="P371" s="27">
        <f t="shared" ca="1" si="61"/>
        <v>6301.9860969332849</v>
      </c>
      <c r="Q371" s="27">
        <f t="shared" ca="1" si="62"/>
        <v>114.99380749397169</v>
      </c>
      <c r="T371" s="25">
        <f t="shared" ca="1" si="63"/>
        <v>10046809.403231014</v>
      </c>
      <c r="V371" s="25">
        <f t="shared" ca="1" si="64"/>
        <v>46809.403231013566</v>
      </c>
      <c r="X371" s="14">
        <v>40231.402192693204</v>
      </c>
    </row>
    <row r="372" spans="1:24">
      <c r="A372" s="1">
        <v>368</v>
      </c>
      <c r="B372" s="9">
        <v>39512</v>
      </c>
      <c r="C372" s="37">
        <v>12254.99</v>
      </c>
      <c r="D372" s="38">
        <v>11646.70895</v>
      </c>
      <c r="E372" s="38">
        <v>7262.8187509543441</v>
      </c>
      <c r="F372" s="38">
        <v>124.7793382070027</v>
      </c>
      <c r="I372" s="28">
        <f t="shared" si="55"/>
        <v>3.3667409714326392E-3</v>
      </c>
      <c r="J372" s="28">
        <f t="shared" si="56"/>
        <v>1.6577342183722907E-2</v>
      </c>
      <c r="K372" s="28">
        <f t="shared" si="57"/>
        <v>1.9359295220447444E-2</v>
      </c>
      <c r="L372" s="28">
        <f t="shared" si="58"/>
        <v>-1.2875658878408233E-2</v>
      </c>
      <c r="N372" s="27">
        <f t="shared" ca="1" si="59"/>
        <v>10796.494476137368</v>
      </c>
      <c r="O372" s="27">
        <f t="shared" ca="1" si="60"/>
        <v>9794.6658721613167</v>
      </c>
      <c r="P372" s="27">
        <f t="shared" ca="1" si="61"/>
        <v>6284.3146828861863</v>
      </c>
      <c r="Q372" s="27">
        <f t="shared" ca="1" si="62"/>
        <v>116.04892045737151</v>
      </c>
      <c r="T372" s="25">
        <f t="shared" ca="1" si="63"/>
        <v>10049741.772599852</v>
      </c>
      <c r="V372" s="25">
        <f t="shared" ca="1" si="64"/>
        <v>49741.772599851713</v>
      </c>
      <c r="X372" s="14">
        <v>40872.319806942716</v>
      </c>
    </row>
    <row r="373" spans="1:24">
      <c r="A373" s="1">
        <v>369</v>
      </c>
      <c r="B373" s="9">
        <v>39513</v>
      </c>
      <c r="C373" s="37">
        <v>12040.39</v>
      </c>
      <c r="D373" s="38">
        <v>11587.004159999999</v>
      </c>
      <c r="E373" s="38">
        <v>7184.8410382429738</v>
      </c>
      <c r="F373" s="38">
        <v>128.19303521195073</v>
      </c>
      <c r="I373" s="28">
        <f t="shared" si="55"/>
        <v>-1.7666369603628291E-2</v>
      </c>
      <c r="J373" s="28">
        <f t="shared" si="56"/>
        <v>-5.139507502751591E-3</v>
      </c>
      <c r="K373" s="28">
        <f t="shared" si="57"/>
        <v>-1.0794616018860871E-2</v>
      </c>
      <c r="L373" s="28">
        <f t="shared" si="58"/>
        <v>2.6990332500768269E-2</v>
      </c>
      <c r="N373" s="27">
        <f t="shared" ca="1" si="59"/>
        <v>11040.620985713877</v>
      </c>
      <c r="O373" s="27">
        <f t="shared" ca="1" si="60"/>
        <v>9888.1488507891554</v>
      </c>
      <c r="P373" s="27">
        <f t="shared" ca="1" si="61"/>
        <v>6353.8966096999447</v>
      </c>
      <c r="Q373" s="27">
        <f t="shared" ca="1" si="62"/>
        <v>113.75964126190257</v>
      </c>
      <c r="T373" s="25">
        <f t="shared" ca="1" si="63"/>
        <v>10138191.190311693</v>
      </c>
      <c r="V373" s="25">
        <f t="shared" ca="1" si="64"/>
        <v>138191.19031169266</v>
      </c>
      <c r="X373" s="14">
        <v>41189.170514583588</v>
      </c>
    </row>
    <row r="374" spans="1:24">
      <c r="A374" s="1">
        <v>370</v>
      </c>
      <c r="B374" s="9">
        <v>39514</v>
      </c>
      <c r="C374" s="37">
        <v>11893.69</v>
      </c>
      <c r="D374" s="38">
        <v>11480.168589999999</v>
      </c>
      <c r="E374" s="38">
        <v>7092.997542997543</v>
      </c>
      <c r="F374" s="38">
        <v>124.12895707904447</v>
      </c>
      <c r="I374" s="28">
        <f t="shared" si="55"/>
        <v>-1.2258823999360737E-2</v>
      </c>
      <c r="J374" s="28">
        <f t="shared" si="56"/>
        <v>-9.2630627142452713E-3</v>
      </c>
      <c r="K374" s="28">
        <f t="shared" si="57"/>
        <v>-1.2865359350847457E-2</v>
      </c>
      <c r="L374" s="28">
        <f t="shared" si="58"/>
        <v>-3.2216213842812522E-2</v>
      </c>
      <c r="N374" s="27">
        <f t="shared" ca="1" si="59"/>
        <v>11195.326821971386</v>
      </c>
      <c r="O374" s="27">
        <f t="shared" ca="1" si="60"/>
        <v>9658.2636776290965</v>
      </c>
      <c r="P374" s="27">
        <f t="shared" ca="1" si="61"/>
        <v>6226.9761878046511</v>
      </c>
      <c r="Q374" s="27">
        <f t="shared" ca="1" si="62"/>
        <v>113.99660717270909</v>
      </c>
      <c r="T374" s="25">
        <f t="shared" ca="1" si="63"/>
        <v>10106226.358085865</v>
      </c>
      <c r="V374" s="25">
        <f t="shared" ca="1" si="64"/>
        <v>106226.35808586515</v>
      </c>
      <c r="X374" s="14">
        <v>41299.895103784278</v>
      </c>
    </row>
    <row r="375" spans="1:24">
      <c r="A375" s="1">
        <v>371</v>
      </c>
      <c r="B375" s="9">
        <v>39517</v>
      </c>
      <c r="C375" s="37">
        <v>11740.15</v>
      </c>
      <c r="D375" s="38">
        <v>11351.64306</v>
      </c>
      <c r="E375" s="38">
        <v>7019.6587765139875</v>
      </c>
      <c r="F375" s="38">
        <v>123.08122176389708</v>
      </c>
      <c r="I375" s="28">
        <f t="shared" si="55"/>
        <v>-1.2993416233608741E-2</v>
      </c>
      <c r="J375" s="28">
        <f t="shared" si="56"/>
        <v>-1.1258579877803366E-2</v>
      </c>
      <c r="K375" s="28">
        <f t="shared" si="57"/>
        <v>-1.0393426299531048E-2</v>
      </c>
      <c r="L375" s="28">
        <f t="shared" si="58"/>
        <v>-8.4765246600069059E-3</v>
      </c>
      <c r="N375" s="27">
        <f t="shared" ca="1" si="59"/>
        <v>11260.537436540773</v>
      </c>
      <c r="O375" s="27">
        <f t="shared" ca="1" si="60"/>
        <v>9537.2900728429377</v>
      </c>
      <c r="P375" s="27">
        <f t="shared" ca="1" si="61"/>
        <v>6223.0634695989738</v>
      </c>
      <c r="Q375" s="27">
        <f t="shared" ca="1" si="62"/>
        <v>111.81700329594835</v>
      </c>
      <c r="T375" s="25">
        <f t="shared" ca="1" si="63"/>
        <v>10052818.271928335</v>
      </c>
      <c r="V375" s="25">
        <f t="shared" ca="1" si="64"/>
        <v>52818.271928334609</v>
      </c>
      <c r="X375" s="14">
        <v>42085.776336720213</v>
      </c>
    </row>
    <row r="376" spans="1:24">
      <c r="A376" s="1">
        <v>372</v>
      </c>
      <c r="B376" s="9">
        <v>39518</v>
      </c>
      <c r="C376" s="37">
        <v>12156.81</v>
      </c>
      <c r="D376" s="38">
        <v>11401.854479999998</v>
      </c>
      <c r="E376" s="38">
        <v>7093.3323114653585</v>
      </c>
      <c r="F376" s="38">
        <v>123.03926905132194</v>
      </c>
      <c r="I376" s="28">
        <f t="shared" si="55"/>
        <v>3.4874915446048545E-2</v>
      </c>
      <c r="J376" s="28">
        <f t="shared" si="56"/>
        <v>4.4135194088761121E-3</v>
      </c>
      <c r="K376" s="28">
        <f t="shared" si="57"/>
        <v>1.0440622222833606E-2</v>
      </c>
      <c r="L376" s="28">
        <f t="shared" si="58"/>
        <v>-3.4091198861574325E-4</v>
      </c>
      <c r="N376" s="27">
        <f t="shared" ca="1" si="59"/>
        <v>11232.1698496097</v>
      </c>
      <c r="O376" s="27">
        <f t="shared" ca="1" si="60"/>
        <v>9693.3166818467816</v>
      </c>
      <c r="P376" s="27">
        <f t="shared" ca="1" si="61"/>
        <v>6340.2256074943671</v>
      </c>
      <c r="Q376" s="27">
        <f t="shared" ca="1" si="62"/>
        <v>113.81251820581741</v>
      </c>
      <c r="T376" s="25">
        <f t="shared" ca="1" si="63"/>
        <v>10145552.707999464</v>
      </c>
      <c r="V376" s="25">
        <f t="shared" ca="1" si="64"/>
        <v>145552.70799946412</v>
      </c>
      <c r="X376" s="14">
        <v>42593.040884910151</v>
      </c>
    </row>
    <row r="377" spans="1:24">
      <c r="A377" s="1">
        <v>373</v>
      </c>
      <c r="B377" s="9">
        <v>39519</v>
      </c>
      <c r="C377" s="37">
        <v>12110.24</v>
      </c>
      <c r="D377" s="38">
        <v>11674.104399999998</v>
      </c>
      <c r="E377" s="38">
        <v>7277.8122094824921</v>
      </c>
      <c r="F377" s="38">
        <v>125.59697265624999</v>
      </c>
      <c r="I377" s="28">
        <f t="shared" si="55"/>
        <v>-3.8381308951443574E-3</v>
      </c>
      <c r="J377" s="28">
        <f t="shared" si="56"/>
        <v>2.359707383702575E-2</v>
      </c>
      <c r="K377" s="28">
        <f t="shared" si="57"/>
        <v>2.5675064622736887E-2</v>
      </c>
      <c r="L377" s="28">
        <f t="shared" si="58"/>
        <v>2.0574585688824261E-2</v>
      </c>
      <c r="N377" s="27">
        <f t="shared" ca="1" si="59"/>
        <v>10924.808486280655</v>
      </c>
      <c r="O377" s="27">
        <f t="shared" ca="1" si="60"/>
        <v>9465.1769958102104</v>
      </c>
      <c r="P377" s="27">
        <f t="shared" ca="1" si="61"/>
        <v>6181.5440488489849</v>
      </c>
      <c r="Q377" s="27">
        <f t="shared" ca="1" si="62"/>
        <v>112.28084243327524</v>
      </c>
      <c r="T377" s="25">
        <f t="shared" ca="1" si="63"/>
        <v>9909970.0173816551</v>
      </c>
      <c r="V377" s="25">
        <f t="shared" ca="1" si="64"/>
        <v>-90029.982618344948</v>
      </c>
      <c r="X377" s="14">
        <v>42693.712406264618</v>
      </c>
    </row>
    <row r="378" spans="1:24">
      <c r="A378" s="1">
        <v>374</v>
      </c>
      <c r="B378" s="9">
        <v>39520</v>
      </c>
      <c r="C378" s="37">
        <v>12145.74</v>
      </c>
      <c r="D378" s="38">
        <v>11561.2644</v>
      </c>
      <c r="E378" s="38">
        <v>7215.5056880162056</v>
      </c>
      <c r="F378" s="38">
        <v>123.60512973456606</v>
      </c>
      <c r="I378" s="28">
        <f t="shared" si="55"/>
        <v>2.9271153214183512E-3</v>
      </c>
      <c r="J378" s="28">
        <f t="shared" si="56"/>
        <v>-9.7128552661413757E-3</v>
      </c>
      <c r="K378" s="28">
        <f t="shared" si="57"/>
        <v>-8.5980181688360691E-3</v>
      </c>
      <c r="L378" s="28">
        <f t="shared" si="58"/>
        <v>-1.5986103819058444E-2</v>
      </c>
      <c r="N378" s="27">
        <f t="shared" ca="1" si="59"/>
        <v>11007.55968743859</v>
      </c>
      <c r="O378" s="27">
        <f t="shared" ca="1" si="60"/>
        <v>9580.777058860027</v>
      </c>
      <c r="P378" s="27">
        <f t="shared" ca="1" si="61"/>
        <v>6055.2341570947929</v>
      </c>
      <c r="Q378" s="27">
        <f t="shared" ca="1" si="62"/>
        <v>112.07054780984204</v>
      </c>
      <c r="T378" s="25">
        <f t="shared" ca="1" si="63"/>
        <v>9952027.3803730346</v>
      </c>
      <c r="V378" s="25">
        <f t="shared" ca="1" si="64"/>
        <v>-47972.619626965374</v>
      </c>
      <c r="X378" s="14">
        <v>42911.342571962625</v>
      </c>
    </row>
    <row r="379" spans="1:24">
      <c r="A379" s="1">
        <v>375</v>
      </c>
      <c r="B379" s="9">
        <v>39521</v>
      </c>
      <c r="C379" s="37">
        <v>11951.09</v>
      </c>
      <c r="D379" s="38">
        <v>11427.28247</v>
      </c>
      <c r="E379" s="38">
        <v>7165.1583710407231</v>
      </c>
      <c r="F379" s="38">
        <v>122.1594651232412</v>
      </c>
      <c r="I379" s="28">
        <f t="shared" si="55"/>
        <v>-1.6156003415042943E-2</v>
      </c>
      <c r="J379" s="28">
        <f t="shared" si="56"/>
        <v>-1.1656539042626602E-2</v>
      </c>
      <c r="K379" s="28">
        <f t="shared" si="57"/>
        <v>-7.0021137379479743E-3</v>
      </c>
      <c r="L379" s="28">
        <f t="shared" si="58"/>
        <v>-1.1764764461872031E-2</v>
      </c>
      <c r="N379" s="27">
        <f t="shared" ca="1" si="59"/>
        <v>10937.130707039489</v>
      </c>
      <c r="O379" s="27">
        <f t="shared" ca="1" si="60"/>
        <v>9729.3962802950045</v>
      </c>
      <c r="P379" s="27">
        <f t="shared" ca="1" si="61"/>
        <v>6316.7743711580515</v>
      </c>
      <c r="Q379" s="27">
        <f t="shared" ca="1" si="62"/>
        <v>114.99700508716735</v>
      </c>
      <c r="T379" s="25">
        <f t="shared" ca="1" si="63"/>
        <v>10066970.676432159</v>
      </c>
      <c r="V379" s="25">
        <f t="shared" ca="1" si="64"/>
        <v>66970.676432158798</v>
      </c>
      <c r="X379" s="14">
        <v>43180.483739787713</v>
      </c>
    </row>
    <row r="380" spans="1:24">
      <c r="A380" s="1">
        <v>376</v>
      </c>
      <c r="B380" s="9">
        <v>39524</v>
      </c>
      <c r="C380" s="37">
        <v>11972.25</v>
      </c>
      <c r="D380" s="38">
        <v>10833.131519999999</v>
      </c>
      <c r="E380" s="38">
        <v>6984.6153846153848</v>
      </c>
      <c r="F380" s="38">
        <v>121.63357754617687</v>
      </c>
      <c r="I380" s="28">
        <f t="shared" si="55"/>
        <v>1.7689842236082041E-3</v>
      </c>
      <c r="J380" s="28">
        <f t="shared" si="56"/>
        <v>-5.3394523812004248E-2</v>
      </c>
      <c r="K380" s="28">
        <f t="shared" si="57"/>
        <v>-2.5520236315230694E-2</v>
      </c>
      <c r="L380" s="28">
        <f t="shared" si="58"/>
        <v>-4.31421985614592E-3</v>
      </c>
      <c r="N380" s="27">
        <f t="shared" ca="1" si="59"/>
        <v>11070.509767161762</v>
      </c>
      <c r="O380" s="27">
        <f t="shared" ca="1" si="60"/>
        <v>9582.0487587549214</v>
      </c>
      <c r="P380" s="27">
        <f t="shared" ca="1" si="61"/>
        <v>6142.7498523844297</v>
      </c>
      <c r="Q380" s="27">
        <f t="shared" ca="1" si="62"/>
        <v>114.61085125923195</v>
      </c>
      <c r="T380" s="25">
        <f t="shared" ca="1" si="63"/>
        <v>10034416.457674932</v>
      </c>
      <c r="V380" s="25">
        <f t="shared" ca="1" si="64"/>
        <v>34416.457674931735</v>
      </c>
      <c r="X380" s="14">
        <v>43752.264062644914</v>
      </c>
    </row>
    <row r="381" spans="1:24">
      <c r="A381" s="1">
        <v>377</v>
      </c>
      <c r="B381" s="9">
        <v>39525</v>
      </c>
      <c r="C381" s="37">
        <v>12392.66</v>
      </c>
      <c r="D381" s="38">
        <v>11331.564119999999</v>
      </c>
      <c r="E381" s="38">
        <v>7232.623106060606</v>
      </c>
      <c r="F381" s="38">
        <v>121.78501628664496</v>
      </c>
      <c r="I381" s="28">
        <f t="shared" si="55"/>
        <v>3.4512890033584237E-2</v>
      </c>
      <c r="J381" s="28">
        <f t="shared" si="56"/>
        <v>4.4982945132268443E-2</v>
      </c>
      <c r="K381" s="28">
        <f t="shared" si="57"/>
        <v>3.48918508096056E-2</v>
      </c>
      <c r="L381" s="28">
        <f t="shared" si="58"/>
        <v>1.2442661640728056E-3</v>
      </c>
      <c r="N381" s="27">
        <f t="shared" ca="1" si="59"/>
        <v>11102.321201300594</v>
      </c>
      <c r="O381" s="27">
        <f t="shared" ca="1" si="60"/>
        <v>9402.4527760165402</v>
      </c>
      <c r="P381" s="27">
        <f t="shared" ca="1" si="61"/>
        <v>6118.2738422172715</v>
      </c>
      <c r="Q381" s="27">
        <f t="shared" ca="1" si="62"/>
        <v>113.58838984591614</v>
      </c>
      <c r="T381" s="25">
        <f t="shared" ca="1" si="63"/>
        <v>9967764.0755216014</v>
      </c>
      <c r="V381" s="25">
        <f t="shared" ca="1" si="64"/>
        <v>-32235.924478398636</v>
      </c>
      <c r="X381" s="14">
        <v>44083.694194257259</v>
      </c>
    </row>
    <row r="382" spans="1:24">
      <c r="A382" s="1">
        <v>378</v>
      </c>
      <c r="B382" s="9">
        <v>39526</v>
      </c>
      <c r="C382" s="37">
        <v>12099.66</v>
      </c>
      <c r="D382" s="38">
        <v>11012.45248</v>
      </c>
      <c r="E382" s="38">
        <v>7126.4664476771468</v>
      </c>
      <c r="F382" s="38">
        <v>123.40654252642176</v>
      </c>
      <c r="I382" s="28">
        <f t="shared" si="55"/>
        <v>-2.3927008829792838E-2</v>
      </c>
      <c r="J382" s="28">
        <f t="shared" si="56"/>
        <v>-2.856544054674643E-2</v>
      </c>
      <c r="K382" s="28">
        <f t="shared" si="57"/>
        <v>-1.4786256760214949E-2</v>
      </c>
      <c r="L382" s="28">
        <f t="shared" si="58"/>
        <v>1.3226800203249345E-2</v>
      </c>
      <c r="N382" s="27">
        <f t="shared" ca="1" si="59"/>
        <v>11112.522575335794</v>
      </c>
      <c r="O382" s="27">
        <f t="shared" ca="1" si="60"/>
        <v>9631.1903870601418</v>
      </c>
      <c r="P382" s="27">
        <f t="shared" ca="1" si="61"/>
        <v>6180.5157414786554</v>
      </c>
      <c r="Q382" s="27">
        <f t="shared" ca="1" si="62"/>
        <v>113.38157929340908</v>
      </c>
      <c r="T382" s="25">
        <f t="shared" ca="1" si="63"/>
        <v>10049319.741408734</v>
      </c>
      <c r="V382" s="25">
        <f t="shared" ca="1" si="64"/>
        <v>49319.741408733651</v>
      </c>
      <c r="X382" s="14">
        <v>44531.800158482045</v>
      </c>
    </row>
    <row r="383" spans="1:24">
      <c r="A383" s="1">
        <v>379</v>
      </c>
      <c r="B383" s="9">
        <v>39532</v>
      </c>
      <c r="C383" s="37">
        <v>12532.6</v>
      </c>
      <c r="D383" s="38">
        <v>11376.493270000001</v>
      </c>
      <c r="E383" s="38">
        <v>7317.5296319401123</v>
      </c>
      <c r="F383" s="38">
        <v>127.35031974420463</v>
      </c>
      <c r="I383" s="28">
        <f t="shared" si="55"/>
        <v>3.5155896343274588E-2</v>
      </c>
      <c r="J383" s="28">
        <f t="shared" si="56"/>
        <v>3.2522556548020533E-2</v>
      </c>
      <c r="K383" s="28">
        <f t="shared" si="57"/>
        <v>2.6457266842866554E-2</v>
      </c>
      <c r="L383" s="28">
        <f t="shared" si="58"/>
        <v>3.1457583255296441E-2</v>
      </c>
      <c r="N383" s="27">
        <f t="shared" ca="1" si="59"/>
        <v>11172.547723274602</v>
      </c>
      <c r="O383" s="27">
        <f t="shared" ca="1" si="60"/>
        <v>9679.9802915414348</v>
      </c>
      <c r="P383" s="27">
        <f t="shared" ca="1" si="61"/>
        <v>6165.4820073420506</v>
      </c>
      <c r="Q383" s="27">
        <f t="shared" ca="1" si="62"/>
        <v>115.33904713903105</v>
      </c>
      <c r="T383" s="25">
        <f t="shared" ca="1" si="63"/>
        <v>10118625.819474282</v>
      </c>
      <c r="V383" s="25">
        <f t="shared" ca="1" si="64"/>
        <v>118625.81947428174</v>
      </c>
      <c r="X383" s="14">
        <v>44542.244005938992</v>
      </c>
    </row>
    <row r="384" spans="1:24">
      <c r="A384" s="1">
        <v>380</v>
      </c>
      <c r="B384" s="9">
        <v>39533</v>
      </c>
      <c r="C384" s="37">
        <v>12422.86</v>
      </c>
      <c r="D384" s="38">
        <v>11331.554759999999</v>
      </c>
      <c r="E384" s="38">
        <v>7370.6540583136339</v>
      </c>
      <c r="F384" s="38">
        <v>128.18147886613536</v>
      </c>
      <c r="I384" s="28">
        <f t="shared" si="55"/>
        <v>-8.7949256292124255E-3</v>
      </c>
      <c r="J384" s="28">
        <f t="shared" si="56"/>
        <v>-3.9579420129144333E-3</v>
      </c>
      <c r="K384" s="28">
        <f t="shared" si="57"/>
        <v>7.2336592654220462E-3</v>
      </c>
      <c r="L384" s="28">
        <f t="shared" si="58"/>
        <v>6.5053512528921572E-3</v>
      </c>
      <c r="N384" s="27">
        <f t="shared" ca="1" si="59"/>
        <v>11071.605366172407</v>
      </c>
      <c r="O384" s="27">
        <f t="shared" ca="1" si="60"/>
        <v>9601.0782160423641</v>
      </c>
      <c r="P384" s="27">
        <f t="shared" ca="1" si="61"/>
        <v>6171.5310155838906</v>
      </c>
      <c r="Q384" s="27">
        <f t="shared" ca="1" si="62"/>
        <v>113.66234128238594</v>
      </c>
      <c r="T384" s="25">
        <f t="shared" ca="1" si="63"/>
        <v>10028588.399316244</v>
      </c>
      <c r="V384" s="25">
        <f t="shared" ca="1" si="64"/>
        <v>28588.399316243827</v>
      </c>
      <c r="X384" s="14">
        <v>44572.342641722411</v>
      </c>
    </row>
    <row r="385" spans="1:24">
      <c r="A385" s="1">
        <v>381</v>
      </c>
      <c r="B385" s="9">
        <v>39534</v>
      </c>
      <c r="C385" s="37">
        <v>12302.46</v>
      </c>
      <c r="D385" s="38">
        <v>11489.887999999999</v>
      </c>
      <c r="E385" s="38">
        <v>7455.8135860979455</v>
      </c>
      <c r="F385" s="38">
        <v>126.19723668402084</v>
      </c>
      <c r="I385" s="28">
        <f t="shared" si="55"/>
        <v>-9.7390813673766622E-3</v>
      </c>
      <c r="J385" s="28">
        <f t="shared" si="56"/>
        <v>1.3876053514928917E-2</v>
      </c>
      <c r="K385" s="28">
        <f t="shared" si="57"/>
        <v>1.1487626902802158E-2</v>
      </c>
      <c r="L385" s="28">
        <f t="shared" si="58"/>
        <v>-1.5601009882461414E-2</v>
      </c>
      <c r="N385" s="27">
        <f t="shared" ca="1" si="59"/>
        <v>10982.645304462889</v>
      </c>
      <c r="O385" s="27">
        <f t="shared" ca="1" si="60"/>
        <v>9684.178131147688</v>
      </c>
      <c r="P385" s="27">
        <f t="shared" ca="1" si="61"/>
        <v>6198.5542566383592</v>
      </c>
      <c r="Q385" s="27">
        <f t="shared" ca="1" si="62"/>
        <v>112.46914161086367</v>
      </c>
      <c r="T385" s="25">
        <f t="shared" ca="1" si="63"/>
        <v>10005479.463263661</v>
      </c>
      <c r="V385" s="25">
        <f t="shared" ca="1" si="64"/>
        <v>5479.4632636606693</v>
      </c>
      <c r="X385" s="14">
        <v>44947.078383632004</v>
      </c>
    </row>
    <row r="386" spans="1:24">
      <c r="A386" s="1">
        <v>382</v>
      </c>
      <c r="B386" s="9">
        <v>39535</v>
      </c>
      <c r="C386" s="37">
        <v>12216.4</v>
      </c>
      <c r="D386" s="38">
        <v>11322.608809999998</v>
      </c>
      <c r="E386" s="38">
        <v>7399.8109045067758</v>
      </c>
      <c r="F386" s="38">
        <v>128.56468110709989</v>
      </c>
      <c r="I386" s="28">
        <f t="shared" si="55"/>
        <v>-7.0199310584072991E-3</v>
      </c>
      <c r="J386" s="28">
        <f t="shared" si="56"/>
        <v>-1.4665837736038457E-2</v>
      </c>
      <c r="K386" s="28">
        <f t="shared" si="57"/>
        <v>-7.5396287675933297E-3</v>
      </c>
      <c r="L386" s="28">
        <f t="shared" si="58"/>
        <v>1.8586079069493958E-2</v>
      </c>
      <c r="N386" s="27">
        <f t="shared" ca="1" si="59"/>
        <v>10872.802100428611</v>
      </c>
      <c r="O386" s="27">
        <f t="shared" ca="1" si="60"/>
        <v>9583.0723805443286</v>
      </c>
      <c r="P386" s="27">
        <f t="shared" ca="1" si="61"/>
        <v>6179.6131048901207</v>
      </c>
      <c r="Q386" s="27">
        <f t="shared" ca="1" si="62"/>
        <v>112.45939016917389</v>
      </c>
      <c r="T386" s="25">
        <f t="shared" ca="1" si="63"/>
        <v>9930792.8487087432</v>
      </c>
      <c r="V386" s="25">
        <f t="shared" ca="1" si="64"/>
        <v>-69207.15129125677</v>
      </c>
      <c r="X386" s="14">
        <v>45912.338830480352</v>
      </c>
    </row>
    <row r="387" spans="1:24">
      <c r="A387" s="1">
        <v>383</v>
      </c>
      <c r="B387" s="9">
        <v>39538</v>
      </c>
      <c r="C387" s="37">
        <v>12262.89</v>
      </c>
      <c r="D387" s="38">
        <v>11332.923750000002</v>
      </c>
      <c r="E387" s="38">
        <v>7458.5168752971003</v>
      </c>
      <c r="F387" s="38">
        <v>125.85952572347269</v>
      </c>
      <c r="I387" s="28">
        <f t="shared" si="55"/>
        <v>3.7983173444507351E-3</v>
      </c>
      <c r="J387" s="28">
        <f t="shared" si="56"/>
        <v>9.1058911861156562E-4</v>
      </c>
      <c r="K387" s="28">
        <f t="shared" si="57"/>
        <v>7.9021377297965965E-3</v>
      </c>
      <c r="L387" s="28">
        <f t="shared" si="58"/>
        <v>-2.126572280846804E-2</v>
      </c>
      <c r="N387" s="27">
        <f t="shared" ca="1" si="59"/>
        <v>10975.221722771577</v>
      </c>
      <c r="O387" s="27">
        <f t="shared" ca="1" si="60"/>
        <v>9455.127957684841</v>
      </c>
      <c r="P387" s="27">
        <f t="shared" ca="1" si="61"/>
        <v>6087.0339208950663</v>
      </c>
      <c r="Q387" s="27">
        <f t="shared" ca="1" si="62"/>
        <v>112.30346945022919</v>
      </c>
      <c r="T387" s="25">
        <f t="shared" ca="1" si="63"/>
        <v>9910283.569435006</v>
      </c>
      <c r="V387" s="25">
        <f t="shared" ca="1" si="64"/>
        <v>-89716.430564993992</v>
      </c>
      <c r="X387" s="14">
        <v>45980.205242585391</v>
      </c>
    </row>
    <row r="388" spans="1:24">
      <c r="A388" s="1">
        <v>384</v>
      </c>
      <c r="B388" s="9">
        <v>39539</v>
      </c>
      <c r="C388" s="37">
        <v>12654.36</v>
      </c>
      <c r="D388" s="38">
        <v>11561.811300000001</v>
      </c>
      <c r="E388" s="38">
        <v>7588.8958203368684</v>
      </c>
      <c r="F388" s="38">
        <v>124.25309247987434</v>
      </c>
      <c r="I388" s="28">
        <f t="shared" si="55"/>
        <v>3.1424191155065249E-2</v>
      </c>
      <c r="J388" s="28">
        <f t="shared" si="56"/>
        <v>1.9995442232225453E-2</v>
      </c>
      <c r="K388" s="28">
        <f t="shared" si="57"/>
        <v>1.73295184396745E-2</v>
      </c>
      <c r="L388" s="28">
        <f t="shared" si="58"/>
        <v>-1.2845855964232832E-2</v>
      </c>
      <c r="N388" s="27">
        <f t="shared" ca="1" si="59"/>
        <v>11085.264738747494</v>
      </c>
      <c r="O388" s="27">
        <f t="shared" ca="1" si="60"/>
        <v>9713.628740411441</v>
      </c>
      <c r="P388" s="27">
        <f t="shared" ca="1" si="61"/>
        <v>6307.1004374101367</v>
      </c>
      <c r="Q388" s="27">
        <f t="shared" ca="1" si="62"/>
        <v>116.88882612472051</v>
      </c>
      <c r="T388" s="25">
        <f t="shared" ca="1" si="63"/>
        <v>10147778.514788501</v>
      </c>
      <c r="V388" s="25">
        <f t="shared" ca="1" si="64"/>
        <v>147778.51478850096</v>
      </c>
      <c r="X388" s="14">
        <v>46495.879472430795</v>
      </c>
    </row>
    <row r="389" spans="1:24">
      <c r="A389" s="1">
        <v>385</v>
      </c>
      <c r="B389" s="9">
        <v>39540</v>
      </c>
      <c r="C389" s="37">
        <v>12608.92</v>
      </c>
      <c r="D389" s="38">
        <v>11721.17267</v>
      </c>
      <c r="E389" s="38">
        <v>7667.7645956915403</v>
      </c>
      <c r="F389" s="38">
        <v>128.43860161651574</v>
      </c>
      <c r="I389" s="28">
        <f t="shared" si="55"/>
        <v>-3.5973198256239593E-3</v>
      </c>
      <c r="J389" s="28">
        <f t="shared" si="56"/>
        <v>1.3689298489377473E-2</v>
      </c>
      <c r="K389" s="28">
        <f t="shared" si="57"/>
        <v>1.0339022533343258E-2</v>
      </c>
      <c r="L389" s="28">
        <f t="shared" si="58"/>
        <v>3.3130427875620601E-2</v>
      </c>
      <c r="N389" s="27">
        <f t="shared" ca="1" si="59"/>
        <v>10999.609592530396</v>
      </c>
      <c r="O389" s="27">
        <f t="shared" ca="1" si="60"/>
        <v>9580.001065510407</v>
      </c>
      <c r="P389" s="27">
        <f t="shared" ca="1" si="61"/>
        <v>6266.0899827567891</v>
      </c>
      <c r="Q389" s="27">
        <f t="shared" ca="1" si="62"/>
        <v>112.82052991535518</v>
      </c>
      <c r="T389" s="25">
        <f t="shared" ca="1" si="63"/>
        <v>9996201.5019913316</v>
      </c>
      <c r="V389" s="25">
        <f t="shared" ca="1" si="64"/>
        <v>-3798.4980086684227</v>
      </c>
      <c r="X389" s="14">
        <v>46699.591811189428</v>
      </c>
    </row>
    <row r="390" spans="1:24">
      <c r="A390" s="1">
        <v>386</v>
      </c>
      <c r="B390" s="9">
        <v>39541</v>
      </c>
      <c r="C390" s="37">
        <v>12626.03</v>
      </c>
      <c r="D390" s="38">
        <v>11754.321760000001</v>
      </c>
      <c r="E390" s="38">
        <v>7642.0731707317082</v>
      </c>
      <c r="F390" s="38">
        <v>130.92695805221473</v>
      </c>
      <c r="I390" s="28">
        <f t="shared" ref="I390:I453" si="65">LN(C390/C389)</f>
        <v>1.3560559955101146E-3</v>
      </c>
      <c r="J390" s="28">
        <f t="shared" ref="J390:J453" si="66">LN(D390/D389)</f>
        <v>2.8241460158709747E-3</v>
      </c>
      <c r="K390" s="28">
        <f t="shared" ref="K390:K453" si="67">LN(E390/E389)</f>
        <v>-3.3562013481350729E-3</v>
      </c>
      <c r="L390" s="28">
        <f t="shared" ref="L390:L453" si="68">LN(F390/F389)</f>
        <v>1.9188613862846444E-2</v>
      </c>
      <c r="N390" s="27">
        <f t="shared" ref="N390:N453" ca="1" si="69">C$504*EXP((I$1-I$2/2)*(1)+I$3*_xlfn.NORM.S.INV(RAND())*SQRT(1))</f>
        <v>10985.763946805808</v>
      </c>
      <c r="O390" s="27">
        <f t="shared" ref="O390:O453" ca="1" si="70">D$504*EXP((J$1-J$2/2)*(1)+J$3*_xlfn.NORM.S.INV(RAND())*SQRT(1))</f>
        <v>9630.9893979914232</v>
      </c>
      <c r="P390" s="27">
        <f t="shared" ref="P390:P453" ca="1" si="71">E$504*EXP((K$1-K$2/2)*(1)+K$3*_xlfn.NORM.S.INV(RAND())*SQRT(1))</f>
        <v>6233.1117536252559</v>
      </c>
      <c r="Q390" s="27">
        <f t="shared" ref="Q390:Q453" ca="1" si="72">F$504*EXP((L$1-L$2/2)*(1)+L$3*_xlfn.NORM.S.INV(RAND())*SQRT(1))</f>
        <v>114.81841637673938</v>
      </c>
      <c r="T390" s="25">
        <f t="shared" ref="T390:T453" ca="1" si="73">N390/C$504*T$2+O390/D$504*U$2+P390/E$504*V$2+Q390/F$504*W$2</f>
        <v>10037208.665318705</v>
      </c>
      <c r="V390" s="25">
        <f t="shared" ref="V390:V453" ca="1" si="74">T390-X$2</f>
        <v>37208.665318705142</v>
      </c>
      <c r="X390" s="14">
        <v>46847.109475895762</v>
      </c>
    </row>
    <row r="391" spans="1:24">
      <c r="A391" s="1">
        <v>387</v>
      </c>
      <c r="B391" s="9">
        <v>39542</v>
      </c>
      <c r="C391" s="37">
        <v>12609.42</v>
      </c>
      <c r="D391" s="38">
        <v>11860.301530000001</v>
      </c>
      <c r="E391" s="38">
        <v>7715.4911838790931</v>
      </c>
      <c r="F391" s="38">
        <v>130.87742443634932</v>
      </c>
      <c r="I391" s="28">
        <f t="shared" si="65"/>
        <v>-1.3164023148898134E-3</v>
      </c>
      <c r="J391" s="28">
        <f t="shared" si="66"/>
        <v>8.9758350344746867E-3</v>
      </c>
      <c r="K391" s="28">
        <f t="shared" si="67"/>
        <v>9.561226084565104E-3</v>
      </c>
      <c r="L391" s="28">
        <f t="shared" si="68"/>
        <v>-3.784017363317601E-4</v>
      </c>
      <c r="N391" s="27">
        <f t="shared" ca="1" si="69"/>
        <v>11155.004834526779</v>
      </c>
      <c r="O391" s="27">
        <f t="shared" ca="1" si="70"/>
        <v>9463.4784306602141</v>
      </c>
      <c r="P391" s="27">
        <f t="shared" ca="1" si="71"/>
        <v>6201.6142307677765</v>
      </c>
      <c r="Q391" s="27">
        <f t="shared" ca="1" si="72"/>
        <v>110.6183333366225</v>
      </c>
      <c r="T391" s="25">
        <f t="shared" ca="1" si="73"/>
        <v>9966745.0239994396</v>
      </c>
      <c r="V391" s="25">
        <f t="shared" ca="1" si="74"/>
        <v>-33254.976000560448</v>
      </c>
      <c r="X391" s="14">
        <v>47431.61093252711</v>
      </c>
    </row>
    <row r="392" spans="1:24">
      <c r="A392" s="1">
        <v>388</v>
      </c>
      <c r="B392" s="9">
        <v>39545</v>
      </c>
      <c r="C392" s="37">
        <v>12612.43</v>
      </c>
      <c r="D392" s="38">
        <v>11967.04608</v>
      </c>
      <c r="E392" s="38">
        <v>7768.4210526315801</v>
      </c>
      <c r="F392" s="38">
        <v>131.18336096752171</v>
      </c>
      <c r="I392" s="28">
        <f t="shared" si="65"/>
        <v>2.3868193762874252E-4</v>
      </c>
      <c r="J392" s="28">
        <f t="shared" si="66"/>
        <v>8.959894812022565E-3</v>
      </c>
      <c r="K392" s="28">
        <f t="shared" si="67"/>
        <v>6.8367831220884591E-3</v>
      </c>
      <c r="L392" s="28">
        <f t="shared" si="68"/>
        <v>2.3348527303409497E-3</v>
      </c>
      <c r="N392" s="27">
        <f t="shared" ca="1" si="69"/>
        <v>11050.318981283968</v>
      </c>
      <c r="O392" s="27">
        <f t="shared" ca="1" si="70"/>
        <v>9716.6628943637043</v>
      </c>
      <c r="P392" s="27">
        <f t="shared" ca="1" si="71"/>
        <v>6265.9279563314085</v>
      </c>
      <c r="Q392" s="27">
        <f t="shared" ca="1" si="72"/>
        <v>114.15698659068732</v>
      </c>
      <c r="T392" s="25">
        <f t="shared" ca="1" si="73"/>
        <v>10080976.909971919</v>
      </c>
      <c r="V392" s="25">
        <f t="shared" ca="1" si="74"/>
        <v>80976.909971918911</v>
      </c>
      <c r="X392" s="14">
        <v>47505.644830934703</v>
      </c>
    </row>
    <row r="393" spans="1:24">
      <c r="A393" s="1">
        <v>389</v>
      </c>
      <c r="B393" s="9">
        <v>39546</v>
      </c>
      <c r="C393" s="37">
        <v>12576.44</v>
      </c>
      <c r="D393" s="38">
        <v>11789.911639999998</v>
      </c>
      <c r="E393" s="38">
        <v>7717.0750863964804</v>
      </c>
      <c r="F393" s="38">
        <v>129.1716708910119</v>
      </c>
      <c r="I393" s="28">
        <f t="shared" si="65"/>
        <v>-2.8576132626078592E-3</v>
      </c>
      <c r="J393" s="28">
        <f t="shared" si="66"/>
        <v>-1.4912492138743542E-2</v>
      </c>
      <c r="K393" s="28">
        <f t="shared" si="67"/>
        <v>-6.6315155735539189E-3</v>
      </c>
      <c r="L393" s="28">
        <f t="shared" si="68"/>
        <v>-1.5453744816669999E-2</v>
      </c>
      <c r="N393" s="27">
        <f t="shared" ca="1" si="69"/>
        <v>10927.849818345179</v>
      </c>
      <c r="O393" s="27">
        <f t="shared" ca="1" si="70"/>
        <v>9576.4591392160964</v>
      </c>
      <c r="P393" s="27">
        <f t="shared" ca="1" si="71"/>
        <v>6332.5329097904259</v>
      </c>
      <c r="Q393" s="27">
        <f t="shared" ca="1" si="72"/>
        <v>113.700577732816</v>
      </c>
      <c r="T393" s="25">
        <f t="shared" ca="1" si="73"/>
        <v>9995368.943520695</v>
      </c>
      <c r="V393" s="25">
        <f t="shared" ca="1" si="74"/>
        <v>-4631.0564793050289</v>
      </c>
      <c r="X393" s="14">
        <v>48074.044122720137</v>
      </c>
    </row>
    <row r="394" spans="1:24">
      <c r="A394" s="1">
        <v>390</v>
      </c>
      <c r="B394" s="9">
        <v>39547</v>
      </c>
      <c r="C394" s="37">
        <v>12527.26</v>
      </c>
      <c r="D394" s="38">
        <v>11812.816989999999</v>
      </c>
      <c r="E394" s="38">
        <v>7691.6535184600825</v>
      </c>
      <c r="F394" s="38">
        <v>128.18349789813274</v>
      </c>
      <c r="I394" s="28">
        <f t="shared" si="65"/>
        <v>-3.9181525366592806E-3</v>
      </c>
      <c r="J394" s="28">
        <f t="shared" si="66"/>
        <v>1.9409075577381887E-3</v>
      </c>
      <c r="K394" s="28">
        <f t="shared" si="67"/>
        <v>-3.2996351163394966E-3</v>
      </c>
      <c r="L394" s="28">
        <f t="shared" si="68"/>
        <v>-7.6794870990384316E-3</v>
      </c>
      <c r="N394" s="27">
        <f t="shared" ca="1" si="69"/>
        <v>10979.945234366707</v>
      </c>
      <c r="O394" s="27">
        <f t="shared" ca="1" si="70"/>
        <v>9281.4928361279581</v>
      </c>
      <c r="P394" s="27">
        <f t="shared" ca="1" si="71"/>
        <v>6311.1610250620342</v>
      </c>
      <c r="Q394" s="27">
        <f t="shared" ca="1" si="72"/>
        <v>114.05782329096652</v>
      </c>
      <c r="T394" s="25">
        <f t="shared" ca="1" si="73"/>
        <v>9924982.9122721497</v>
      </c>
      <c r="V394" s="25">
        <f t="shared" ca="1" si="74"/>
        <v>-75017.087727850303</v>
      </c>
      <c r="X394" s="14">
        <v>48154.964691776782</v>
      </c>
    </row>
    <row r="395" spans="1:24">
      <c r="A395" s="1">
        <v>391</v>
      </c>
      <c r="B395" s="9">
        <v>39548</v>
      </c>
      <c r="C395" s="37">
        <v>12581.98</v>
      </c>
      <c r="D395" s="38">
        <v>11803.14337</v>
      </c>
      <c r="E395" s="38">
        <v>7673.1722722248542</v>
      </c>
      <c r="F395" s="38">
        <v>128.18397861174373</v>
      </c>
      <c r="I395" s="28">
        <f t="shared" si="65"/>
        <v>4.3585617586648223E-3</v>
      </c>
      <c r="J395" s="28">
        <f t="shared" si="66"/>
        <v>-8.192443071196007E-4</v>
      </c>
      <c r="K395" s="28">
        <f t="shared" si="67"/>
        <v>-2.4056576234405902E-3</v>
      </c>
      <c r="L395" s="28">
        <f t="shared" si="68"/>
        <v>3.750191853676494E-6</v>
      </c>
      <c r="N395" s="27">
        <f t="shared" ca="1" si="69"/>
        <v>10948.633436560676</v>
      </c>
      <c r="O395" s="27">
        <f t="shared" ca="1" si="70"/>
        <v>9648.0739050569282</v>
      </c>
      <c r="P395" s="27">
        <f t="shared" ca="1" si="71"/>
        <v>6150.039923473385</v>
      </c>
      <c r="Q395" s="27">
        <f t="shared" ca="1" si="72"/>
        <v>112.49818051365952</v>
      </c>
      <c r="T395" s="25">
        <f t="shared" ca="1" si="73"/>
        <v>9974543.9555694386</v>
      </c>
      <c r="V395" s="25">
        <f t="shared" ca="1" si="74"/>
        <v>-25456.044430561364</v>
      </c>
      <c r="X395" s="14">
        <v>48345.576649647206</v>
      </c>
    </row>
    <row r="396" spans="1:24">
      <c r="A396" s="1">
        <v>392</v>
      </c>
      <c r="B396" s="9">
        <v>39549</v>
      </c>
      <c r="C396" s="37">
        <v>12325.42</v>
      </c>
      <c r="D396" s="38">
        <v>11622.97825</v>
      </c>
      <c r="E396" s="38">
        <v>7590.4603701945898</v>
      </c>
      <c r="F396" s="38">
        <v>131.78763600395649</v>
      </c>
      <c r="I396" s="28">
        <f t="shared" si="65"/>
        <v>-2.0601835146918622E-2</v>
      </c>
      <c r="J396" s="28">
        <f t="shared" si="66"/>
        <v>-1.5381860914825081E-2</v>
      </c>
      <c r="K396" s="28">
        <f t="shared" si="67"/>
        <v>-1.0837880283892569E-2</v>
      </c>
      <c r="L396" s="28">
        <f t="shared" si="68"/>
        <v>2.7725244047225619E-2</v>
      </c>
      <c r="N396" s="27">
        <f t="shared" ca="1" si="69"/>
        <v>11094.260519041556</v>
      </c>
      <c r="O396" s="27">
        <f t="shared" ca="1" si="70"/>
        <v>9552.2355827296051</v>
      </c>
      <c r="P396" s="27">
        <f t="shared" ca="1" si="71"/>
        <v>6170.2816801475055</v>
      </c>
      <c r="Q396" s="27">
        <f t="shared" ca="1" si="72"/>
        <v>112.22635085240596</v>
      </c>
      <c r="T396" s="25">
        <f t="shared" ca="1" si="73"/>
        <v>9995889.339708453</v>
      </c>
      <c r="V396" s="25">
        <f t="shared" ca="1" si="74"/>
        <v>-4110.6602915469557</v>
      </c>
      <c r="X396" s="14">
        <v>48793.569676088169</v>
      </c>
    </row>
    <row r="397" spans="1:24">
      <c r="A397" s="1">
        <v>393</v>
      </c>
      <c r="B397" s="9">
        <v>39552</v>
      </c>
      <c r="C397" s="37">
        <v>12302.06</v>
      </c>
      <c r="D397" s="38">
        <v>11568.728080000001</v>
      </c>
      <c r="E397" s="38">
        <v>7550.2772057658804</v>
      </c>
      <c r="F397" s="38">
        <v>128.251687847498</v>
      </c>
      <c r="I397" s="28">
        <f t="shared" si="65"/>
        <v>-1.8970683972373752E-3</v>
      </c>
      <c r="J397" s="28">
        <f t="shared" si="66"/>
        <v>-4.6784197918495881E-3</v>
      </c>
      <c r="K397" s="28">
        <f t="shared" si="67"/>
        <v>-5.3079658203067127E-3</v>
      </c>
      <c r="L397" s="28">
        <f t="shared" si="68"/>
        <v>-2.7197164328341926E-2</v>
      </c>
      <c r="N397" s="27">
        <f t="shared" ca="1" si="69"/>
        <v>11065.304533025534</v>
      </c>
      <c r="O397" s="27">
        <f t="shared" ca="1" si="70"/>
        <v>9498.9978834737703</v>
      </c>
      <c r="P397" s="27">
        <f t="shared" ca="1" si="71"/>
        <v>6072.7598820013591</v>
      </c>
      <c r="Q397" s="27">
        <f t="shared" ca="1" si="72"/>
        <v>111.98935805064635</v>
      </c>
      <c r="T397" s="25">
        <f t="shared" ca="1" si="73"/>
        <v>9948814.51351358</v>
      </c>
      <c r="V397" s="25">
        <f t="shared" ca="1" si="74"/>
        <v>-51185.486486420035</v>
      </c>
      <c r="X397" s="14">
        <v>48983.902278246358</v>
      </c>
    </row>
    <row r="398" spans="1:24">
      <c r="A398" s="1">
        <v>394</v>
      </c>
      <c r="B398" s="9">
        <v>39553</v>
      </c>
      <c r="C398" s="37">
        <v>12362.47</v>
      </c>
      <c r="D398" s="38">
        <v>11591.700559999999</v>
      </c>
      <c r="E398" s="38">
        <v>7554.8040455120099</v>
      </c>
      <c r="F398" s="38">
        <v>128.17543167242229</v>
      </c>
      <c r="I398" s="28">
        <f t="shared" si="65"/>
        <v>4.898542222242658E-3</v>
      </c>
      <c r="J398" s="28">
        <f t="shared" si="66"/>
        <v>1.9837704984478691E-3</v>
      </c>
      <c r="K398" s="28">
        <f t="shared" si="67"/>
        <v>5.9937974597395625E-4</v>
      </c>
      <c r="L398" s="28">
        <f t="shared" si="68"/>
        <v>-5.9475906812335607E-4</v>
      </c>
      <c r="N398" s="27">
        <f t="shared" ca="1" si="69"/>
        <v>10832.06233980184</v>
      </c>
      <c r="O398" s="27">
        <f t="shared" ca="1" si="70"/>
        <v>9471.8738962706939</v>
      </c>
      <c r="P398" s="27">
        <f t="shared" ca="1" si="71"/>
        <v>6232.9836700237302</v>
      </c>
      <c r="Q398" s="27">
        <f t="shared" ca="1" si="72"/>
        <v>110.99591496147804</v>
      </c>
      <c r="T398" s="25">
        <f t="shared" ca="1" si="73"/>
        <v>9863922.6976614855</v>
      </c>
      <c r="V398" s="25">
        <f t="shared" ca="1" si="74"/>
        <v>-136077.30233851448</v>
      </c>
      <c r="X398" s="14">
        <v>51052.464815290645</v>
      </c>
    </row>
    <row r="399" spans="1:24">
      <c r="A399" s="1">
        <v>395</v>
      </c>
      <c r="B399" s="9">
        <v>39554</v>
      </c>
      <c r="C399" s="37">
        <v>12619.27</v>
      </c>
      <c r="D399" s="38">
        <v>11946.08196</v>
      </c>
      <c r="E399" s="38">
        <v>7743.3811802232858</v>
      </c>
      <c r="F399" s="38">
        <v>129.76142532820057</v>
      </c>
      <c r="I399" s="28">
        <f t="shared" si="65"/>
        <v>2.0559740496775669E-2</v>
      </c>
      <c r="J399" s="28">
        <f t="shared" si="66"/>
        <v>3.0113982083777181E-2</v>
      </c>
      <c r="K399" s="28">
        <f t="shared" si="67"/>
        <v>2.4654778874358269E-2</v>
      </c>
      <c r="L399" s="28">
        <f t="shared" si="68"/>
        <v>1.2297689148213029E-2</v>
      </c>
      <c r="N399" s="27">
        <f t="shared" ca="1" si="69"/>
        <v>11059.153540641839</v>
      </c>
      <c r="O399" s="27">
        <f t="shared" ca="1" si="70"/>
        <v>9528.1162989624336</v>
      </c>
      <c r="P399" s="27">
        <f t="shared" ca="1" si="71"/>
        <v>6101.3961887048199</v>
      </c>
      <c r="Q399" s="27">
        <f t="shared" ca="1" si="72"/>
        <v>111.20443635192551</v>
      </c>
      <c r="T399" s="25">
        <f t="shared" ca="1" si="73"/>
        <v>9946386.0081161279</v>
      </c>
      <c r="V399" s="25">
        <f t="shared" ca="1" si="74"/>
        <v>-53613.991883872077</v>
      </c>
      <c r="X399" s="14">
        <v>51120.594683939591</v>
      </c>
    </row>
    <row r="400" spans="1:24">
      <c r="A400" s="1">
        <v>396</v>
      </c>
      <c r="B400" s="9">
        <v>39555</v>
      </c>
      <c r="C400" s="37">
        <v>12620.49</v>
      </c>
      <c r="D400" s="38">
        <v>11874.084199999999</v>
      </c>
      <c r="E400" s="38">
        <v>7732.4109414758268</v>
      </c>
      <c r="F400" s="38">
        <v>130.88111751489694</v>
      </c>
      <c r="I400" s="28">
        <f t="shared" si="65"/>
        <v>9.6672868597046514E-5</v>
      </c>
      <c r="J400" s="28">
        <f t="shared" si="66"/>
        <v>-6.0451282137064756E-3</v>
      </c>
      <c r="K400" s="28">
        <f t="shared" si="67"/>
        <v>-1.4177291215422133E-3</v>
      </c>
      <c r="L400" s="28">
        <f t="shared" si="68"/>
        <v>8.5918366389098003E-3</v>
      </c>
      <c r="N400" s="27">
        <f t="shared" ca="1" si="69"/>
        <v>11007.902111542393</v>
      </c>
      <c r="O400" s="27">
        <f t="shared" ca="1" si="70"/>
        <v>9547.6407962078083</v>
      </c>
      <c r="P400" s="27">
        <f t="shared" ca="1" si="71"/>
        <v>6183.592144312408</v>
      </c>
      <c r="Q400" s="27">
        <f t="shared" ca="1" si="72"/>
        <v>113.96276155309575</v>
      </c>
      <c r="T400" s="25">
        <f t="shared" ca="1" si="73"/>
        <v>9996041.3473219201</v>
      </c>
      <c r="V400" s="25">
        <f t="shared" ca="1" si="74"/>
        <v>-3958.6526780799031</v>
      </c>
      <c r="X400" s="14">
        <v>51594.19297291711</v>
      </c>
    </row>
    <row r="401" spans="1:24">
      <c r="A401" s="1">
        <v>397</v>
      </c>
      <c r="B401" s="9">
        <v>39556</v>
      </c>
      <c r="C401" s="37">
        <v>12849.36</v>
      </c>
      <c r="D401" s="38">
        <v>12096.041800000001</v>
      </c>
      <c r="E401" s="38">
        <v>7806.3089993706717</v>
      </c>
      <c r="F401" s="38">
        <v>129.01062607696727</v>
      </c>
      <c r="I401" s="28">
        <f t="shared" si="65"/>
        <v>1.7972321035796858E-2</v>
      </c>
      <c r="J401" s="28">
        <f t="shared" si="66"/>
        <v>1.8520048172232313E-2</v>
      </c>
      <c r="K401" s="28">
        <f t="shared" si="67"/>
        <v>9.5115447478194663E-3</v>
      </c>
      <c r="L401" s="28">
        <f t="shared" si="68"/>
        <v>-1.4394637628654288E-2</v>
      </c>
      <c r="N401" s="27">
        <f t="shared" ca="1" si="69"/>
        <v>11127.012282454389</v>
      </c>
      <c r="O401" s="27">
        <f t="shared" ca="1" si="70"/>
        <v>9546.1127018325224</v>
      </c>
      <c r="P401" s="27">
        <f t="shared" ca="1" si="71"/>
        <v>6143.1852883364863</v>
      </c>
      <c r="Q401" s="27">
        <f t="shared" ca="1" si="72"/>
        <v>111.4053164978527</v>
      </c>
      <c r="T401" s="25">
        <f t="shared" ca="1" si="73"/>
        <v>9986937.2155011445</v>
      </c>
      <c r="V401" s="25">
        <f t="shared" ca="1" si="74"/>
        <v>-13062.784498855472</v>
      </c>
      <c r="X401" s="14">
        <v>51730.843946589157</v>
      </c>
    </row>
    <row r="402" spans="1:24">
      <c r="A402" s="1">
        <v>398</v>
      </c>
      <c r="B402" s="9">
        <v>39559</v>
      </c>
      <c r="C402" s="37">
        <v>12825.02</v>
      </c>
      <c r="D402" s="38">
        <v>11989.7824</v>
      </c>
      <c r="E402" s="38">
        <v>7816.5393186883166</v>
      </c>
      <c r="F402" s="38">
        <v>132.80859109861339</v>
      </c>
      <c r="I402" s="28">
        <f t="shared" si="65"/>
        <v>-1.8960541436171799E-3</v>
      </c>
      <c r="J402" s="28">
        <f t="shared" si="66"/>
        <v>-8.8234547013469646E-3</v>
      </c>
      <c r="K402" s="28">
        <f t="shared" si="67"/>
        <v>1.3096614102159109E-3</v>
      </c>
      <c r="L402" s="28">
        <f t="shared" si="68"/>
        <v>2.9014153298629494E-2</v>
      </c>
      <c r="N402" s="27">
        <f t="shared" ca="1" si="69"/>
        <v>11414.552301001633</v>
      </c>
      <c r="O402" s="27">
        <f t="shared" ca="1" si="70"/>
        <v>10006.718775097881</v>
      </c>
      <c r="P402" s="27">
        <f t="shared" ca="1" si="71"/>
        <v>6210.4099517899713</v>
      </c>
      <c r="Q402" s="27">
        <f t="shared" ca="1" si="72"/>
        <v>113.02631258465806</v>
      </c>
      <c r="T402" s="25">
        <f t="shared" ca="1" si="73"/>
        <v>10274806.298299048</v>
      </c>
      <c r="V402" s="25">
        <f t="shared" ca="1" si="74"/>
        <v>274806.2982990481</v>
      </c>
      <c r="X402" s="14">
        <v>52543.912271432579</v>
      </c>
    </row>
    <row r="403" spans="1:24">
      <c r="A403" s="1">
        <v>399</v>
      </c>
      <c r="B403" s="9">
        <v>39560</v>
      </c>
      <c r="C403" s="37">
        <v>12720.23</v>
      </c>
      <c r="D403" s="38">
        <v>12036.209149999999</v>
      </c>
      <c r="E403" s="38">
        <v>7783.7699680511187</v>
      </c>
      <c r="F403" s="38">
        <v>131.29004748522144</v>
      </c>
      <c r="I403" s="28">
        <f t="shared" si="65"/>
        <v>-8.2043110002990461E-3</v>
      </c>
      <c r="J403" s="28">
        <f t="shared" si="66"/>
        <v>3.8647152346896019E-3</v>
      </c>
      <c r="K403" s="28">
        <f t="shared" si="67"/>
        <v>-4.201121686954858E-3</v>
      </c>
      <c r="L403" s="28">
        <f t="shared" si="68"/>
        <v>-1.1499948329636736E-2</v>
      </c>
      <c r="N403" s="27">
        <f t="shared" ca="1" si="69"/>
        <v>11058.495532498251</v>
      </c>
      <c r="O403" s="27">
        <f t="shared" ca="1" si="70"/>
        <v>9707.3192917320448</v>
      </c>
      <c r="P403" s="27">
        <f t="shared" ca="1" si="71"/>
        <v>6267.9023693757836</v>
      </c>
      <c r="Q403" s="27">
        <f t="shared" ca="1" si="72"/>
        <v>113.34215020762227</v>
      </c>
      <c r="T403" s="25">
        <f t="shared" ca="1" si="73"/>
        <v>10066898.156073008</v>
      </c>
      <c r="V403" s="25">
        <f t="shared" ca="1" si="74"/>
        <v>66898.156073007733</v>
      </c>
      <c r="X403" s="14">
        <v>53526.54683528468</v>
      </c>
    </row>
    <row r="404" spans="1:24">
      <c r="A404" s="1">
        <v>400</v>
      </c>
      <c r="B404" s="9">
        <v>39561</v>
      </c>
      <c r="C404" s="37">
        <v>12763.22</v>
      </c>
      <c r="D404" s="38">
        <v>12047.353080000001</v>
      </c>
      <c r="E404" s="38">
        <v>7851.1432200698628</v>
      </c>
      <c r="F404" s="38">
        <v>131.04767419417101</v>
      </c>
      <c r="I404" s="28">
        <f t="shared" si="65"/>
        <v>3.3739576691308119E-3</v>
      </c>
      <c r="J404" s="28">
        <f t="shared" si="66"/>
        <v>9.2543874439476479E-4</v>
      </c>
      <c r="K404" s="28">
        <f t="shared" si="67"/>
        <v>8.6183617684918359E-3</v>
      </c>
      <c r="L404" s="28">
        <f t="shared" si="68"/>
        <v>-1.8477964850890638E-3</v>
      </c>
      <c r="N404" s="27">
        <f t="shared" ca="1" si="69"/>
        <v>11154.355581405223</v>
      </c>
      <c r="O404" s="27">
        <f t="shared" ca="1" si="70"/>
        <v>9625.4804831090096</v>
      </c>
      <c r="P404" s="27">
        <f t="shared" ca="1" si="71"/>
        <v>6132.7146117226539</v>
      </c>
      <c r="Q404" s="27">
        <f t="shared" ca="1" si="72"/>
        <v>110.7439277551253</v>
      </c>
      <c r="T404" s="25">
        <f t="shared" ca="1" si="73"/>
        <v>10008249.864543082</v>
      </c>
      <c r="V404" s="25">
        <f t="shared" ca="1" si="74"/>
        <v>8249.8645430821925</v>
      </c>
      <c r="X404" s="14">
        <v>53658.83081661351</v>
      </c>
    </row>
    <row r="405" spans="1:24">
      <c r="A405" s="1">
        <v>401</v>
      </c>
      <c r="B405" s="9">
        <v>39562</v>
      </c>
      <c r="C405" s="37">
        <v>12848.95</v>
      </c>
      <c r="D405" s="38">
        <v>11936.820960000001</v>
      </c>
      <c r="E405" s="38">
        <v>7739.9120741089655</v>
      </c>
      <c r="F405" s="38">
        <v>130.17563930013461</v>
      </c>
      <c r="I405" s="28">
        <f t="shared" si="65"/>
        <v>6.694498761719566E-3</v>
      </c>
      <c r="J405" s="28">
        <f t="shared" si="66"/>
        <v>-9.2171531397582593E-3</v>
      </c>
      <c r="K405" s="28">
        <f t="shared" si="67"/>
        <v>-1.426882671789206E-2</v>
      </c>
      <c r="L405" s="28">
        <f t="shared" si="68"/>
        <v>-6.6765720236266531E-3</v>
      </c>
      <c r="N405" s="27">
        <f t="shared" ca="1" si="69"/>
        <v>10657.17202698222</v>
      </c>
      <c r="O405" s="27">
        <f t="shared" ca="1" si="70"/>
        <v>9506.0702383917287</v>
      </c>
      <c r="P405" s="27">
        <f t="shared" ca="1" si="71"/>
        <v>6308.9519095049745</v>
      </c>
      <c r="Q405" s="27">
        <f t="shared" ca="1" si="72"/>
        <v>110.49849518601654</v>
      </c>
      <c r="T405" s="25">
        <f t="shared" ca="1" si="73"/>
        <v>9814574.3636098932</v>
      </c>
      <c r="V405" s="25">
        <f t="shared" ca="1" si="74"/>
        <v>-185425.63639010675</v>
      </c>
      <c r="X405" s="14">
        <v>54399.692730177194</v>
      </c>
    </row>
    <row r="406" spans="1:24">
      <c r="A406" s="1">
        <v>402</v>
      </c>
      <c r="B406" s="9">
        <v>39563</v>
      </c>
      <c r="C406" s="37">
        <v>12891.86</v>
      </c>
      <c r="D406" s="38">
        <v>12113.358039999999</v>
      </c>
      <c r="E406" s="38">
        <v>7795.5057939242097</v>
      </c>
      <c r="F406" s="38">
        <v>133.13617593392874</v>
      </c>
      <c r="I406" s="28">
        <f t="shared" si="65"/>
        <v>3.3340085061480348E-3</v>
      </c>
      <c r="J406" s="28">
        <f t="shared" si="66"/>
        <v>1.4680992666575866E-2</v>
      </c>
      <c r="K406" s="28">
        <f t="shared" si="67"/>
        <v>7.1570597709120975E-3</v>
      </c>
      <c r="L406" s="28">
        <f t="shared" si="68"/>
        <v>2.2487873498253354E-2</v>
      </c>
      <c r="N406" s="27">
        <f t="shared" ca="1" si="69"/>
        <v>11033.791668015627</v>
      </c>
      <c r="O406" s="27">
        <f t="shared" ca="1" si="70"/>
        <v>9688.7526642070006</v>
      </c>
      <c r="P406" s="27">
        <f t="shared" ca="1" si="71"/>
        <v>6340.585602635163</v>
      </c>
      <c r="Q406" s="27">
        <f t="shared" ca="1" si="72"/>
        <v>111.98393565220753</v>
      </c>
      <c r="T406" s="25">
        <f t="shared" ca="1" si="73"/>
        <v>10039776.035919856</v>
      </c>
      <c r="V406" s="25">
        <f t="shared" ca="1" si="74"/>
        <v>39776.03591985628</v>
      </c>
      <c r="X406" s="14">
        <v>54604.467669064179</v>
      </c>
    </row>
    <row r="407" spans="1:24">
      <c r="A407" s="1">
        <v>403</v>
      </c>
      <c r="B407" s="9">
        <v>39566</v>
      </c>
      <c r="C407" s="37">
        <v>12871.75</v>
      </c>
      <c r="D407" s="38">
        <v>12149.129919999999</v>
      </c>
      <c r="E407" s="38">
        <v>7840.9979665258879</v>
      </c>
      <c r="F407" s="38">
        <v>132.97320317733755</v>
      </c>
      <c r="I407" s="28">
        <f t="shared" si="65"/>
        <v>-1.561116946278183E-3</v>
      </c>
      <c r="J407" s="28">
        <f t="shared" si="66"/>
        <v>2.9487417761040651E-3</v>
      </c>
      <c r="K407" s="28">
        <f t="shared" si="67"/>
        <v>5.8187305363509925E-3</v>
      </c>
      <c r="L407" s="28">
        <f t="shared" si="68"/>
        <v>-1.2248555651119544E-3</v>
      </c>
      <c r="N407" s="27">
        <f t="shared" ca="1" si="69"/>
        <v>11133.977893751091</v>
      </c>
      <c r="O407" s="27">
        <f t="shared" ca="1" si="70"/>
        <v>9677.1486414583051</v>
      </c>
      <c r="P407" s="27">
        <f t="shared" ca="1" si="71"/>
        <v>6078.831757930212</v>
      </c>
      <c r="Q407" s="27">
        <f t="shared" ca="1" si="72"/>
        <v>112.13191245367648</v>
      </c>
      <c r="T407" s="25">
        <f t="shared" ca="1" si="73"/>
        <v>10032915.702571874</v>
      </c>
      <c r="V407" s="25">
        <f t="shared" ca="1" si="74"/>
        <v>32915.702571874484</v>
      </c>
      <c r="X407" s="14">
        <v>55003.478049833328</v>
      </c>
    </row>
    <row r="408" spans="1:24">
      <c r="A408" s="1">
        <v>404</v>
      </c>
      <c r="B408" s="9">
        <v>39568</v>
      </c>
      <c r="C408" s="37">
        <v>12820.13</v>
      </c>
      <c r="D408" s="38">
        <v>12054.680190000001</v>
      </c>
      <c r="E408" s="38">
        <v>7780.348800996574</v>
      </c>
      <c r="F408" s="38">
        <v>132.52310783657066</v>
      </c>
      <c r="I408" s="28">
        <f t="shared" si="65"/>
        <v>-4.018395653502955E-3</v>
      </c>
      <c r="J408" s="28">
        <f t="shared" si="66"/>
        <v>-7.8045736594471267E-3</v>
      </c>
      <c r="K408" s="28">
        <f t="shared" si="67"/>
        <v>-7.7649476918236742E-3</v>
      </c>
      <c r="L408" s="28">
        <f t="shared" si="68"/>
        <v>-3.3905990651647198E-3</v>
      </c>
      <c r="N408" s="27">
        <f t="shared" ca="1" si="69"/>
        <v>11192.730843494841</v>
      </c>
      <c r="O408" s="27">
        <f t="shared" ca="1" si="70"/>
        <v>9733.3773046770657</v>
      </c>
      <c r="P408" s="27">
        <f t="shared" ca="1" si="71"/>
        <v>6257.4909040680795</v>
      </c>
      <c r="Q408" s="27">
        <f t="shared" ca="1" si="72"/>
        <v>115.53840287759137</v>
      </c>
      <c r="T408" s="25">
        <f t="shared" ca="1" si="73"/>
        <v>10161010.369799405</v>
      </c>
      <c r="V408" s="25">
        <f t="shared" ca="1" si="74"/>
        <v>161010.36979940534</v>
      </c>
      <c r="X408" s="14">
        <v>55129.770489225164</v>
      </c>
    </row>
    <row r="409" spans="1:24">
      <c r="A409" s="1">
        <v>405</v>
      </c>
      <c r="B409" s="9">
        <v>39570</v>
      </c>
      <c r="C409" s="37">
        <v>13058.2</v>
      </c>
      <c r="D409" s="38">
        <v>12275.612500000001</v>
      </c>
      <c r="E409" s="38">
        <v>7810.3682021260202</v>
      </c>
      <c r="F409" s="38">
        <v>133.395936194455</v>
      </c>
      <c r="I409" s="28">
        <f t="shared" si="65"/>
        <v>1.8399697081629106E-2</v>
      </c>
      <c r="J409" s="28">
        <f t="shared" si="66"/>
        <v>1.8161588562469303E-2</v>
      </c>
      <c r="K409" s="28">
        <f t="shared" si="67"/>
        <v>3.8509374805147465E-3</v>
      </c>
      <c r="L409" s="28">
        <f t="shared" si="68"/>
        <v>6.5646407204238361E-3</v>
      </c>
      <c r="N409" s="27">
        <f t="shared" ca="1" si="69"/>
        <v>11145.5277805524</v>
      </c>
      <c r="O409" s="27">
        <f t="shared" ca="1" si="70"/>
        <v>9758.5683524827218</v>
      </c>
      <c r="P409" s="27">
        <f t="shared" ca="1" si="71"/>
        <v>6188.9806957884148</v>
      </c>
      <c r="Q409" s="27">
        <f t="shared" ca="1" si="72"/>
        <v>113.45076626347262</v>
      </c>
      <c r="T409" s="25">
        <f t="shared" ca="1" si="73"/>
        <v>10103695.355427071</v>
      </c>
      <c r="V409" s="25">
        <f t="shared" ca="1" si="74"/>
        <v>103695.35542707145</v>
      </c>
      <c r="X409" s="14">
        <v>55429.26611732319</v>
      </c>
    </row>
    <row r="410" spans="1:24">
      <c r="A410" s="1">
        <v>406</v>
      </c>
      <c r="B410" s="9">
        <v>39575</v>
      </c>
      <c r="C410" s="37">
        <v>12814.35</v>
      </c>
      <c r="D410" s="38">
        <v>12217.715400000001</v>
      </c>
      <c r="E410" s="38">
        <v>7814.1801385681301</v>
      </c>
      <c r="F410" s="38">
        <v>133.87583064363014</v>
      </c>
      <c r="I410" s="28">
        <f t="shared" si="65"/>
        <v>-1.8850652209094178E-2</v>
      </c>
      <c r="J410" s="28">
        <f t="shared" si="66"/>
        <v>-4.7275901478322259E-3</v>
      </c>
      <c r="K410" s="28">
        <f t="shared" si="67"/>
        <v>4.8794197881709127E-4</v>
      </c>
      <c r="L410" s="28">
        <f t="shared" si="68"/>
        <v>3.5910636620428383E-3</v>
      </c>
      <c r="N410" s="27">
        <f t="shared" ca="1" si="69"/>
        <v>11029.508375574676</v>
      </c>
      <c r="O410" s="27">
        <f t="shared" ca="1" si="70"/>
        <v>9701.974769747294</v>
      </c>
      <c r="P410" s="27">
        <f t="shared" ca="1" si="71"/>
        <v>6067.0955380172263</v>
      </c>
      <c r="Q410" s="27">
        <f t="shared" ca="1" si="72"/>
        <v>114.86950657224486</v>
      </c>
      <c r="T410" s="25">
        <f t="shared" ca="1" si="73"/>
        <v>10049397.635130333</v>
      </c>
      <c r="V410" s="25">
        <f t="shared" ca="1" si="74"/>
        <v>49397.635130332783</v>
      </c>
      <c r="X410" s="14">
        <v>56988.385406622663</v>
      </c>
    </row>
    <row r="411" spans="1:24">
      <c r="A411" s="1">
        <v>407</v>
      </c>
      <c r="B411" s="9">
        <v>39576</v>
      </c>
      <c r="C411" s="37">
        <v>12866.78</v>
      </c>
      <c r="D411" s="38">
        <v>12267.56604</v>
      </c>
      <c r="E411" s="38">
        <v>7795.8057054741712</v>
      </c>
      <c r="F411" s="38">
        <v>134.56147461879945</v>
      </c>
      <c r="I411" s="28">
        <f t="shared" si="65"/>
        <v>4.0831593347766858E-3</v>
      </c>
      <c r="J411" s="28">
        <f t="shared" si="66"/>
        <v>4.0718918424821502E-3</v>
      </c>
      <c r="K411" s="28">
        <f t="shared" si="67"/>
        <v>-2.35419067817075E-3</v>
      </c>
      <c r="L411" s="28">
        <f t="shared" si="68"/>
        <v>5.1084216148261502E-3</v>
      </c>
      <c r="N411" s="27">
        <f t="shared" ca="1" si="69"/>
        <v>11013.234241967983</v>
      </c>
      <c r="O411" s="27">
        <f t="shared" ca="1" si="70"/>
        <v>9629.0071625642759</v>
      </c>
      <c r="P411" s="27">
        <f t="shared" ca="1" si="71"/>
        <v>6215.3384709631728</v>
      </c>
      <c r="Q411" s="27">
        <f t="shared" ca="1" si="72"/>
        <v>112.1357600704745</v>
      </c>
      <c r="T411" s="25">
        <f t="shared" ca="1" si="73"/>
        <v>9996136.437700497</v>
      </c>
      <c r="V411" s="25">
        <f t="shared" ca="1" si="74"/>
        <v>-3863.5622995030135</v>
      </c>
      <c r="X411" s="14">
        <v>57529.558956056833</v>
      </c>
    </row>
    <row r="412" spans="1:24">
      <c r="A412" s="1">
        <v>408</v>
      </c>
      <c r="B412" s="9">
        <v>39577</v>
      </c>
      <c r="C412" s="37">
        <v>12745.88</v>
      </c>
      <c r="D412" s="38">
        <v>12074.96667</v>
      </c>
      <c r="E412" s="38">
        <v>7655.1851851851852</v>
      </c>
      <c r="F412" s="38">
        <v>132.28073234524848</v>
      </c>
      <c r="I412" s="28">
        <f t="shared" si="65"/>
        <v>-9.4407139245975946E-3</v>
      </c>
      <c r="J412" s="28">
        <f t="shared" si="66"/>
        <v>-1.5824433010988459E-2</v>
      </c>
      <c r="K412" s="28">
        <f t="shared" si="67"/>
        <v>-1.8202638780054223E-2</v>
      </c>
      <c r="L412" s="28">
        <f t="shared" si="68"/>
        <v>-1.7094730559835441E-2</v>
      </c>
      <c r="N412" s="27">
        <f t="shared" ca="1" si="69"/>
        <v>11010.89129690331</v>
      </c>
      <c r="O412" s="27">
        <f t="shared" ca="1" si="70"/>
        <v>9402.4798879196023</v>
      </c>
      <c r="P412" s="27">
        <f t="shared" ca="1" si="71"/>
        <v>6107.5541748331834</v>
      </c>
      <c r="Q412" s="27">
        <f t="shared" ca="1" si="72"/>
        <v>113.39216448685166</v>
      </c>
      <c r="T412" s="25">
        <f t="shared" ca="1" si="73"/>
        <v>9929384.4934219308</v>
      </c>
      <c r="V412" s="25">
        <f t="shared" ca="1" si="74"/>
        <v>-70615.50657806918</v>
      </c>
      <c r="X412" s="14">
        <v>58665.06757831201</v>
      </c>
    </row>
    <row r="413" spans="1:24">
      <c r="A413" s="1">
        <v>409</v>
      </c>
      <c r="B413" s="9">
        <v>39580</v>
      </c>
      <c r="C413" s="37">
        <v>12876.05</v>
      </c>
      <c r="D413" s="38">
        <v>12199.84072</v>
      </c>
      <c r="E413" s="38">
        <v>7713.8583165400714</v>
      </c>
      <c r="F413" s="38">
        <v>132.56834185395968</v>
      </c>
      <c r="I413" s="28">
        <f t="shared" si="65"/>
        <v>1.016091449311983E-2</v>
      </c>
      <c r="J413" s="28">
        <f t="shared" si="66"/>
        <v>1.0288456629899504E-2</v>
      </c>
      <c r="K413" s="28">
        <f t="shared" si="67"/>
        <v>7.635272343247736E-3</v>
      </c>
      <c r="L413" s="28">
        <f t="shared" si="68"/>
        <v>2.1718756060322042E-3</v>
      </c>
      <c r="N413" s="27">
        <f t="shared" ca="1" si="69"/>
        <v>11100.470056231597</v>
      </c>
      <c r="O413" s="27">
        <f t="shared" ca="1" si="70"/>
        <v>9630.575187514949</v>
      </c>
      <c r="P413" s="27">
        <f t="shared" ca="1" si="71"/>
        <v>6201.5918827036248</v>
      </c>
      <c r="Q413" s="27">
        <f t="shared" ca="1" si="72"/>
        <v>112.84942585244859</v>
      </c>
      <c r="T413" s="25">
        <f t="shared" ca="1" si="73"/>
        <v>10038719.192746548</v>
      </c>
      <c r="V413" s="25">
        <f t="shared" ca="1" si="74"/>
        <v>38719.192746547982</v>
      </c>
      <c r="X413" s="14">
        <v>59343.689378796145</v>
      </c>
    </row>
    <row r="414" spans="1:24">
      <c r="A414" s="1">
        <v>410</v>
      </c>
      <c r="B414" s="9">
        <v>39581</v>
      </c>
      <c r="C414" s="37">
        <v>12832.18</v>
      </c>
      <c r="D414" s="38">
        <v>12091.463349999998</v>
      </c>
      <c r="E414" s="38">
        <v>7741.474368901966</v>
      </c>
      <c r="F414" s="38">
        <v>133.59243657252273</v>
      </c>
      <c r="I414" s="28">
        <f t="shared" si="65"/>
        <v>-3.4129181653638472E-3</v>
      </c>
      <c r="J414" s="28">
        <f t="shared" si="66"/>
        <v>-8.9232005661179468E-3</v>
      </c>
      <c r="K414" s="28">
        <f t="shared" si="67"/>
        <v>3.5736638368778378E-3</v>
      </c>
      <c r="L414" s="28">
        <f t="shared" si="68"/>
        <v>7.6953469882405697E-3</v>
      </c>
      <c r="N414" s="27">
        <f t="shared" ca="1" si="69"/>
        <v>10975.656593549378</v>
      </c>
      <c r="O414" s="27">
        <f t="shared" ca="1" si="70"/>
        <v>9535.3631177189018</v>
      </c>
      <c r="P414" s="27">
        <f t="shared" ca="1" si="71"/>
        <v>6281.2339893137469</v>
      </c>
      <c r="Q414" s="27">
        <f t="shared" ca="1" si="72"/>
        <v>114.02784437062419</v>
      </c>
      <c r="T414" s="25">
        <f t="shared" ca="1" si="73"/>
        <v>9997403.7605664339</v>
      </c>
      <c r="V414" s="25">
        <f t="shared" ca="1" si="74"/>
        <v>-2596.2394335661083</v>
      </c>
      <c r="X414" s="14">
        <v>59807.418072216213</v>
      </c>
    </row>
    <row r="415" spans="1:24">
      <c r="A415" s="1">
        <v>411</v>
      </c>
      <c r="B415" s="9">
        <v>39582</v>
      </c>
      <c r="C415" s="37">
        <v>12898.38</v>
      </c>
      <c r="D415" s="38">
        <v>12069.6072</v>
      </c>
      <c r="E415" s="38">
        <v>7813.3539412673872</v>
      </c>
      <c r="F415" s="38">
        <v>134.13024890746721</v>
      </c>
      <c r="I415" s="28">
        <f t="shared" si="65"/>
        <v>5.1456436290771325E-3</v>
      </c>
      <c r="J415" s="28">
        <f t="shared" si="66"/>
        <v>-1.8092042665438818E-3</v>
      </c>
      <c r="K415" s="28">
        <f t="shared" si="67"/>
        <v>9.2421571719046927E-3</v>
      </c>
      <c r="L415" s="28">
        <f t="shared" si="68"/>
        <v>4.0176876114844428E-3</v>
      </c>
      <c r="N415" s="27">
        <f t="shared" ca="1" si="69"/>
        <v>11028.242477896139</v>
      </c>
      <c r="O415" s="27">
        <f t="shared" ca="1" si="70"/>
        <v>9574.8020245234529</v>
      </c>
      <c r="P415" s="27">
        <f t="shared" ca="1" si="71"/>
        <v>6223.9238347917935</v>
      </c>
      <c r="Q415" s="27">
        <f t="shared" ca="1" si="72"/>
        <v>112.8739430469428</v>
      </c>
      <c r="T415" s="25">
        <f t="shared" ca="1" si="73"/>
        <v>9999114.2023746837</v>
      </c>
      <c r="V415" s="25">
        <f t="shared" ca="1" si="74"/>
        <v>-885.79762531630695</v>
      </c>
      <c r="X415" s="14">
        <v>60138.305197924376</v>
      </c>
    </row>
    <row r="416" spans="1:24">
      <c r="A416" s="1">
        <v>412</v>
      </c>
      <c r="B416" s="9">
        <v>39583</v>
      </c>
      <c r="C416" s="37">
        <v>12992.66</v>
      </c>
      <c r="D416" s="38">
        <v>12168.50352</v>
      </c>
      <c r="E416" s="38">
        <v>7827.7511221173199</v>
      </c>
      <c r="F416" s="38">
        <v>135.97691060013358</v>
      </c>
      <c r="I416" s="28">
        <f t="shared" si="65"/>
        <v>7.2828605353578331E-3</v>
      </c>
      <c r="J416" s="28">
        <f t="shared" si="66"/>
        <v>8.1604436878294981E-3</v>
      </c>
      <c r="K416" s="28">
        <f t="shared" si="67"/>
        <v>1.8409421658730162E-3</v>
      </c>
      <c r="L416" s="28">
        <f t="shared" si="68"/>
        <v>1.3673761693262109E-2</v>
      </c>
      <c r="N416" s="27">
        <f t="shared" ca="1" si="69"/>
        <v>11028.415931485501</v>
      </c>
      <c r="O416" s="27">
        <f t="shared" ca="1" si="70"/>
        <v>9516.9252853419839</v>
      </c>
      <c r="P416" s="27">
        <f t="shared" ca="1" si="71"/>
        <v>6028.3142746355588</v>
      </c>
      <c r="Q416" s="27">
        <f t="shared" ca="1" si="72"/>
        <v>112.52863956438598</v>
      </c>
      <c r="T416" s="25">
        <f t="shared" ca="1" si="73"/>
        <v>9943421.3622294348</v>
      </c>
      <c r="V416" s="25">
        <f t="shared" ca="1" si="74"/>
        <v>-56578.637770565227</v>
      </c>
      <c r="X416" s="14">
        <v>60461.843838196248</v>
      </c>
    </row>
    <row r="417" spans="1:24">
      <c r="A417" s="1">
        <v>413</v>
      </c>
      <c r="B417" s="9">
        <v>39584</v>
      </c>
      <c r="C417" s="37">
        <v>12986.8</v>
      </c>
      <c r="D417" s="38">
        <v>12316.71091</v>
      </c>
      <c r="E417" s="38">
        <v>7897.4183514774495</v>
      </c>
      <c r="F417" s="38">
        <v>136.62067640276709</v>
      </c>
      <c r="I417" s="28">
        <f t="shared" si="65"/>
        <v>-4.5112562765992482E-4</v>
      </c>
      <c r="J417" s="28">
        <f t="shared" si="66"/>
        <v>1.2106016099758577E-2</v>
      </c>
      <c r="K417" s="28">
        <f t="shared" si="67"/>
        <v>8.8606593756364385E-3</v>
      </c>
      <c r="L417" s="28">
        <f t="shared" si="68"/>
        <v>4.7232039469375132E-3</v>
      </c>
      <c r="N417" s="27">
        <f t="shared" ca="1" si="69"/>
        <v>11183.872333614154</v>
      </c>
      <c r="O417" s="27">
        <f t="shared" ca="1" si="70"/>
        <v>9590.806078587093</v>
      </c>
      <c r="P417" s="27">
        <f t="shared" ca="1" si="71"/>
        <v>6080.6836485681088</v>
      </c>
      <c r="Q417" s="27">
        <f t="shared" ca="1" si="72"/>
        <v>110.10240788658217</v>
      </c>
      <c r="T417" s="25">
        <f t="shared" ca="1" si="73"/>
        <v>9988362.090258522</v>
      </c>
      <c r="V417" s="25">
        <f t="shared" ca="1" si="74"/>
        <v>-11637.909741478041</v>
      </c>
      <c r="X417" s="14">
        <v>60613.921315457672</v>
      </c>
    </row>
    <row r="418" spans="1:24">
      <c r="A418" s="1">
        <v>414</v>
      </c>
      <c r="B418" s="9">
        <v>39587</v>
      </c>
      <c r="C418" s="37">
        <v>13028.16</v>
      </c>
      <c r="D418" s="38">
        <v>12426.523200000001</v>
      </c>
      <c r="E418" s="38">
        <v>7977.1951597890175</v>
      </c>
      <c r="F418" s="38">
        <v>136.57743108728943</v>
      </c>
      <c r="I418" s="28">
        <f t="shared" si="65"/>
        <v>3.1797115850069123E-3</v>
      </c>
      <c r="J418" s="28">
        <f t="shared" si="66"/>
        <v>8.8762051470528628E-3</v>
      </c>
      <c r="K418" s="28">
        <f t="shared" si="67"/>
        <v>1.0050950828163732E-2</v>
      </c>
      <c r="L418" s="28">
        <f t="shared" si="68"/>
        <v>-3.1658576434637876E-4</v>
      </c>
      <c r="N418" s="27">
        <f t="shared" ca="1" si="69"/>
        <v>10910.718579875091</v>
      </c>
      <c r="O418" s="27">
        <f t="shared" ca="1" si="70"/>
        <v>9593.964672733955</v>
      </c>
      <c r="P418" s="27">
        <f t="shared" ca="1" si="71"/>
        <v>6197.6721306114832</v>
      </c>
      <c r="Q418" s="27">
        <f t="shared" ca="1" si="72"/>
        <v>111.32528017864801</v>
      </c>
      <c r="T418" s="25">
        <f t="shared" ca="1" si="73"/>
        <v>9930765.1105618235</v>
      </c>
      <c r="V418" s="25">
        <f t="shared" ca="1" si="74"/>
        <v>-69234.889438176528</v>
      </c>
      <c r="X418" s="14">
        <v>60978.119089186192</v>
      </c>
    </row>
    <row r="419" spans="1:24">
      <c r="A419" s="1">
        <v>415</v>
      </c>
      <c r="B419" s="9">
        <v>39588</v>
      </c>
      <c r="C419" s="37">
        <v>12828.68</v>
      </c>
      <c r="D419" s="38">
        <v>12188.1646</v>
      </c>
      <c r="E419" s="38">
        <v>7904.4253322908526</v>
      </c>
      <c r="F419" s="38">
        <v>136.36450308166408</v>
      </c>
      <c r="I419" s="28">
        <f t="shared" si="65"/>
        <v>-1.5429879110280625E-2</v>
      </c>
      <c r="J419" s="28">
        <f t="shared" si="66"/>
        <v>-1.9367789899017846E-2</v>
      </c>
      <c r="K419" s="28">
        <f t="shared" si="67"/>
        <v>-9.1640946596196638E-3</v>
      </c>
      <c r="L419" s="28">
        <f t="shared" si="68"/>
        <v>-1.5602443022834007E-3</v>
      </c>
      <c r="N419" s="27">
        <f t="shared" ca="1" si="69"/>
        <v>11005.863434376884</v>
      </c>
      <c r="O419" s="27">
        <f t="shared" ca="1" si="70"/>
        <v>9497.7129779979787</v>
      </c>
      <c r="P419" s="27">
        <f t="shared" ca="1" si="71"/>
        <v>6302.7590479608816</v>
      </c>
      <c r="Q419" s="27">
        <f t="shared" ca="1" si="72"/>
        <v>114.0683325781625</v>
      </c>
      <c r="T419" s="25">
        <f t="shared" ca="1" si="73"/>
        <v>10000789.585856406</v>
      </c>
      <c r="V419" s="25">
        <f t="shared" ca="1" si="74"/>
        <v>789.58585640601814</v>
      </c>
      <c r="X419" s="14">
        <v>61673.293923154473</v>
      </c>
    </row>
    <row r="420" spans="1:24">
      <c r="A420" s="1">
        <v>416</v>
      </c>
      <c r="B420" s="9">
        <v>39589</v>
      </c>
      <c r="C420" s="37">
        <v>12601.19</v>
      </c>
      <c r="D420" s="38">
        <v>12174.30802</v>
      </c>
      <c r="E420" s="38">
        <v>7927.3888363292344</v>
      </c>
      <c r="F420" s="38">
        <v>134.8532971821439</v>
      </c>
      <c r="I420" s="28">
        <f t="shared" si="65"/>
        <v>-1.7892035526416817E-2</v>
      </c>
      <c r="J420" s="28">
        <f t="shared" si="66"/>
        <v>-1.1375349054520492E-3</v>
      </c>
      <c r="K420" s="28">
        <f t="shared" si="67"/>
        <v>2.9009335124519516E-3</v>
      </c>
      <c r="L420" s="28">
        <f t="shared" si="68"/>
        <v>-1.1143970178186764E-2</v>
      </c>
      <c r="N420" s="27">
        <f t="shared" ca="1" si="69"/>
        <v>10994.486347745536</v>
      </c>
      <c r="O420" s="27">
        <f t="shared" ca="1" si="70"/>
        <v>9498.2939801524626</v>
      </c>
      <c r="P420" s="27">
        <f t="shared" ca="1" si="71"/>
        <v>6083.4298956009361</v>
      </c>
      <c r="Q420" s="27">
        <f t="shared" ca="1" si="72"/>
        <v>111.87527329353988</v>
      </c>
      <c r="T420" s="25">
        <f t="shared" ca="1" si="73"/>
        <v>9922592.4924681783</v>
      </c>
      <c r="V420" s="25">
        <f t="shared" ca="1" si="74"/>
        <v>-77407.507531821728</v>
      </c>
      <c r="X420" s="14">
        <v>62133.580066859722</v>
      </c>
    </row>
    <row r="421" spans="1:24">
      <c r="A421" s="1">
        <v>417</v>
      </c>
      <c r="B421" s="9">
        <v>39590</v>
      </c>
      <c r="C421" s="37">
        <v>12625.62</v>
      </c>
      <c r="D421" s="38">
        <v>12246.985920000001</v>
      </c>
      <c r="E421" s="38">
        <v>7903.0960238881034</v>
      </c>
      <c r="F421" s="38">
        <v>134.47291967291966</v>
      </c>
      <c r="I421" s="28">
        <f t="shared" si="65"/>
        <v>1.9368289242305727E-3</v>
      </c>
      <c r="J421" s="28">
        <f t="shared" si="66"/>
        <v>5.9520281553941045E-3</v>
      </c>
      <c r="K421" s="28">
        <f t="shared" si="67"/>
        <v>-3.069120336424069E-3</v>
      </c>
      <c r="L421" s="28">
        <f t="shared" si="68"/>
        <v>-2.8246619774058676E-3</v>
      </c>
      <c r="N421" s="27">
        <f t="shared" ca="1" si="69"/>
        <v>10812.983611457539</v>
      </c>
      <c r="O421" s="27">
        <f t="shared" ca="1" si="70"/>
        <v>9928.0520776372214</v>
      </c>
      <c r="P421" s="27">
        <f t="shared" ca="1" si="71"/>
        <v>6306.5719266984133</v>
      </c>
      <c r="Q421" s="27">
        <f t="shared" ca="1" si="72"/>
        <v>112.95533842795746</v>
      </c>
      <c r="T421" s="25">
        <f t="shared" ca="1" si="73"/>
        <v>10046159.108986586</v>
      </c>
      <c r="V421" s="25">
        <f t="shared" ca="1" si="74"/>
        <v>46159.108986586332</v>
      </c>
      <c r="X421" s="14">
        <v>63670.666352178901</v>
      </c>
    </row>
    <row r="422" spans="1:24">
      <c r="A422" s="1">
        <v>418</v>
      </c>
      <c r="B422" s="9">
        <v>39591</v>
      </c>
      <c r="C422" s="37">
        <v>12479.63</v>
      </c>
      <c r="D422" s="38">
        <v>12064.41987</v>
      </c>
      <c r="E422" s="38">
        <v>7779.5175023651855</v>
      </c>
      <c r="F422" s="38">
        <v>135.55383573570668</v>
      </c>
      <c r="I422" s="28">
        <f t="shared" si="65"/>
        <v>-1.1630367800621367E-2</v>
      </c>
      <c r="J422" s="28">
        <f t="shared" si="66"/>
        <v>-1.5019245161466513E-2</v>
      </c>
      <c r="K422" s="28">
        <f t="shared" si="67"/>
        <v>-1.5760265881253916E-2</v>
      </c>
      <c r="L422" s="28">
        <f t="shared" si="68"/>
        <v>8.0060350666506658E-3</v>
      </c>
      <c r="N422" s="27">
        <f t="shared" ca="1" si="69"/>
        <v>10967.922750321364</v>
      </c>
      <c r="O422" s="27">
        <f t="shared" ca="1" si="70"/>
        <v>9523.3916594183629</v>
      </c>
      <c r="P422" s="27">
        <f t="shared" ca="1" si="71"/>
        <v>6106.606363910656</v>
      </c>
      <c r="Q422" s="27">
        <f t="shared" ca="1" si="72"/>
        <v>114.76326857735862</v>
      </c>
      <c r="T422" s="25">
        <f t="shared" ca="1" si="73"/>
        <v>9975728.8952063769</v>
      </c>
      <c r="V422" s="25">
        <f t="shared" ca="1" si="74"/>
        <v>-24271.10479362309</v>
      </c>
      <c r="X422" s="14">
        <v>64112.75392098166</v>
      </c>
    </row>
    <row r="423" spans="1:24">
      <c r="A423" s="1">
        <v>419</v>
      </c>
      <c r="B423" s="9">
        <v>39595</v>
      </c>
      <c r="C423" s="37">
        <v>12548.35</v>
      </c>
      <c r="D423" s="38">
        <v>11963.719949999999</v>
      </c>
      <c r="E423" s="38">
        <v>7713.504166011634</v>
      </c>
      <c r="F423" s="38">
        <v>133.46119116234391</v>
      </c>
      <c r="I423" s="28">
        <f t="shared" si="65"/>
        <v>5.4914677648394668E-3</v>
      </c>
      <c r="J423" s="28">
        <f t="shared" si="66"/>
        <v>-8.3818814371492602E-3</v>
      </c>
      <c r="K423" s="28">
        <f t="shared" si="67"/>
        <v>-8.5217380130076063E-3</v>
      </c>
      <c r="L423" s="28">
        <f t="shared" si="68"/>
        <v>-1.5558140440759868E-2</v>
      </c>
      <c r="N423" s="27">
        <f t="shared" ca="1" si="69"/>
        <v>11014.302438078737</v>
      </c>
      <c r="O423" s="27">
        <f t="shared" ca="1" si="70"/>
        <v>9590.6185071435775</v>
      </c>
      <c r="P423" s="27">
        <f t="shared" ca="1" si="71"/>
        <v>6225.9708531936531</v>
      </c>
      <c r="Q423" s="27">
        <f t="shared" ca="1" si="72"/>
        <v>113.24167119990584</v>
      </c>
      <c r="T423" s="25">
        <f t="shared" ca="1" si="73"/>
        <v>10005846.813198349</v>
      </c>
      <c r="V423" s="25">
        <f t="shared" ca="1" si="74"/>
        <v>5846.8131983485073</v>
      </c>
      <c r="X423" s="14">
        <v>64210.348535900936</v>
      </c>
    </row>
    <row r="424" spans="1:24">
      <c r="A424" s="1">
        <v>420</v>
      </c>
      <c r="B424" s="9">
        <v>39596</v>
      </c>
      <c r="C424" s="37">
        <v>12594.03</v>
      </c>
      <c r="D424" s="38">
        <v>12022.05672</v>
      </c>
      <c r="E424" s="38">
        <v>7768.5732145647753</v>
      </c>
      <c r="F424" s="38">
        <v>130.87770883054893</v>
      </c>
      <c r="I424" s="28">
        <f t="shared" si="65"/>
        <v>3.6337093196920612E-3</v>
      </c>
      <c r="J424" s="28">
        <f t="shared" si="66"/>
        <v>4.8642898522425794E-3</v>
      </c>
      <c r="K424" s="28">
        <f t="shared" si="67"/>
        <v>7.1139394855612515E-3</v>
      </c>
      <c r="L424" s="28">
        <f t="shared" si="68"/>
        <v>-1.9547365852083862E-2</v>
      </c>
      <c r="N424" s="27">
        <f t="shared" ca="1" si="69"/>
        <v>10955.328444583805</v>
      </c>
      <c r="O424" s="27">
        <f t="shared" ca="1" si="70"/>
        <v>9407.6131510574778</v>
      </c>
      <c r="P424" s="27">
        <f t="shared" ca="1" si="71"/>
        <v>6031.2937193348625</v>
      </c>
      <c r="Q424" s="27">
        <f t="shared" ca="1" si="72"/>
        <v>111.4462101125344</v>
      </c>
      <c r="T424" s="25">
        <f t="shared" ca="1" si="73"/>
        <v>9864029.1597248353</v>
      </c>
      <c r="V424" s="25">
        <f t="shared" ca="1" si="74"/>
        <v>-135970.84027516469</v>
      </c>
      <c r="X424" s="14">
        <v>64325.796352224424</v>
      </c>
    </row>
    <row r="425" spans="1:24">
      <c r="A425" s="1">
        <v>421</v>
      </c>
      <c r="B425" s="9">
        <v>39597</v>
      </c>
      <c r="C425" s="37">
        <v>12646.22</v>
      </c>
      <c r="D425" s="38">
        <v>11996.026890000001</v>
      </c>
      <c r="E425" s="38">
        <v>7728.9530910220556</v>
      </c>
      <c r="F425" s="38">
        <v>133.9955412199981</v>
      </c>
      <c r="I425" s="28">
        <f t="shared" si="65"/>
        <v>4.1354641399908836E-3</v>
      </c>
      <c r="J425" s="28">
        <f t="shared" si="66"/>
        <v>-2.1675201580322353E-3</v>
      </c>
      <c r="K425" s="28">
        <f t="shared" si="67"/>
        <v>-5.1131011594789336E-3</v>
      </c>
      <c r="L425" s="28">
        <f t="shared" si="68"/>
        <v>2.3543158097528084E-2</v>
      </c>
      <c r="N425" s="27">
        <f t="shared" ca="1" si="69"/>
        <v>10816.030199751187</v>
      </c>
      <c r="O425" s="27">
        <f t="shared" ca="1" si="70"/>
        <v>9520.8796607453914</v>
      </c>
      <c r="P425" s="27">
        <f t="shared" ca="1" si="71"/>
        <v>6341.6970633346955</v>
      </c>
      <c r="Q425" s="27">
        <f t="shared" ca="1" si="72"/>
        <v>113.39392705160725</v>
      </c>
      <c r="T425" s="25">
        <f t="shared" ca="1" si="73"/>
        <v>9933461.8671723902</v>
      </c>
      <c r="V425" s="25">
        <f t="shared" ca="1" si="74"/>
        <v>-66538.132827609777</v>
      </c>
      <c r="X425" s="14">
        <v>64721.920834232122</v>
      </c>
    </row>
    <row r="426" spans="1:24">
      <c r="A426" s="1">
        <v>422</v>
      </c>
      <c r="B426" s="9">
        <v>39598</v>
      </c>
      <c r="C426" s="37">
        <v>12638.32</v>
      </c>
      <c r="D426" s="38">
        <v>11962.9267</v>
      </c>
      <c r="E426" s="38">
        <v>7792.1989121989127</v>
      </c>
      <c r="F426" s="38">
        <v>135.82021407596858</v>
      </c>
      <c r="I426" s="28">
        <f t="shared" si="65"/>
        <v>-6.248877976082226E-4</v>
      </c>
      <c r="J426" s="28">
        <f t="shared" si="66"/>
        <v>-2.7630765203938957E-3</v>
      </c>
      <c r="K426" s="28">
        <f t="shared" si="67"/>
        <v>8.1496748713254137E-3</v>
      </c>
      <c r="L426" s="28">
        <f t="shared" si="68"/>
        <v>1.3525530938842659E-2</v>
      </c>
      <c r="N426" s="27">
        <f t="shared" ca="1" si="69"/>
        <v>10941.594315437578</v>
      </c>
      <c r="O426" s="27">
        <f t="shared" ca="1" si="70"/>
        <v>9800.5441519693013</v>
      </c>
      <c r="P426" s="27">
        <f t="shared" ca="1" si="71"/>
        <v>6159.1790801463803</v>
      </c>
      <c r="Q426" s="27">
        <f t="shared" ca="1" si="72"/>
        <v>111.46257912548776</v>
      </c>
      <c r="T426" s="25">
        <f t="shared" ca="1" si="73"/>
        <v>10002752.691265948</v>
      </c>
      <c r="V426" s="25">
        <f t="shared" ca="1" si="74"/>
        <v>2752.6912659481168</v>
      </c>
      <c r="X426" s="14">
        <v>65078.87012523599</v>
      </c>
    </row>
    <row r="427" spans="1:24">
      <c r="A427" s="1">
        <v>423</v>
      </c>
      <c r="B427" s="9">
        <v>39601</v>
      </c>
      <c r="C427" s="37">
        <v>12503.82</v>
      </c>
      <c r="D427" s="38">
        <v>11797.12412</v>
      </c>
      <c r="E427" s="38">
        <v>7663.369565217391</v>
      </c>
      <c r="F427" s="38">
        <v>138.11707317073171</v>
      </c>
      <c r="I427" s="28">
        <f t="shared" si="65"/>
        <v>-1.0699270870717785E-2</v>
      </c>
      <c r="J427" s="28">
        <f t="shared" si="66"/>
        <v>-1.3956642821047163E-2</v>
      </c>
      <c r="K427" s="28">
        <f t="shared" si="67"/>
        <v>-1.667131571131731E-2</v>
      </c>
      <c r="L427" s="28">
        <f t="shared" si="68"/>
        <v>1.6769625957514047E-2</v>
      </c>
      <c r="N427" s="27">
        <f t="shared" ca="1" si="69"/>
        <v>11083.689488758277</v>
      </c>
      <c r="O427" s="27">
        <f t="shared" ca="1" si="70"/>
        <v>9189.6291635633115</v>
      </c>
      <c r="P427" s="27">
        <f t="shared" ca="1" si="71"/>
        <v>6251.4227101213974</v>
      </c>
      <c r="Q427" s="27">
        <f t="shared" ca="1" si="72"/>
        <v>110.43665439241703</v>
      </c>
      <c r="T427" s="25">
        <f t="shared" ca="1" si="73"/>
        <v>9860097.7585989777</v>
      </c>
      <c r="V427" s="25">
        <f t="shared" ca="1" si="74"/>
        <v>-139902.2414010223</v>
      </c>
      <c r="X427" s="14">
        <v>65134.853676017374</v>
      </c>
    </row>
    <row r="428" spans="1:24">
      <c r="A428" s="1">
        <v>424</v>
      </c>
      <c r="B428" s="9">
        <v>39602</v>
      </c>
      <c r="C428" s="37">
        <v>12402.85</v>
      </c>
      <c r="D428" s="38">
        <v>11912.467049999999</v>
      </c>
      <c r="E428" s="38">
        <v>7705.1793444650584</v>
      </c>
      <c r="F428" s="38">
        <v>134.99116473494203</v>
      </c>
      <c r="I428" s="28">
        <f t="shared" si="65"/>
        <v>-8.1079127102878911E-3</v>
      </c>
      <c r="J428" s="28">
        <f t="shared" si="66"/>
        <v>9.7297198510602548E-3</v>
      </c>
      <c r="K428" s="28">
        <f t="shared" si="67"/>
        <v>5.4409668262720137E-3</v>
      </c>
      <c r="L428" s="28">
        <f t="shared" si="68"/>
        <v>-2.2892351927151337E-2</v>
      </c>
      <c r="N428" s="27">
        <f t="shared" ca="1" si="69"/>
        <v>11150.980496985912</v>
      </c>
      <c r="O428" s="27">
        <f t="shared" ca="1" si="70"/>
        <v>9622.9270257836979</v>
      </c>
      <c r="P428" s="27">
        <f t="shared" ca="1" si="71"/>
        <v>6174.5675540416569</v>
      </c>
      <c r="Q428" s="27">
        <f t="shared" ca="1" si="72"/>
        <v>112.22392671199387</v>
      </c>
      <c r="T428" s="25">
        <f t="shared" ca="1" si="73"/>
        <v>10039213.0684186</v>
      </c>
      <c r="V428" s="25">
        <f t="shared" ca="1" si="74"/>
        <v>39213.068418599665</v>
      </c>
      <c r="X428" s="14">
        <v>65780.187959995121</v>
      </c>
    </row>
    <row r="429" spans="1:24">
      <c r="A429" s="1">
        <v>425</v>
      </c>
      <c r="B429" s="9">
        <v>39603</v>
      </c>
      <c r="C429" s="37">
        <v>12390.48</v>
      </c>
      <c r="D429" s="38">
        <v>11663.784370000001</v>
      </c>
      <c r="E429" s="38">
        <v>7593.1870848138415</v>
      </c>
      <c r="F429" s="38">
        <v>137.44234980481767</v>
      </c>
      <c r="I429" s="28">
        <f t="shared" si="65"/>
        <v>-9.9784910106098237E-4</v>
      </c>
      <c r="J429" s="28">
        <f t="shared" si="66"/>
        <v>-2.1096814675959075E-2</v>
      </c>
      <c r="K429" s="28">
        <f t="shared" si="67"/>
        <v>-1.4641335831272405E-2</v>
      </c>
      <c r="L429" s="28">
        <f t="shared" si="68"/>
        <v>1.7995225150981262E-2</v>
      </c>
      <c r="N429" s="27">
        <f t="shared" ca="1" si="69"/>
        <v>10999.970880320179</v>
      </c>
      <c r="O429" s="27">
        <f t="shared" ca="1" si="70"/>
        <v>9660.9108798144116</v>
      </c>
      <c r="P429" s="27">
        <f t="shared" ca="1" si="71"/>
        <v>6179.9182593727255</v>
      </c>
      <c r="Q429" s="27">
        <f t="shared" ca="1" si="72"/>
        <v>115.12918776952154</v>
      </c>
      <c r="T429" s="25">
        <f t="shared" ca="1" si="73"/>
        <v>10048645.048193105</v>
      </c>
      <c r="V429" s="25">
        <f t="shared" ca="1" si="74"/>
        <v>48645.048193104565</v>
      </c>
      <c r="X429" s="14">
        <v>68098.54812281765</v>
      </c>
    </row>
    <row r="430" spans="1:24">
      <c r="A430" s="1">
        <v>426</v>
      </c>
      <c r="B430" s="9">
        <v>39604</v>
      </c>
      <c r="C430" s="37">
        <v>12604.45</v>
      </c>
      <c r="D430" s="38">
        <v>11719.012910000001</v>
      </c>
      <c r="E430" s="38">
        <v>7623.2095696753149</v>
      </c>
      <c r="F430" s="38">
        <v>135.15333144849686</v>
      </c>
      <c r="I430" s="28">
        <f t="shared" si="65"/>
        <v>1.7121490398399268E-2</v>
      </c>
      <c r="J430" s="28">
        <f t="shared" si="66"/>
        <v>4.7238696072532142E-3</v>
      </c>
      <c r="K430" s="28">
        <f t="shared" si="67"/>
        <v>3.946075342424654E-3</v>
      </c>
      <c r="L430" s="28">
        <f t="shared" si="68"/>
        <v>-1.6794632613838258E-2</v>
      </c>
      <c r="N430" s="27">
        <f t="shared" ca="1" si="69"/>
        <v>11218.503048135866</v>
      </c>
      <c r="O430" s="27">
        <f t="shared" ca="1" si="70"/>
        <v>9702.0513654483857</v>
      </c>
      <c r="P430" s="27">
        <f t="shared" ca="1" si="71"/>
        <v>6171.9563170152078</v>
      </c>
      <c r="Q430" s="27">
        <f t="shared" ca="1" si="72"/>
        <v>114.83191426326248</v>
      </c>
      <c r="T430" s="25">
        <f t="shared" ca="1" si="73"/>
        <v>10134254.906209942</v>
      </c>
      <c r="V430" s="25">
        <f t="shared" ca="1" si="74"/>
        <v>134254.90620994195</v>
      </c>
      <c r="X430" s="14">
        <v>68422.666296169162</v>
      </c>
    </row>
    <row r="431" spans="1:24">
      <c r="A431" s="1">
        <v>427</v>
      </c>
      <c r="B431" s="9">
        <v>39605</v>
      </c>
      <c r="C431" s="37">
        <v>12209.81</v>
      </c>
      <c r="D431" s="38">
        <v>11635.21464</v>
      </c>
      <c r="E431" s="38">
        <v>7545.7435090479939</v>
      </c>
      <c r="F431" s="38">
        <v>137.57538928978354</v>
      </c>
      <c r="I431" s="28">
        <f t="shared" si="65"/>
        <v>-3.18101992231586E-2</v>
      </c>
      <c r="J431" s="28">
        <f t="shared" si="66"/>
        <v>-7.1763135347437321E-3</v>
      </c>
      <c r="K431" s="28">
        <f t="shared" si="67"/>
        <v>-1.0213853741986233E-2</v>
      </c>
      <c r="L431" s="28">
        <f t="shared" si="68"/>
        <v>1.7762130170770579E-2</v>
      </c>
      <c r="N431" s="27">
        <f t="shared" ca="1" si="69"/>
        <v>11135.149001316557</v>
      </c>
      <c r="O431" s="27">
        <f t="shared" ca="1" si="70"/>
        <v>9454.4938369139927</v>
      </c>
      <c r="P431" s="27">
        <f t="shared" ca="1" si="71"/>
        <v>6149.11623086279</v>
      </c>
      <c r="Q431" s="27">
        <f t="shared" ca="1" si="72"/>
        <v>112.78214444162208</v>
      </c>
      <c r="T431" s="25">
        <f t="shared" ca="1" si="73"/>
        <v>9986622.5014995877</v>
      </c>
      <c r="V431" s="25">
        <f t="shared" ca="1" si="74"/>
        <v>-13377.49850041233</v>
      </c>
      <c r="X431" s="14">
        <v>70095.525340441614</v>
      </c>
    </row>
    <row r="432" spans="1:24">
      <c r="A432" s="1">
        <v>428</v>
      </c>
      <c r="B432" s="9">
        <v>39608</v>
      </c>
      <c r="C432" s="37">
        <v>12280.32</v>
      </c>
      <c r="D432" s="38">
        <v>11617.66416</v>
      </c>
      <c r="E432" s="38">
        <v>7548.5687323057564</v>
      </c>
      <c r="F432" s="38">
        <v>133.69831243518431</v>
      </c>
      <c r="I432" s="28">
        <f t="shared" si="65"/>
        <v>5.7582540254195727E-3</v>
      </c>
      <c r="J432" s="28">
        <f t="shared" si="66"/>
        <v>-1.5095320870695994E-3</v>
      </c>
      <c r="K432" s="28">
        <f t="shared" si="67"/>
        <v>3.7434276508669062E-4</v>
      </c>
      <c r="L432" s="28">
        <f t="shared" si="68"/>
        <v>-2.8586190594104995E-2</v>
      </c>
      <c r="N432" s="27">
        <f t="shared" ca="1" si="69"/>
        <v>11008.453968207728</v>
      </c>
      <c r="O432" s="27">
        <f t="shared" ca="1" si="70"/>
        <v>9466.0575999405464</v>
      </c>
      <c r="P432" s="27">
        <f t="shared" ca="1" si="71"/>
        <v>6313.6904585910179</v>
      </c>
      <c r="Q432" s="27">
        <f t="shared" ca="1" si="72"/>
        <v>113.41729801972841</v>
      </c>
      <c r="T432" s="25">
        <f t="shared" ca="1" si="73"/>
        <v>9982059.4177838713</v>
      </c>
      <c r="V432" s="25">
        <f t="shared" ca="1" si="74"/>
        <v>-17940.582216128707</v>
      </c>
      <c r="X432" s="14">
        <v>70493.726692408323</v>
      </c>
    </row>
    <row r="433" spans="1:24">
      <c r="A433" s="1">
        <v>429</v>
      </c>
      <c r="B433" s="9">
        <v>39609</v>
      </c>
      <c r="C433" s="37">
        <v>12289.76</v>
      </c>
      <c r="D433" s="38">
        <v>11378.968710000001</v>
      </c>
      <c r="E433" s="38">
        <v>7370.0928792569657</v>
      </c>
      <c r="F433" s="38">
        <v>130.80669838604348</v>
      </c>
      <c r="I433" s="28">
        <f t="shared" si="65"/>
        <v>7.6841430426741663E-4</v>
      </c>
      <c r="J433" s="28">
        <f t="shared" si="66"/>
        <v>-2.0759910715053453E-2</v>
      </c>
      <c r="K433" s="28">
        <f t="shared" si="67"/>
        <v>-2.392766494652954E-2</v>
      </c>
      <c r="L433" s="28">
        <f t="shared" si="68"/>
        <v>-2.1865213388353705E-2</v>
      </c>
      <c r="N433" s="27">
        <f t="shared" ca="1" si="69"/>
        <v>11159.373640889909</v>
      </c>
      <c r="O433" s="27">
        <f t="shared" ca="1" si="70"/>
        <v>9638.8816315459826</v>
      </c>
      <c r="P433" s="27">
        <f t="shared" ca="1" si="71"/>
        <v>6159.6824460784383</v>
      </c>
      <c r="Q433" s="27">
        <f t="shared" ca="1" si="72"/>
        <v>111.84836930758374</v>
      </c>
      <c r="T433" s="25">
        <f t="shared" ca="1" si="73"/>
        <v>10038186.695108753</v>
      </c>
      <c r="V433" s="25">
        <f t="shared" ca="1" si="74"/>
        <v>38186.695108752698</v>
      </c>
      <c r="X433" s="14">
        <v>70638.843777269125</v>
      </c>
    </row>
    <row r="434" spans="1:24">
      <c r="A434" s="1">
        <v>430</v>
      </c>
      <c r="B434" s="9">
        <v>39610</v>
      </c>
      <c r="C434" s="37">
        <v>12083.77</v>
      </c>
      <c r="D434" s="38">
        <v>11237.699550000001</v>
      </c>
      <c r="E434" s="38">
        <v>7241.9359850839037</v>
      </c>
      <c r="F434" s="38">
        <v>132.84143485997939</v>
      </c>
      <c r="I434" s="28">
        <f t="shared" si="65"/>
        <v>-1.6903165405015987E-2</v>
      </c>
      <c r="J434" s="28">
        <f t="shared" si="66"/>
        <v>-1.2492644420404941E-2</v>
      </c>
      <c r="K434" s="28">
        <f t="shared" si="67"/>
        <v>-1.7541736556387005E-2</v>
      </c>
      <c r="L434" s="28">
        <f t="shared" si="68"/>
        <v>1.543554925095434E-2</v>
      </c>
      <c r="N434" s="27">
        <f t="shared" ca="1" si="69"/>
        <v>11064.640158790635</v>
      </c>
      <c r="O434" s="27">
        <f t="shared" ca="1" si="70"/>
        <v>9812.2198705220362</v>
      </c>
      <c r="P434" s="27">
        <f t="shared" ca="1" si="71"/>
        <v>6140.3823535449346</v>
      </c>
      <c r="Q434" s="27">
        <f t="shared" ca="1" si="72"/>
        <v>114.34214211053374</v>
      </c>
      <c r="T434" s="25">
        <f t="shared" ca="1" si="73"/>
        <v>10099070.317420516</v>
      </c>
      <c r="V434" s="25">
        <f t="shared" ca="1" si="74"/>
        <v>99070.317420516163</v>
      </c>
      <c r="X434" s="14">
        <v>72539.487994188443</v>
      </c>
    </row>
    <row r="435" spans="1:24">
      <c r="A435" s="1">
        <v>431</v>
      </c>
      <c r="B435" s="9">
        <v>39611</v>
      </c>
      <c r="C435" s="37">
        <v>12141.58</v>
      </c>
      <c r="D435" s="38">
        <v>11267.1549</v>
      </c>
      <c r="E435" s="38">
        <v>7203.6694418748084</v>
      </c>
      <c r="F435" s="38">
        <v>128.56243636027031</v>
      </c>
      <c r="I435" s="28">
        <f t="shared" si="65"/>
        <v>4.7726955223326949E-3</v>
      </c>
      <c r="J435" s="28">
        <f t="shared" si="66"/>
        <v>2.6176900530667522E-3</v>
      </c>
      <c r="K435" s="28">
        <f t="shared" si="67"/>
        <v>-5.2980310048751211E-3</v>
      </c>
      <c r="L435" s="28">
        <f t="shared" si="68"/>
        <v>-3.2741525462289769E-2</v>
      </c>
      <c r="N435" s="27">
        <f t="shared" ca="1" si="69"/>
        <v>11241.773034005919</v>
      </c>
      <c r="O435" s="27">
        <f t="shared" ca="1" si="70"/>
        <v>9755.0233672823506</v>
      </c>
      <c r="P435" s="27">
        <f t="shared" ca="1" si="71"/>
        <v>6219.2032862676024</v>
      </c>
      <c r="Q435" s="27">
        <f t="shared" ca="1" si="72"/>
        <v>113.86465934869845</v>
      </c>
      <c r="T435" s="25">
        <f t="shared" ca="1" si="73"/>
        <v>10149727.153914275</v>
      </c>
      <c r="V435" s="25">
        <f t="shared" ca="1" si="74"/>
        <v>149727.15391427465</v>
      </c>
      <c r="X435" s="14">
        <v>73512.358492100611</v>
      </c>
    </row>
    <row r="436" spans="1:24">
      <c r="A436" s="1">
        <v>432</v>
      </c>
      <c r="B436" s="9">
        <v>39612</v>
      </c>
      <c r="C436" s="37">
        <v>12307.35</v>
      </c>
      <c r="D436" s="38">
        <v>11284.124880000001</v>
      </c>
      <c r="E436" s="38">
        <v>7184.7475832438249</v>
      </c>
      <c r="F436" s="38">
        <v>129.36243288279948</v>
      </c>
      <c r="I436" s="28">
        <f t="shared" si="65"/>
        <v>1.3560719452533428E-2</v>
      </c>
      <c r="J436" s="28">
        <f t="shared" si="66"/>
        <v>1.5050128745442461E-3</v>
      </c>
      <c r="K436" s="28">
        <f t="shared" si="67"/>
        <v>-2.6301530607482303E-3</v>
      </c>
      <c r="L436" s="28">
        <f t="shared" si="68"/>
        <v>6.2033497607319769E-3</v>
      </c>
      <c r="N436" s="27">
        <f t="shared" ca="1" si="69"/>
        <v>11029.393984438047</v>
      </c>
      <c r="O436" s="27">
        <f t="shared" ca="1" si="70"/>
        <v>9646.2313383587425</v>
      </c>
      <c r="P436" s="27">
        <f t="shared" ca="1" si="71"/>
        <v>6195.1574049013534</v>
      </c>
      <c r="Q436" s="27">
        <f t="shared" ca="1" si="72"/>
        <v>115.09063772478724</v>
      </c>
      <c r="T436" s="25">
        <f t="shared" ca="1" si="73"/>
        <v>10056509.931758907</v>
      </c>
      <c r="V436" s="25">
        <f t="shared" ca="1" si="74"/>
        <v>56509.931758906692</v>
      </c>
      <c r="X436" s="14">
        <v>73853.695668714121</v>
      </c>
    </row>
    <row r="437" spans="1:24">
      <c r="A437" s="1">
        <v>433</v>
      </c>
      <c r="B437" s="9">
        <v>39615</v>
      </c>
      <c r="C437" s="37">
        <v>12269.08</v>
      </c>
      <c r="D437" s="38">
        <v>11378.27656</v>
      </c>
      <c r="E437" s="38">
        <v>7201.2059369202216</v>
      </c>
      <c r="F437" s="38">
        <v>132.56714074621354</v>
      </c>
      <c r="I437" s="28">
        <f t="shared" si="65"/>
        <v>-3.1143685989098975E-3</v>
      </c>
      <c r="J437" s="28">
        <f t="shared" si="66"/>
        <v>8.3091125135389202E-3</v>
      </c>
      <c r="K437" s="28">
        <f t="shared" si="67"/>
        <v>2.288115394496722E-3</v>
      </c>
      <c r="L437" s="28">
        <f t="shared" si="68"/>
        <v>2.4471217534925073E-2</v>
      </c>
      <c r="N437" s="27">
        <f t="shared" ca="1" si="69"/>
        <v>11019.206258781622</v>
      </c>
      <c r="O437" s="27">
        <f t="shared" ca="1" si="70"/>
        <v>9526.8026906176638</v>
      </c>
      <c r="P437" s="27">
        <f t="shared" ca="1" si="71"/>
        <v>6246.3120379235606</v>
      </c>
      <c r="Q437" s="27">
        <f t="shared" ca="1" si="72"/>
        <v>113.22753529696985</v>
      </c>
      <c r="T437" s="25">
        <f t="shared" ca="1" si="73"/>
        <v>9990713.8372549172</v>
      </c>
      <c r="V437" s="25">
        <f t="shared" ca="1" si="74"/>
        <v>-9286.1627450827509</v>
      </c>
      <c r="X437" s="14">
        <v>74092.914092846215</v>
      </c>
    </row>
    <row r="438" spans="1:24">
      <c r="A438" s="1">
        <v>434</v>
      </c>
      <c r="B438" s="9">
        <v>39616</v>
      </c>
      <c r="C438" s="37">
        <v>12160.3</v>
      </c>
      <c r="D438" s="38">
        <v>11445.945939999998</v>
      </c>
      <c r="E438" s="38">
        <v>7265.6279069767443</v>
      </c>
      <c r="F438" s="38">
        <v>132.68328093212503</v>
      </c>
      <c r="I438" s="28">
        <f t="shared" si="65"/>
        <v>-8.9057290002784763E-3</v>
      </c>
      <c r="J438" s="28">
        <f t="shared" si="66"/>
        <v>5.9296283388352699E-3</v>
      </c>
      <c r="K438" s="28">
        <f t="shared" si="67"/>
        <v>8.9062190917917772E-3</v>
      </c>
      <c r="L438" s="28">
        <f t="shared" si="68"/>
        <v>8.7570223337255925E-4</v>
      </c>
      <c r="N438" s="27">
        <f t="shared" ca="1" si="69"/>
        <v>11158.99496488829</v>
      </c>
      <c r="O438" s="27">
        <f t="shared" ca="1" si="70"/>
        <v>9588.01217672243</v>
      </c>
      <c r="P438" s="27">
        <f t="shared" ca="1" si="71"/>
        <v>6270.0767413798249</v>
      </c>
      <c r="Q438" s="27">
        <f t="shared" ca="1" si="72"/>
        <v>110.15970082466789</v>
      </c>
      <c r="T438" s="25">
        <f t="shared" ca="1" si="73"/>
        <v>10010021.73125859</v>
      </c>
      <c r="V438" s="25">
        <f t="shared" ca="1" si="74"/>
        <v>10021.731258589774</v>
      </c>
      <c r="X438" s="14">
        <v>74654.351075099781</v>
      </c>
    </row>
    <row r="439" spans="1:24">
      <c r="A439" s="1">
        <v>435</v>
      </c>
      <c r="B439" s="9">
        <v>39617</v>
      </c>
      <c r="C439" s="37">
        <v>12029.06</v>
      </c>
      <c r="D439" s="38">
        <v>11274.312959999999</v>
      </c>
      <c r="E439" s="38">
        <v>7166.4080682699769</v>
      </c>
      <c r="F439" s="38">
        <v>133.94643188137164</v>
      </c>
      <c r="I439" s="28">
        <f t="shared" si="65"/>
        <v>-1.0851158341033652E-2</v>
      </c>
      <c r="J439" s="28">
        <f t="shared" si="66"/>
        <v>-1.5108652207792901E-2</v>
      </c>
      <c r="K439" s="28">
        <f t="shared" si="67"/>
        <v>-1.3750160010359553E-2</v>
      </c>
      <c r="L439" s="28">
        <f t="shared" si="68"/>
        <v>9.4750160134013991E-3</v>
      </c>
      <c r="N439" s="27">
        <f t="shared" ca="1" si="69"/>
        <v>11084.910177100497</v>
      </c>
      <c r="O439" s="27">
        <f t="shared" ca="1" si="70"/>
        <v>9607.7933470444568</v>
      </c>
      <c r="P439" s="27">
        <f t="shared" ca="1" si="71"/>
        <v>6338.4481841495062</v>
      </c>
      <c r="Q439" s="27">
        <f t="shared" ca="1" si="72"/>
        <v>111.85329515826142</v>
      </c>
      <c r="T439" s="25">
        <f t="shared" ca="1" si="73"/>
        <v>10030366.736854594</v>
      </c>
      <c r="V439" s="25">
        <f t="shared" ca="1" si="74"/>
        <v>30366.736854594201</v>
      </c>
      <c r="X439" s="14">
        <v>75093.208043904975</v>
      </c>
    </row>
    <row r="440" spans="1:24">
      <c r="A440" s="1">
        <v>436</v>
      </c>
      <c r="B440" s="9">
        <v>39618</v>
      </c>
      <c r="C440" s="37">
        <v>12063.09</v>
      </c>
      <c r="D440" s="38">
        <v>11251.827240000001</v>
      </c>
      <c r="E440" s="38">
        <v>7111.8184634448589</v>
      </c>
      <c r="F440" s="38">
        <v>130.85914058158917</v>
      </c>
      <c r="I440" s="28">
        <f t="shared" si="65"/>
        <v>2.8249884407606615E-3</v>
      </c>
      <c r="J440" s="28">
        <f t="shared" si="66"/>
        <v>-1.9964119257651031E-3</v>
      </c>
      <c r="K440" s="28">
        <f t="shared" si="67"/>
        <v>-7.6465898188379797E-3</v>
      </c>
      <c r="L440" s="28">
        <f t="shared" si="68"/>
        <v>-2.3318475989955279E-2</v>
      </c>
      <c r="N440" s="27">
        <f t="shared" ca="1" si="69"/>
        <v>10956.09420159135</v>
      </c>
      <c r="O440" s="27">
        <f t="shared" ca="1" si="70"/>
        <v>9454.3607761858057</v>
      </c>
      <c r="P440" s="27">
        <f t="shared" ca="1" si="71"/>
        <v>6142.5431869068707</v>
      </c>
      <c r="Q440" s="27">
        <f t="shared" ca="1" si="72"/>
        <v>113.53150391295733</v>
      </c>
      <c r="T440" s="25">
        <f t="shared" ca="1" si="73"/>
        <v>9933824.2086357083</v>
      </c>
      <c r="V440" s="25">
        <f t="shared" ca="1" si="74"/>
        <v>-66175.791364291683</v>
      </c>
      <c r="X440" s="14">
        <v>75094.161964911968</v>
      </c>
    </row>
    <row r="441" spans="1:24">
      <c r="A441" s="1">
        <v>437</v>
      </c>
      <c r="B441" s="9">
        <v>39619</v>
      </c>
      <c r="C441" s="37">
        <v>11842.69</v>
      </c>
      <c r="D441" s="38">
        <v>11104.45248</v>
      </c>
      <c r="E441" s="38">
        <v>7049.0386118493043</v>
      </c>
      <c r="F441" s="38">
        <v>129.82661327870377</v>
      </c>
      <c r="I441" s="28">
        <f t="shared" si="65"/>
        <v>-1.8439577789338826E-2</v>
      </c>
      <c r="J441" s="28">
        <f t="shared" si="66"/>
        <v>-1.3184384581087547E-2</v>
      </c>
      <c r="K441" s="28">
        <f t="shared" si="67"/>
        <v>-8.8667320866686796E-3</v>
      </c>
      <c r="L441" s="28">
        <f t="shared" si="68"/>
        <v>-7.9216657380545442E-3</v>
      </c>
      <c r="N441" s="27">
        <f t="shared" ca="1" si="69"/>
        <v>11066.314336923946</v>
      </c>
      <c r="O441" s="27">
        <f t="shared" ca="1" si="70"/>
        <v>9624.1301280655498</v>
      </c>
      <c r="P441" s="27">
        <f t="shared" ca="1" si="71"/>
        <v>6273.883974488941</v>
      </c>
      <c r="Q441" s="27">
        <f t="shared" ca="1" si="72"/>
        <v>113.64241707964366</v>
      </c>
      <c r="T441" s="25">
        <f t="shared" ca="1" si="73"/>
        <v>10050026.328703338</v>
      </c>
      <c r="V441" s="25">
        <f t="shared" ca="1" si="74"/>
        <v>50026.32870333828</v>
      </c>
      <c r="X441" s="14">
        <v>76032.0800494086</v>
      </c>
    </row>
    <row r="442" spans="1:24">
      <c r="A442" s="1">
        <v>438</v>
      </c>
      <c r="B442" s="9">
        <v>39622</v>
      </c>
      <c r="C442" s="37">
        <v>11842.36</v>
      </c>
      <c r="D442" s="38">
        <v>11104.311680000001</v>
      </c>
      <c r="E442" s="38">
        <v>6985.7076494270668</v>
      </c>
      <c r="F442" s="38">
        <v>128.40502223869532</v>
      </c>
      <c r="I442" s="28">
        <f t="shared" si="65"/>
        <v>-2.786567898492944E-5</v>
      </c>
      <c r="J442" s="28">
        <f t="shared" si="66"/>
        <v>-1.2679678975983359E-5</v>
      </c>
      <c r="K442" s="28">
        <f t="shared" si="67"/>
        <v>-9.0249429664669353E-3</v>
      </c>
      <c r="L442" s="28">
        <f t="shared" si="68"/>
        <v>-1.1010311717965238E-2</v>
      </c>
      <c r="N442" s="27">
        <f t="shared" ca="1" si="69"/>
        <v>11096.063675514237</v>
      </c>
      <c r="O442" s="27">
        <f t="shared" ca="1" si="70"/>
        <v>9424.8846753158214</v>
      </c>
      <c r="P442" s="27">
        <f t="shared" ca="1" si="71"/>
        <v>6083.7082591586523</v>
      </c>
      <c r="Q442" s="27">
        <f t="shared" ca="1" si="72"/>
        <v>112.34969757487669</v>
      </c>
      <c r="T442" s="25">
        <f t="shared" ca="1" si="73"/>
        <v>9944970.1476834565</v>
      </c>
      <c r="V442" s="25">
        <f t="shared" ca="1" si="74"/>
        <v>-55029.85231654346</v>
      </c>
      <c r="X442" s="14">
        <v>76096.363813057542</v>
      </c>
    </row>
    <row r="443" spans="1:24">
      <c r="A443" s="1">
        <v>439</v>
      </c>
      <c r="B443" s="9">
        <v>39623</v>
      </c>
      <c r="C443" s="37">
        <v>11807.43</v>
      </c>
      <c r="D443" s="38">
        <v>11106.55717</v>
      </c>
      <c r="E443" s="38">
        <v>6976.0798378294094</v>
      </c>
      <c r="F443" s="38">
        <v>128.58193296815523</v>
      </c>
      <c r="I443" s="28">
        <f t="shared" si="65"/>
        <v>-2.9539395824848776E-3</v>
      </c>
      <c r="J443" s="28">
        <f t="shared" si="66"/>
        <v>2.0219740369585557E-4</v>
      </c>
      <c r="K443" s="28">
        <f t="shared" si="67"/>
        <v>-1.3791662611299311E-3</v>
      </c>
      <c r="L443" s="28">
        <f t="shared" si="68"/>
        <v>1.3768072956347841E-3</v>
      </c>
      <c r="N443" s="27">
        <f t="shared" ca="1" si="69"/>
        <v>11137.32317847856</v>
      </c>
      <c r="O443" s="27">
        <f t="shared" ca="1" si="70"/>
        <v>9673.4992164705327</v>
      </c>
      <c r="P443" s="27">
        <f t="shared" ca="1" si="71"/>
        <v>6238.7434184572257</v>
      </c>
      <c r="Q443" s="27">
        <f t="shared" ca="1" si="72"/>
        <v>113.44515744345158</v>
      </c>
      <c r="T443" s="25">
        <f t="shared" ca="1" si="73"/>
        <v>10082059.753916074</v>
      </c>
      <c r="V443" s="25">
        <f t="shared" ca="1" si="74"/>
        <v>82059.753916073591</v>
      </c>
      <c r="X443" s="14">
        <v>76393.434723846614</v>
      </c>
    </row>
    <row r="444" spans="1:24">
      <c r="A444" s="1">
        <v>440</v>
      </c>
      <c r="B444" s="9">
        <v>39624</v>
      </c>
      <c r="C444" s="37">
        <v>11811.83</v>
      </c>
      <c r="D444" s="38">
        <v>11150.8848</v>
      </c>
      <c r="E444" s="38">
        <v>7060.3735408560315</v>
      </c>
      <c r="F444" s="38">
        <v>127.85356383470463</v>
      </c>
      <c r="I444" s="28">
        <f t="shared" si="65"/>
        <v>3.7257729928025712E-4</v>
      </c>
      <c r="J444" s="28">
        <f t="shared" si="66"/>
        <v>3.9831790793566236E-3</v>
      </c>
      <c r="K444" s="28">
        <f t="shared" si="67"/>
        <v>1.2010828391020684E-2</v>
      </c>
      <c r="L444" s="28">
        <f t="shared" si="68"/>
        <v>-5.6807353216098682E-3</v>
      </c>
      <c r="N444" s="27">
        <f t="shared" ca="1" si="69"/>
        <v>10931.190410020648</v>
      </c>
      <c r="O444" s="27">
        <f t="shared" ca="1" si="70"/>
        <v>9616.3862567103115</v>
      </c>
      <c r="P444" s="27">
        <f t="shared" ca="1" si="71"/>
        <v>6087.9894208175056</v>
      </c>
      <c r="Q444" s="27">
        <f t="shared" ca="1" si="72"/>
        <v>111.90087531234774</v>
      </c>
      <c r="T444" s="25">
        <f t="shared" ca="1" si="73"/>
        <v>9937715.2892270945</v>
      </c>
      <c r="V444" s="25">
        <f t="shared" ca="1" si="74"/>
        <v>-62284.710772905499</v>
      </c>
      <c r="X444" s="14">
        <v>77110.943576456979</v>
      </c>
    </row>
    <row r="445" spans="1:24">
      <c r="A445" s="1">
        <v>441</v>
      </c>
      <c r="B445" s="9">
        <v>39625</v>
      </c>
      <c r="C445" s="37">
        <v>11453.42</v>
      </c>
      <c r="D445" s="38">
        <v>10975.6998</v>
      </c>
      <c r="E445" s="38">
        <v>6970.3779527559045</v>
      </c>
      <c r="F445" s="38">
        <v>128.95158130422615</v>
      </c>
      <c r="I445" s="28">
        <f t="shared" si="65"/>
        <v>-3.0813196276909389E-2</v>
      </c>
      <c r="J445" s="28">
        <f t="shared" si="66"/>
        <v>-1.5835128991429692E-2</v>
      </c>
      <c r="K445" s="28">
        <f t="shared" si="67"/>
        <v>-1.2828510626440453E-2</v>
      </c>
      <c r="L445" s="28">
        <f t="shared" si="68"/>
        <v>8.5514187040489718E-3</v>
      </c>
      <c r="N445" s="27">
        <f t="shared" ca="1" si="69"/>
        <v>11151.409557436436</v>
      </c>
      <c r="O445" s="27">
        <f t="shared" ca="1" si="70"/>
        <v>9484.7807034931902</v>
      </c>
      <c r="P445" s="27">
        <f t="shared" ca="1" si="71"/>
        <v>6203.3505208146498</v>
      </c>
      <c r="Q445" s="27">
        <f t="shared" ca="1" si="72"/>
        <v>109.51619818794555</v>
      </c>
      <c r="T445" s="25">
        <f t="shared" ca="1" si="73"/>
        <v>9952839.7546911892</v>
      </c>
      <c r="V445" s="25">
        <f t="shared" ca="1" si="74"/>
        <v>-47160.245308810845</v>
      </c>
      <c r="X445" s="14">
        <v>77989.957499232143</v>
      </c>
    </row>
    <row r="446" spans="1:24">
      <c r="A446" s="1">
        <v>442</v>
      </c>
      <c r="B446" s="9">
        <v>39626</v>
      </c>
      <c r="C446" s="37">
        <v>11346.51</v>
      </c>
      <c r="D446" s="38">
        <v>11012.24286</v>
      </c>
      <c r="E446" s="38">
        <v>6926.0040951330911</v>
      </c>
      <c r="F446" s="38">
        <v>127.60844168079895</v>
      </c>
      <c r="I446" s="28">
        <f t="shared" si="65"/>
        <v>-9.3781677014202949E-3</v>
      </c>
      <c r="J446" s="28">
        <f t="shared" si="66"/>
        <v>3.3239211335424619E-3</v>
      </c>
      <c r="K446" s="28">
        <f t="shared" si="67"/>
        <v>-6.3864116991140035E-3</v>
      </c>
      <c r="L446" s="28">
        <f t="shared" si="68"/>
        <v>-1.0470469082112799E-2</v>
      </c>
      <c r="N446" s="27">
        <f t="shared" ca="1" si="69"/>
        <v>10970.179264890876</v>
      </c>
      <c r="O446" s="27">
        <f t="shared" ca="1" si="70"/>
        <v>9399.1991699596929</v>
      </c>
      <c r="P446" s="27">
        <f t="shared" ca="1" si="71"/>
        <v>6131.3148101641664</v>
      </c>
      <c r="Q446" s="27">
        <f t="shared" ca="1" si="72"/>
        <v>110.79455419348669</v>
      </c>
      <c r="T446" s="25">
        <f t="shared" ca="1" si="73"/>
        <v>9871368.738569187</v>
      </c>
      <c r="V446" s="25">
        <f t="shared" ca="1" si="74"/>
        <v>-128631.261430813</v>
      </c>
      <c r="X446" s="14">
        <v>78149.395613225177</v>
      </c>
    </row>
    <row r="447" spans="1:24">
      <c r="A447" s="1">
        <v>443</v>
      </c>
      <c r="B447" s="9">
        <v>39629</v>
      </c>
      <c r="C447" s="37">
        <v>11350.01</v>
      </c>
      <c r="D447" s="38">
        <v>11196.103589999999</v>
      </c>
      <c r="E447" s="38">
        <v>6987.3168426028042</v>
      </c>
      <c r="F447" s="38">
        <v>127.17083294028863</v>
      </c>
      <c r="I447" s="28">
        <f t="shared" si="65"/>
        <v>3.0841732809645274E-4</v>
      </c>
      <c r="J447" s="28">
        <f t="shared" si="66"/>
        <v>1.6558182862031753E-2</v>
      </c>
      <c r="K447" s="28">
        <f t="shared" si="67"/>
        <v>8.8135887381734848E-3</v>
      </c>
      <c r="L447" s="28">
        <f t="shared" si="68"/>
        <v>-3.4352022667364225E-3</v>
      </c>
      <c r="N447" s="27">
        <f t="shared" ca="1" si="69"/>
        <v>11040.522102292252</v>
      </c>
      <c r="O447" s="27">
        <f t="shared" ca="1" si="70"/>
        <v>9607.1162222303719</v>
      </c>
      <c r="P447" s="27">
        <f t="shared" ca="1" si="71"/>
        <v>6252.5296552766995</v>
      </c>
      <c r="Q447" s="27">
        <f t="shared" ca="1" si="72"/>
        <v>114.20294814586272</v>
      </c>
      <c r="T447" s="25">
        <f t="shared" ca="1" si="73"/>
        <v>10041841.724467443</v>
      </c>
      <c r="V447" s="25">
        <f t="shared" ca="1" si="74"/>
        <v>41841.724467443302</v>
      </c>
      <c r="X447" s="14">
        <v>78218.414421390742</v>
      </c>
    </row>
    <row r="448" spans="1:24">
      <c r="A448" s="1">
        <v>444</v>
      </c>
      <c r="B448" s="9">
        <v>39630</v>
      </c>
      <c r="C448" s="37">
        <v>11382.26</v>
      </c>
      <c r="D448" s="38">
        <v>10912.672859999999</v>
      </c>
      <c r="E448" s="38">
        <v>6838.7051039697544</v>
      </c>
      <c r="F448" s="38">
        <v>126.99933968493538</v>
      </c>
      <c r="I448" s="28">
        <f t="shared" si="65"/>
        <v>2.8373780213142717E-3</v>
      </c>
      <c r="J448" s="28">
        <f t="shared" si="66"/>
        <v>-2.5641062431890741E-2</v>
      </c>
      <c r="K448" s="28">
        <f t="shared" si="67"/>
        <v>-2.1498224560303269E-2</v>
      </c>
      <c r="L448" s="28">
        <f t="shared" si="68"/>
        <v>-1.3494367148259368E-3</v>
      </c>
      <c r="N448" s="27">
        <f t="shared" ca="1" si="69"/>
        <v>10954.20116111985</v>
      </c>
      <c r="O448" s="27">
        <f t="shared" ca="1" si="70"/>
        <v>9553.0948633430035</v>
      </c>
      <c r="P448" s="27">
        <f t="shared" ca="1" si="71"/>
        <v>6206.6201059034183</v>
      </c>
      <c r="Q448" s="27">
        <f t="shared" ca="1" si="72"/>
        <v>113.81340426906618</v>
      </c>
      <c r="T448" s="25">
        <f t="shared" ca="1" si="73"/>
        <v>9979323.5168813113</v>
      </c>
      <c r="V448" s="25">
        <f t="shared" ca="1" si="74"/>
        <v>-20676.483118688688</v>
      </c>
      <c r="X448" s="14">
        <v>78840.367430718616</v>
      </c>
    </row>
    <row r="449" spans="1:24">
      <c r="A449" s="1">
        <v>445</v>
      </c>
      <c r="B449" s="9">
        <v>39631</v>
      </c>
      <c r="C449" s="37">
        <v>11215.51</v>
      </c>
      <c r="D449" s="38">
        <v>10810.27486</v>
      </c>
      <c r="E449" s="38">
        <v>6816.5635411708708</v>
      </c>
      <c r="F449" s="38">
        <v>125.21317500706814</v>
      </c>
      <c r="I449" s="28">
        <f t="shared" si="65"/>
        <v>-1.4758361256861146E-2</v>
      </c>
      <c r="J449" s="28">
        <f t="shared" si="66"/>
        <v>-9.4277038052341579E-3</v>
      </c>
      <c r="K449" s="28">
        <f t="shared" si="67"/>
        <v>-3.2429361558287831E-3</v>
      </c>
      <c r="L449" s="28">
        <f t="shared" si="68"/>
        <v>-1.4164202298476735E-2</v>
      </c>
      <c r="N449" s="27">
        <f t="shared" ca="1" si="69"/>
        <v>11000.860655292203</v>
      </c>
      <c r="O449" s="27">
        <f t="shared" ca="1" si="70"/>
        <v>9683.7176804045539</v>
      </c>
      <c r="P449" s="27">
        <f t="shared" ca="1" si="71"/>
        <v>6206.5346111575245</v>
      </c>
      <c r="Q449" s="27">
        <f t="shared" ca="1" si="72"/>
        <v>114.5590484655965</v>
      </c>
      <c r="T449" s="25">
        <f t="shared" ca="1" si="73"/>
        <v>10050280.97054188</v>
      </c>
      <c r="V449" s="25">
        <f t="shared" ca="1" si="74"/>
        <v>50280.970541879535</v>
      </c>
      <c r="X449" s="14">
        <v>78848.059039194137</v>
      </c>
    </row>
    <row r="450" spans="1:24">
      <c r="A450" s="1">
        <v>446</v>
      </c>
      <c r="B450" s="9">
        <v>39632</v>
      </c>
      <c r="C450" s="37">
        <v>11288.53</v>
      </c>
      <c r="D450" s="38">
        <v>10858.454820000001</v>
      </c>
      <c r="E450" s="38">
        <v>6825.8799497171594</v>
      </c>
      <c r="F450" s="38">
        <v>124.34758155230595</v>
      </c>
      <c r="I450" s="28">
        <f t="shared" si="65"/>
        <v>6.4895242154788179E-3</v>
      </c>
      <c r="J450" s="28">
        <f t="shared" si="66"/>
        <v>4.4469648299684918E-3</v>
      </c>
      <c r="K450" s="28">
        <f t="shared" si="67"/>
        <v>1.3657978500331415E-3</v>
      </c>
      <c r="L450" s="28">
        <f t="shared" si="68"/>
        <v>-6.9369634699652533E-3</v>
      </c>
      <c r="N450" s="27">
        <f t="shared" ca="1" si="69"/>
        <v>11124.213106038078</v>
      </c>
      <c r="O450" s="27">
        <f t="shared" ca="1" si="70"/>
        <v>9526.325703920671</v>
      </c>
      <c r="P450" s="27">
        <f t="shared" ca="1" si="71"/>
        <v>6117.678147686227</v>
      </c>
      <c r="Q450" s="27">
        <f t="shared" ca="1" si="72"/>
        <v>112.52195537118752</v>
      </c>
      <c r="T450" s="25">
        <f t="shared" ca="1" si="73"/>
        <v>9995418.7558418605</v>
      </c>
      <c r="V450" s="25">
        <f t="shared" ca="1" si="74"/>
        <v>-4581.2441581394523</v>
      </c>
      <c r="X450" s="14">
        <v>79007.735485410318</v>
      </c>
    </row>
    <row r="451" spans="1:24">
      <c r="A451" s="1">
        <v>447</v>
      </c>
      <c r="B451" s="9">
        <v>39636</v>
      </c>
      <c r="C451" s="37">
        <v>11231.96</v>
      </c>
      <c r="D451" s="38">
        <v>10857.262650000001</v>
      </c>
      <c r="E451" s="38">
        <v>6802.3026315789475</v>
      </c>
      <c r="F451" s="38">
        <v>124.25632440476191</v>
      </c>
      <c r="I451" s="28">
        <f t="shared" si="65"/>
        <v>-5.0238799406715166E-3</v>
      </c>
      <c r="J451" s="28">
        <f t="shared" si="66"/>
        <v>-1.0979789204251495E-4</v>
      </c>
      <c r="K451" s="28">
        <f t="shared" si="67"/>
        <v>-3.4600859682130856E-3</v>
      </c>
      <c r="L451" s="28">
        <f t="shared" si="68"/>
        <v>-7.3415702212385758E-4</v>
      </c>
      <c r="N451" s="27">
        <f t="shared" ca="1" si="69"/>
        <v>11184.372747273668</v>
      </c>
      <c r="O451" s="27">
        <f t="shared" ca="1" si="70"/>
        <v>9501.2143595286961</v>
      </c>
      <c r="P451" s="27">
        <f t="shared" ca="1" si="71"/>
        <v>6286.4954644510626</v>
      </c>
      <c r="Q451" s="27">
        <f t="shared" ca="1" si="72"/>
        <v>113.18493374894341</v>
      </c>
      <c r="T451" s="25">
        <f t="shared" ca="1" si="73"/>
        <v>10048383.318134239</v>
      </c>
      <c r="V451" s="25">
        <f t="shared" ca="1" si="74"/>
        <v>48383.318134238943</v>
      </c>
      <c r="X451" s="14">
        <v>79144.390305602923</v>
      </c>
    </row>
    <row r="452" spans="1:24">
      <c r="A452" s="1">
        <v>448</v>
      </c>
      <c r="B452" s="9">
        <v>39637</v>
      </c>
      <c r="C452" s="37">
        <v>11384.21</v>
      </c>
      <c r="D452" s="38">
        <v>10727.5779</v>
      </c>
      <c r="E452" s="38">
        <v>6703.6845406083403</v>
      </c>
      <c r="F452" s="38">
        <v>121.56608525324131</v>
      </c>
      <c r="I452" s="28">
        <f t="shared" si="65"/>
        <v>1.3464021536933619E-2</v>
      </c>
      <c r="J452" s="28">
        <f t="shared" si="66"/>
        <v>-1.2016425155046542E-2</v>
      </c>
      <c r="K452" s="28">
        <f t="shared" si="67"/>
        <v>-1.460387047936948E-2</v>
      </c>
      <c r="L452" s="28">
        <f t="shared" si="68"/>
        <v>-2.1888537859648685E-2</v>
      </c>
      <c r="N452" s="27">
        <f t="shared" ca="1" si="69"/>
        <v>11003.551665906738</v>
      </c>
      <c r="O452" s="27">
        <f t="shared" ca="1" si="70"/>
        <v>9586.3283723149252</v>
      </c>
      <c r="P452" s="27">
        <f t="shared" ca="1" si="71"/>
        <v>6230.6085572373358</v>
      </c>
      <c r="Q452" s="27">
        <f t="shared" ca="1" si="72"/>
        <v>113.11903608855316</v>
      </c>
      <c r="T452" s="25">
        <f t="shared" ca="1" si="73"/>
        <v>9999178.5984540824</v>
      </c>
      <c r="V452" s="25">
        <f t="shared" ca="1" si="74"/>
        <v>-821.40154591761529</v>
      </c>
      <c r="X452" s="14">
        <v>79825.308905620128</v>
      </c>
    </row>
    <row r="453" spans="1:24">
      <c r="A453" s="1">
        <v>449</v>
      </c>
      <c r="B453" s="9">
        <v>39638</v>
      </c>
      <c r="C453" s="37">
        <v>11147.44</v>
      </c>
      <c r="D453" s="38">
        <v>10940.86656</v>
      </c>
      <c r="E453" s="38">
        <v>6827.6589049716795</v>
      </c>
      <c r="F453" s="38">
        <v>121.84587378640775</v>
      </c>
      <c r="I453" s="28">
        <f t="shared" si="65"/>
        <v>-2.1017432428205994E-2</v>
      </c>
      <c r="J453" s="28">
        <f t="shared" si="66"/>
        <v>1.9687204526796259E-2</v>
      </c>
      <c r="K453" s="28">
        <f t="shared" si="67"/>
        <v>1.8324541675122496E-2</v>
      </c>
      <c r="L453" s="28">
        <f t="shared" si="68"/>
        <v>2.298889976411928E-3</v>
      </c>
      <c r="N453" s="27">
        <f t="shared" ca="1" si="69"/>
        <v>10813.402698245773</v>
      </c>
      <c r="O453" s="27">
        <f t="shared" ca="1" si="70"/>
        <v>9679.557842650609</v>
      </c>
      <c r="P453" s="27">
        <f t="shared" ca="1" si="71"/>
        <v>6077.2376382113171</v>
      </c>
      <c r="Q453" s="27">
        <f t="shared" ca="1" si="72"/>
        <v>112.10738745256148</v>
      </c>
      <c r="T453" s="25">
        <f t="shared" ca="1" si="73"/>
        <v>9916637.2462454215</v>
      </c>
      <c r="V453" s="25">
        <f t="shared" ca="1" si="74"/>
        <v>-83362.753754578531</v>
      </c>
      <c r="X453" s="14">
        <v>80422.25275073573</v>
      </c>
    </row>
    <row r="454" spans="1:24">
      <c r="A454" s="1">
        <v>450</v>
      </c>
      <c r="B454" s="9">
        <v>39639</v>
      </c>
      <c r="C454" s="37">
        <v>11229.02</v>
      </c>
      <c r="D454" s="38">
        <v>10694.6504</v>
      </c>
      <c r="E454" s="38">
        <v>6682.8174352495271</v>
      </c>
      <c r="F454" s="38">
        <v>122.24913462438019</v>
      </c>
      <c r="I454" s="28">
        <f t="shared" ref="I454:I504" si="75">LN(C454/C453)</f>
        <v>7.291623559037513E-3</v>
      </c>
      <c r="J454" s="28">
        <f t="shared" ref="J454:J504" si="76">LN(D454/D453)</f>
        <v>-2.2761350266473867E-2</v>
      </c>
      <c r="K454" s="28">
        <f t="shared" ref="K454:K504" si="77">LN(E454/E453)</f>
        <v>-2.1442177977451612E-2</v>
      </c>
      <c r="L454" s="28">
        <f t="shared" ref="L454:L504" si="78">LN(F454/F453)</f>
        <v>3.3041331526960501E-3</v>
      </c>
      <c r="N454" s="27">
        <f t="shared" ref="N454:N504" ca="1" si="79">C$504*EXP((I$1-I$2/2)*(1)+I$3*_xlfn.NORM.S.INV(RAND())*SQRT(1))</f>
        <v>10967.6786574569</v>
      </c>
      <c r="O454" s="27">
        <f t="shared" ref="O454:O504" ca="1" si="80">D$504*EXP((J$1-J$2/2)*(1)+J$3*_xlfn.NORM.S.INV(RAND())*SQRT(1))</f>
        <v>9777.2254230465933</v>
      </c>
      <c r="P454" s="27">
        <f t="shared" ref="P454:P504" ca="1" si="81">E$504*EXP((K$1-K$2/2)*(1)+K$3*_xlfn.NORM.S.INV(RAND())*SQRT(1))</f>
        <v>6361.181163465224</v>
      </c>
      <c r="Q454" s="27">
        <f t="shared" ref="Q454:Q504" ca="1" si="82">F$504*EXP((L$1-L$2/2)*(1)+L$3*_xlfn.NORM.S.INV(RAND())*SQRT(1))</f>
        <v>111.63132119937924</v>
      </c>
      <c r="T454" s="25">
        <f t="shared" ref="T454:T504" ca="1" si="83">N454/C$504*T$2+O454/D$504*U$2+P454/E$504*V$2+Q454/F$504*W$2</f>
        <v>10040501.93666688</v>
      </c>
      <c r="V454" s="25">
        <f t="shared" ref="V454:V504" ca="1" si="84">T454-X$2</f>
        <v>40501.936666879803</v>
      </c>
      <c r="X454" s="14">
        <v>80707.615694729611</v>
      </c>
    </row>
    <row r="455" spans="1:24">
      <c r="A455" s="1">
        <v>451</v>
      </c>
      <c r="B455" s="9">
        <v>39640</v>
      </c>
      <c r="C455" s="37">
        <v>11100.54</v>
      </c>
      <c r="D455" s="38">
        <v>10462.165440000001</v>
      </c>
      <c r="E455" s="38">
        <v>6523.4489341393573</v>
      </c>
      <c r="F455" s="38">
        <v>122.96953979630328</v>
      </c>
      <c r="I455" s="28">
        <f t="shared" si="75"/>
        <v>-1.1507742907687904E-2</v>
      </c>
      <c r="J455" s="28">
        <f t="shared" si="76"/>
        <v>-2.1978195584671314E-2</v>
      </c>
      <c r="K455" s="28">
        <f t="shared" si="77"/>
        <v>-2.4136456663844487E-2</v>
      </c>
      <c r="L455" s="28">
        <f t="shared" si="78"/>
        <v>5.8756311783511143E-3</v>
      </c>
      <c r="N455" s="27">
        <f t="shared" ca="1" si="79"/>
        <v>11048.873279185107</v>
      </c>
      <c r="O455" s="27">
        <f t="shared" ca="1" si="80"/>
        <v>9318.7756903122245</v>
      </c>
      <c r="P455" s="27">
        <f t="shared" ca="1" si="81"/>
        <v>6252.0871961168223</v>
      </c>
      <c r="Q455" s="27">
        <f t="shared" ca="1" si="82"/>
        <v>111.61282171809222</v>
      </c>
      <c r="T455" s="25">
        <f t="shared" ca="1" si="83"/>
        <v>9908778.4848838896</v>
      </c>
      <c r="V455" s="25">
        <f t="shared" ca="1" si="84"/>
        <v>-91221.515116110444</v>
      </c>
      <c r="X455" s="14">
        <v>81306.590149378404</v>
      </c>
    </row>
    <row r="456" spans="1:24">
      <c r="A456" s="1">
        <v>452</v>
      </c>
      <c r="B456" s="9">
        <v>39643</v>
      </c>
      <c r="C456" s="37">
        <v>11055.19</v>
      </c>
      <c r="D456" s="38">
        <v>10557.336719999999</v>
      </c>
      <c r="E456" s="38">
        <v>6584.8513749801305</v>
      </c>
      <c r="F456" s="38">
        <v>122.21850634100517</v>
      </c>
      <c r="I456" s="28">
        <f t="shared" si="75"/>
        <v>-4.0937548286053812E-3</v>
      </c>
      <c r="J456" s="28">
        <f t="shared" si="76"/>
        <v>9.0555836803614155E-3</v>
      </c>
      <c r="K456" s="28">
        <f t="shared" si="77"/>
        <v>9.368550994180793E-3</v>
      </c>
      <c r="L456" s="28">
        <f t="shared" si="78"/>
        <v>-6.1262024475327538E-3</v>
      </c>
      <c r="N456" s="27">
        <f t="shared" ca="1" si="79"/>
        <v>11039.784813948736</v>
      </c>
      <c r="O456" s="27">
        <f t="shared" ca="1" si="80"/>
        <v>9403.1367450489615</v>
      </c>
      <c r="P456" s="27">
        <f t="shared" ca="1" si="81"/>
        <v>6206.2344865232799</v>
      </c>
      <c r="Q456" s="27">
        <f t="shared" ca="1" si="82"/>
        <v>115.4527448968835</v>
      </c>
      <c r="T456" s="25">
        <f t="shared" ca="1" si="83"/>
        <v>9992518.5815051533</v>
      </c>
      <c r="V456" s="25">
        <f t="shared" ca="1" si="84"/>
        <v>-7481.4184948466718</v>
      </c>
      <c r="X456" s="14">
        <v>81451.07094181329</v>
      </c>
    </row>
    <row r="457" spans="1:24">
      <c r="A457" s="1">
        <v>453</v>
      </c>
      <c r="B457" s="9">
        <v>39644</v>
      </c>
      <c r="C457" s="37">
        <v>10962.54</v>
      </c>
      <c r="D457" s="38">
        <v>10369.142309999999</v>
      </c>
      <c r="E457" s="38">
        <v>6486.4238939466541</v>
      </c>
      <c r="F457" s="38">
        <v>122.20523138832996</v>
      </c>
      <c r="I457" s="28">
        <f t="shared" si="75"/>
        <v>-8.4159944606434292E-3</v>
      </c>
      <c r="J457" s="28">
        <f t="shared" si="76"/>
        <v>-1.7986731878182952E-2</v>
      </c>
      <c r="K457" s="28">
        <f t="shared" si="77"/>
        <v>-1.5060403734147665E-2</v>
      </c>
      <c r="L457" s="28">
        <f t="shared" si="78"/>
        <v>-1.0862245059817091E-4</v>
      </c>
      <c r="N457" s="27">
        <f t="shared" ca="1" si="79"/>
        <v>10838.687080412607</v>
      </c>
      <c r="O457" s="27">
        <f t="shared" ca="1" si="80"/>
        <v>9451.9779533609726</v>
      </c>
      <c r="P457" s="27">
        <f t="shared" ca="1" si="81"/>
        <v>6197.6180856670189</v>
      </c>
      <c r="Q457" s="27">
        <f t="shared" ca="1" si="82"/>
        <v>117.12810223761599</v>
      </c>
      <c r="T457" s="25">
        <f t="shared" ca="1" si="83"/>
        <v>9963110.9704754651</v>
      </c>
      <c r="V457" s="25">
        <f t="shared" ca="1" si="84"/>
        <v>-36889.029524534941</v>
      </c>
      <c r="X457" s="14">
        <v>82690.835364824161</v>
      </c>
    </row>
    <row r="458" spans="1:24">
      <c r="A458" s="1">
        <v>454</v>
      </c>
      <c r="B458" s="9">
        <v>39645</v>
      </c>
      <c r="C458" s="37">
        <v>11239.28</v>
      </c>
      <c r="D458" s="38">
        <v>10282.14278</v>
      </c>
      <c r="E458" s="38">
        <v>6506.0117070083843</v>
      </c>
      <c r="F458" s="38">
        <v>121.7517412460643</v>
      </c>
      <c r="I458" s="28">
        <f t="shared" si="75"/>
        <v>2.4930778979928698E-2</v>
      </c>
      <c r="J458" s="28">
        <f t="shared" si="76"/>
        <v>-8.4256301052419366E-3</v>
      </c>
      <c r="K458" s="28">
        <f t="shared" si="77"/>
        <v>3.0152664987691041E-3</v>
      </c>
      <c r="L458" s="28">
        <f t="shared" si="78"/>
        <v>-3.7177921968184939E-3</v>
      </c>
      <c r="N458" s="27">
        <f t="shared" ca="1" si="79"/>
        <v>10985.822937514205</v>
      </c>
      <c r="O458" s="27">
        <f t="shared" ca="1" si="80"/>
        <v>9439.1754294145776</v>
      </c>
      <c r="P458" s="27">
        <f t="shared" ca="1" si="81"/>
        <v>6173.1831337780786</v>
      </c>
      <c r="Q458" s="27">
        <f t="shared" ca="1" si="82"/>
        <v>112.10947189121811</v>
      </c>
      <c r="T458" s="25">
        <f t="shared" ca="1" si="83"/>
        <v>9919600.7713406719</v>
      </c>
      <c r="V458" s="25">
        <f t="shared" ca="1" si="84"/>
        <v>-80399.228659328073</v>
      </c>
      <c r="X458" s="14">
        <v>82880.25602212362</v>
      </c>
    </row>
    <row r="459" spans="1:24">
      <c r="A459" s="1">
        <v>455</v>
      </c>
      <c r="B459" s="9">
        <v>39646</v>
      </c>
      <c r="C459" s="37">
        <v>11446.66</v>
      </c>
      <c r="D459" s="38">
        <v>10609.07547</v>
      </c>
      <c r="E459" s="38">
        <v>6712.1823379923753</v>
      </c>
      <c r="F459" s="38">
        <v>122.03342486506961</v>
      </c>
      <c r="I459" s="28">
        <f t="shared" si="75"/>
        <v>1.8283198915557849E-2</v>
      </c>
      <c r="J459" s="28">
        <f t="shared" si="76"/>
        <v>3.1301131282836819E-2</v>
      </c>
      <c r="K459" s="28">
        <f t="shared" si="77"/>
        <v>3.1197507299422111E-2</v>
      </c>
      <c r="L459" s="28">
        <f t="shared" si="78"/>
        <v>2.3109178368474195E-3</v>
      </c>
      <c r="N459" s="27">
        <f t="shared" ca="1" si="79"/>
        <v>11052.256181669101</v>
      </c>
      <c r="O459" s="27">
        <f t="shared" ca="1" si="80"/>
        <v>9709.2116020378871</v>
      </c>
      <c r="P459" s="27">
        <f t="shared" ca="1" si="81"/>
        <v>6367.8451729602202</v>
      </c>
      <c r="Q459" s="27">
        <f t="shared" ca="1" si="82"/>
        <v>111.20311400630138</v>
      </c>
      <c r="T459" s="25">
        <f t="shared" ca="1" si="83"/>
        <v>10043425.234785495</v>
      </c>
      <c r="V459" s="25">
        <f t="shared" ca="1" si="84"/>
        <v>43425.234785495326</v>
      </c>
      <c r="X459" s="14">
        <v>83714.568454267457</v>
      </c>
    </row>
    <row r="460" spans="1:24">
      <c r="A460" s="1">
        <v>456</v>
      </c>
      <c r="B460" s="9">
        <v>39647</v>
      </c>
      <c r="C460" s="37">
        <v>11496.57</v>
      </c>
      <c r="D460" s="38">
        <v>10732.907319999998</v>
      </c>
      <c r="E460" s="38">
        <v>6815.7260621433097</v>
      </c>
      <c r="F460" s="38">
        <v>119.96345919610232</v>
      </c>
      <c r="I460" s="28">
        <f t="shared" si="75"/>
        <v>4.3507456211517035E-3</v>
      </c>
      <c r="J460" s="28">
        <f t="shared" si="76"/>
        <v>1.1604661188169021E-2</v>
      </c>
      <c r="K460" s="28">
        <f t="shared" si="77"/>
        <v>1.5308463539936291E-2</v>
      </c>
      <c r="L460" s="28">
        <f t="shared" si="78"/>
        <v>-1.7107791801679897E-2</v>
      </c>
      <c r="N460" s="27">
        <f t="shared" ca="1" si="79"/>
        <v>10967.093966879271</v>
      </c>
      <c r="O460" s="27">
        <f t="shared" ca="1" si="80"/>
        <v>9674.4383854427124</v>
      </c>
      <c r="P460" s="27">
        <f t="shared" ca="1" si="81"/>
        <v>6207.6432906215077</v>
      </c>
      <c r="Q460" s="27">
        <f t="shared" ca="1" si="82"/>
        <v>112.36711595953523</v>
      </c>
      <c r="T460" s="25">
        <f t="shared" ca="1" si="83"/>
        <v>9996449.3156772628</v>
      </c>
      <c r="V460" s="25">
        <f t="shared" ca="1" si="84"/>
        <v>-3550.6843227371573</v>
      </c>
      <c r="X460" s="14">
        <v>84103.563974576071</v>
      </c>
    </row>
    <row r="461" spans="1:24">
      <c r="A461" s="1">
        <v>457</v>
      </c>
      <c r="B461" s="9">
        <v>39651</v>
      </c>
      <c r="C461" s="37">
        <v>11602.5</v>
      </c>
      <c r="D461" s="38">
        <v>10709.96206</v>
      </c>
      <c r="E461" s="38">
        <v>6852.3515439429939</v>
      </c>
      <c r="F461" s="38">
        <v>123.35073439985031</v>
      </c>
      <c r="I461" s="28">
        <f t="shared" si="75"/>
        <v>9.171862122174192E-3</v>
      </c>
      <c r="J461" s="28">
        <f t="shared" si="76"/>
        <v>-2.1401304416043278E-3</v>
      </c>
      <c r="K461" s="28">
        <f t="shared" si="77"/>
        <v>5.3592861436878381E-3</v>
      </c>
      <c r="L461" s="28">
        <f t="shared" si="78"/>
        <v>2.7844607035136977E-2</v>
      </c>
      <c r="N461" s="27">
        <f t="shared" ca="1" si="79"/>
        <v>11095.477068369953</v>
      </c>
      <c r="O461" s="27">
        <f t="shared" ca="1" si="80"/>
        <v>9703.2812597209286</v>
      </c>
      <c r="P461" s="27">
        <f t="shared" ca="1" si="81"/>
        <v>6186.473212035532</v>
      </c>
      <c r="Q461" s="27">
        <f t="shared" ca="1" si="82"/>
        <v>114.03724323846312</v>
      </c>
      <c r="T461" s="25">
        <f t="shared" ca="1" si="83"/>
        <v>10078246.206012212</v>
      </c>
      <c r="V461" s="25">
        <f t="shared" ca="1" si="84"/>
        <v>78246.20601221174</v>
      </c>
      <c r="X461" s="14">
        <v>84381.246023343876</v>
      </c>
    </row>
    <row r="462" spans="1:24">
      <c r="A462" s="1">
        <v>458</v>
      </c>
      <c r="B462" s="9">
        <v>39652</v>
      </c>
      <c r="C462" s="37">
        <v>11632.38</v>
      </c>
      <c r="D462" s="38">
        <v>10881.815329999999</v>
      </c>
      <c r="E462" s="38">
        <v>6920.0125568984458</v>
      </c>
      <c r="F462" s="38">
        <v>123.46220903273672</v>
      </c>
      <c r="I462" s="28">
        <f t="shared" si="75"/>
        <v>2.5719966250535029E-3</v>
      </c>
      <c r="J462" s="28">
        <f t="shared" si="76"/>
        <v>1.5918735723953532E-2</v>
      </c>
      <c r="K462" s="28">
        <f t="shared" si="77"/>
        <v>9.8256997588327313E-3</v>
      </c>
      <c r="L462" s="28">
        <f t="shared" si="78"/>
        <v>9.0331275917776696E-4</v>
      </c>
      <c r="N462" s="27">
        <f t="shared" ca="1" si="79"/>
        <v>10905.954078646606</v>
      </c>
      <c r="O462" s="27">
        <f t="shared" ca="1" si="80"/>
        <v>9743.2731050111706</v>
      </c>
      <c r="P462" s="27">
        <f t="shared" ca="1" si="81"/>
        <v>6100.0910040779436</v>
      </c>
      <c r="Q462" s="27">
        <f t="shared" ca="1" si="82"/>
        <v>113.51246827818377</v>
      </c>
      <c r="T462" s="25">
        <f t="shared" ca="1" si="83"/>
        <v>9998729.8527892753</v>
      </c>
      <c r="V462" s="25">
        <f t="shared" ca="1" si="84"/>
        <v>-1270.1472107246518</v>
      </c>
      <c r="X462" s="14">
        <v>85362.595853075385</v>
      </c>
    </row>
    <row r="463" spans="1:24">
      <c r="A463" s="1">
        <v>459</v>
      </c>
      <c r="B463" s="9">
        <v>39653</v>
      </c>
      <c r="C463" s="37">
        <v>11349.28</v>
      </c>
      <c r="D463" s="38">
        <v>10632.904670000002</v>
      </c>
      <c r="E463" s="38">
        <v>6813.9633286318758</v>
      </c>
      <c r="F463" s="38">
        <v>126.38957539719409</v>
      </c>
      <c r="I463" s="28">
        <f t="shared" si="75"/>
        <v>-2.4638282966339582E-2</v>
      </c>
      <c r="J463" s="28">
        <f t="shared" si="76"/>
        <v>-2.3139670549728604E-2</v>
      </c>
      <c r="K463" s="28">
        <f t="shared" si="77"/>
        <v>-1.5443646752481719E-2</v>
      </c>
      <c r="L463" s="28">
        <f t="shared" si="78"/>
        <v>2.3433895682562805E-2</v>
      </c>
      <c r="N463" s="27">
        <f t="shared" ca="1" si="79"/>
        <v>11201.649535051927</v>
      </c>
      <c r="O463" s="27">
        <f t="shared" ca="1" si="80"/>
        <v>9898.9107080806934</v>
      </c>
      <c r="P463" s="27">
        <f t="shared" ca="1" si="81"/>
        <v>6325.0948627746611</v>
      </c>
      <c r="Q463" s="27">
        <f t="shared" ca="1" si="82"/>
        <v>113.30289433853837</v>
      </c>
      <c r="T463" s="25">
        <f t="shared" ca="1" si="83"/>
        <v>10187251.03814099</v>
      </c>
      <c r="V463" s="25">
        <f t="shared" ca="1" si="84"/>
        <v>187251.03814098984</v>
      </c>
      <c r="X463" s="14">
        <v>87550.689390733838</v>
      </c>
    </row>
    <row r="464" spans="1:24">
      <c r="A464" s="1">
        <v>460</v>
      </c>
      <c r="B464" s="9">
        <v>39654</v>
      </c>
      <c r="C464" s="37">
        <v>11370.69</v>
      </c>
      <c r="D464" s="38">
        <v>10637.757240000001</v>
      </c>
      <c r="E464" s="38">
        <v>6859.7085096379878</v>
      </c>
      <c r="F464" s="38">
        <v>123.58443002780352</v>
      </c>
      <c r="I464" s="28">
        <f t="shared" si="75"/>
        <v>1.8846861450462513E-3</v>
      </c>
      <c r="J464" s="28">
        <f t="shared" si="76"/>
        <v>4.5626883683406257E-4</v>
      </c>
      <c r="K464" s="28">
        <f t="shared" si="77"/>
        <v>6.6910120724466664E-3</v>
      </c>
      <c r="L464" s="28">
        <f t="shared" si="78"/>
        <v>-2.2444438748414525E-2</v>
      </c>
      <c r="N464" s="27">
        <f t="shared" ca="1" si="79"/>
        <v>10980.537857771684</v>
      </c>
      <c r="O464" s="27">
        <f t="shared" ca="1" si="80"/>
        <v>9676.2044857920046</v>
      </c>
      <c r="P464" s="27">
        <f t="shared" ca="1" si="81"/>
        <v>6099.9920300941958</v>
      </c>
      <c r="Q464" s="27">
        <f t="shared" ca="1" si="82"/>
        <v>111.7556040970681</v>
      </c>
      <c r="T464" s="25">
        <f t="shared" ca="1" si="83"/>
        <v>9973677.8504927866</v>
      </c>
      <c r="V464" s="25">
        <f t="shared" ca="1" si="84"/>
        <v>-26322.149507213384</v>
      </c>
      <c r="X464" s="14">
        <v>89240.30710125342</v>
      </c>
    </row>
    <row r="465" spans="1:24">
      <c r="A465" s="1">
        <v>461</v>
      </c>
      <c r="B465" s="9">
        <v>39657</v>
      </c>
      <c r="C465" s="37">
        <v>11131.08</v>
      </c>
      <c r="D465" s="38">
        <v>10578.449120000001</v>
      </c>
      <c r="E465" s="38">
        <v>6805.8703179099784</v>
      </c>
      <c r="F465" s="38">
        <v>124.08269838320015</v>
      </c>
      <c r="I465" s="28">
        <f t="shared" si="75"/>
        <v>-2.1297796316664314E-2</v>
      </c>
      <c r="J465" s="28">
        <f t="shared" si="76"/>
        <v>-5.5908463067498417E-3</v>
      </c>
      <c r="K465" s="28">
        <f t="shared" si="77"/>
        <v>-7.8794277145794525E-3</v>
      </c>
      <c r="L465" s="28">
        <f t="shared" si="78"/>
        <v>4.0236993164721162E-3</v>
      </c>
      <c r="N465" s="27">
        <f t="shared" ca="1" si="79"/>
        <v>11050.375576691175</v>
      </c>
      <c r="O465" s="27">
        <f t="shared" ca="1" si="80"/>
        <v>9452.3954110725699</v>
      </c>
      <c r="P465" s="27">
        <f t="shared" ca="1" si="81"/>
        <v>6123.1997941694253</v>
      </c>
      <c r="Q465" s="27">
        <f t="shared" ca="1" si="82"/>
        <v>115.40743420514391</v>
      </c>
      <c r="T465" s="25">
        <f t="shared" ca="1" si="83"/>
        <v>9997560.4957167227</v>
      </c>
      <c r="V465" s="25">
        <f t="shared" ca="1" si="84"/>
        <v>-2439.5042832773179</v>
      </c>
      <c r="X465" s="14">
        <v>90057.701977726072</v>
      </c>
    </row>
    <row r="466" spans="1:24">
      <c r="A466" s="1">
        <v>462</v>
      </c>
      <c r="B466" s="9">
        <v>39658</v>
      </c>
      <c r="C466" s="37">
        <v>11397.56</v>
      </c>
      <c r="D466" s="38">
        <v>10536.271359999999</v>
      </c>
      <c r="E466" s="38">
        <v>6738.1316281971303</v>
      </c>
      <c r="F466" s="38">
        <v>121.63277567242814</v>
      </c>
      <c r="I466" s="28">
        <f t="shared" si="75"/>
        <v>2.3658101783662445E-2</v>
      </c>
      <c r="J466" s="28">
        <f t="shared" si="76"/>
        <v>-3.9951100597839847E-3</v>
      </c>
      <c r="K466" s="28">
        <f t="shared" si="77"/>
        <v>-1.000284181756746E-2</v>
      </c>
      <c r="L466" s="28">
        <f t="shared" si="78"/>
        <v>-1.9941795762863757E-2</v>
      </c>
      <c r="N466" s="27">
        <f t="shared" ca="1" si="79"/>
        <v>11123.238038774432</v>
      </c>
      <c r="O466" s="27">
        <f t="shared" ca="1" si="80"/>
        <v>9407.2068974059348</v>
      </c>
      <c r="P466" s="27">
        <f t="shared" ca="1" si="81"/>
        <v>5899.9503354640292</v>
      </c>
      <c r="Q466" s="27">
        <f t="shared" ca="1" si="82"/>
        <v>112.96139387492661</v>
      </c>
      <c r="T466" s="25">
        <f t="shared" ca="1" si="83"/>
        <v>9930514.6639751233</v>
      </c>
      <c r="V466" s="25">
        <f t="shared" ca="1" si="84"/>
        <v>-69485.336024876684</v>
      </c>
      <c r="X466" s="14">
        <v>90827.793508948758</v>
      </c>
    </row>
    <row r="467" spans="1:24">
      <c r="A467" s="1">
        <v>463</v>
      </c>
      <c r="B467" s="9">
        <v>39659</v>
      </c>
      <c r="C467" s="37">
        <v>11583.69</v>
      </c>
      <c r="D467" s="38">
        <v>10729.191510000001</v>
      </c>
      <c r="E467" s="38">
        <v>6846.973704683367</v>
      </c>
      <c r="F467" s="38">
        <v>123.54704251386322</v>
      </c>
      <c r="I467" s="28">
        <f t="shared" si="75"/>
        <v>1.6198776831601369E-2</v>
      </c>
      <c r="J467" s="28">
        <f t="shared" si="76"/>
        <v>1.8144485634062117E-2</v>
      </c>
      <c r="K467" s="28">
        <f t="shared" si="77"/>
        <v>1.602407972081293E-2</v>
      </c>
      <c r="L467" s="28">
        <f t="shared" si="78"/>
        <v>1.5615524589873012E-2</v>
      </c>
      <c r="N467" s="27">
        <f t="shared" ca="1" si="79"/>
        <v>10977.501523012646</v>
      </c>
      <c r="O467" s="27">
        <f t="shared" ca="1" si="80"/>
        <v>9751.1657558002407</v>
      </c>
      <c r="P467" s="27">
        <f t="shared" ca="1" si="81"/>
        <v>6234.4158715754047</v>
      </c>
      <c r="Q467" s="27">
        <f t="shared" ca="1" si="82"/>
        <v>110.81445213742161</v>
      </c>
      <c r="T467" s="25">
        <f t="shared" ca="1" si="83"/>
        <v>10000997.643383184</v>
      </c>
      <c r="V467" s="25">
        <f t="shared" ca="1" si="84"/>
        <v>997.64338318444788</v>
      </c>
      <c r="X467" s="14">
        <v>93445.584116332233</v>
      </c>
    </row>
    <row r="468" spans="1:24">
      <c r="A468" s="1">
        <v>464</v>
      </c>
      <c r="B468" s="9">
        <v>39660</v>
      </c>
      <c r="C468" s="37">
        <v>11378.02</v>
      </c>
      <c r="D468" s="38">
        <v>10720.973899999999</v>
      </c>
      <c r="E468" s="38">
        <v>6853.4248712747694</v>
      </c>
      <c r="F468" s="38">
        <v>123.77912464143611</v>
      </c>
      <c r="I468" s="28">
        <f t="shared" si="75"/>
        <v>-1.7914650130474354E-2</v>
      </c>
      <c r="J468" s="28">
        <f t="shared" si="76"/>
        <v>-7.6620485156689343E-4</v>
      </c>
      <c r="K468" s="28">
        <f t="shared" si="77"/>
        <v>9.4174881590872465E-4</v>
      </c>
      <c r="L468" s="28">
        <f t="shared" si="78"/>
        <v>1.8767298127859546E-3</v>
      </c>
      <c r="N468" s="27">
        <f t="shared" ca="1" si="79"/>
        <v>11145.928932053497</v>
      </c>
      <c r="O468" s="27">
        <f t="shared" ca="1" si="80"/>
        <v>9702.8423700754211</v>
      </c>
      <c r="P468" s="27">
        <f t="shared" ca="1" si="81"/>
        <v>6226.4019557948595</v>
      </c>
      <c r="Q468" s="27">
        <f t="shared" ca="1" si="82"/>
        <v>112.60452917846708</v>
      </c>
      <c r="T468" s="25">
        <f t="shared" ca="1" si="83"/>
        <v>10077460.422576586</v>
      </c>
      <c r="V468" s="25">
        <f t="shared" ca="1" si="84"/>
        <v>77460.422576585785</v>
      </c>
      <c r="X468" s="14">
        <v>96612.216551691294</v>
      </c>
    </row>
    <row r="469" spans="1:24">
      <c r="A469" s="1">
        <v>465</v>
      </c>
      <c r="B469" s="9">
        <v>39661</v>
      </c>
      <c r="C469" s="37">
        <v>11326.32</v>
      </c>
      <c r="D469" s="38">
        <v>10569.642329999999</v>
      </c>
      <c r="E469" s="38">
        <v>6714.9260700389113</v>
      </c>
      <c r="F469" s="38">
        <v>121.77615549149074</v>
      </c>
      <c r="I469" s="28">
        <f t="shared" si="75"/>
        <v>-4.5542032367474894E-3</v>
      </c>
      <c r="J469" s="28">
        <f t="shared" si="76"/>
        <v>-1.4216039308503896E-2</v>
      </c>
      <c r="K469" s="28">
        <f t="shared" si="77"/>
        <v>-2.0415688292604265E-2</v>
      </c>
      <c r="L469" s="28">
        <f t="shared" si="78"/>
        <v>-1.6314156007006447E-2</v>
      </c>
      <c r="N469" s="27">
        <f t="shared" ca="1" si="79"/>
        <v>11062.725150984486</v>
      </c>
      <c r="O469" s="27">
        <f t="shared" ca="1" si="80"/>
        <v>9488.6894520018595</v>
      </c>
      <c r="P469" s="27">
        <f t="shared" ca="1" si="81"/>
        <v>6248.7944097817754</v>
      </c>
      <c r="Q469" s="27">
        <f t="shared" ca="1" si="82"/>
        <v>114.52255764672788</v>
      </c>
      <c r="T469" s="25">
        <f t="shared" ca="1" si="83"/>
        <v>10017953.947294185</v>
      </c>
      <c r="V469" s="25">
        <f t="shared" ca="1" si="84"/>
        <v>17953.947294184938</v>
      </c>
      <c r="X469" s="14">
        <v>96672.766979457811</v>
      </c>
    </row>
    <row r="470" spans="1:24">
      <c r="A470" s="1">
        <v>466</v>
      </c>
      <c r="B470" s="9">
        <v>39664</v>
      </c>
      <c r="C470" s="37">
        <v>11284.15</v>
      </c>
      <c r="D470" s="38">
        <v>10457.91714</v>
      </c>
      <c r="E470" s="38">
        <v>6682.219793943179</v>
      </c>
      <c r="F470" s="38">
        <v>119.77384700870532</v>
      </c>
      <c r="I470" s="28">
        <f t="shared" si="75"/>
        <v>-3.7301346584806268E-3</v>
      </c>
      <c r="J470" s="28">
        <f t="shared" si="76"/>
        <v>-1.0626648474744317E-2</v>
      </c>
      <c r="K470" s="28">
        <f t="shared" si="77"/>
        <v>-4.8825834104070575E-3</v>
      </c>
      <c r="L470" s="28">
        <f t="shared" si="78"/>
        <v>-1.6579211976311896E-2</v>
      </c>
      <c r="N470" s="27">
        <f t="shared" ca="1" si="79"/>
        <v>10753.137475897749</v>
      </c>
      <c r="O470" s="27">
        <f t="shared" ca="1" si="80"/>
        <v>9456.8182005484759</v>
      </c>
      <c r="P470" s="27">
        <f t="shared" ca="1" si="81"/>
        <v>6261.8024321400244</v>
      </c>
      <c r="Q470" s="27">
        <f t="shared" ca="1" si="82"/>
        <v>113.00073310554491</v>
      </c>
      <c r="T470" s="25">
        <f t="shared" ca="1" si="83"/>
        <v>9870762.5759789795</v>
      </c>
      <c r="V470" s="25">
        <f t="shared" ca="1" si="84"/>
        <v>-129237.42402102053</v>
      </c>
      <c r="X470" s="14">
        <v>97020.114781294018</v>
      </c>
    </row>
    <row r="471" spans="1:24">
      <c r="A471" s="1">
        <v>467</v>
      </c>
      <c r="B471" s="9">
        <v>39665</v>
      </c>
      <c r="C471" s="37">
        <v>11615.77</v>
      </c>
      <c r="D471" s="38">
        <v>10663.547500000001</v>
      </c>
      <c r="E471" s="38">
        <v>6793.1702028805948</v>
      </c>
      <c r="F471" s="38">
        <v>119.52484960666358</v>
      </c>
      <c r="I471" s="28">
        <f t="shared" si="75"/>
        <v>2.8964571401079116E-2</v>
      </c>
      <c r="J471" s="28">
        <f t="shared" si="76"/>
        <v>1.947183687950842E-2</v>
      </c>
      <c r="K471" s="28">
        <f t="shared" si="77"/>
        <v>1.6467488693057239E-2</v>
      </c>
      <c r="L471" s="28">
        <f t="shared" si="78"/>
        <v>-2.0810601597663096E-3</v>
      </c>
      <c r="N471" s="27">
        <f t="shared" ca="1" si="79"/>
        <v>11103.114262059324</v>
      </c>
      <c r="O471" s="27">
        <f t="shared" ca="1" si="80"/>
        <v>9468.3805220482172</v>
      </c>
      <c r="P471" s="27">
        <f t="shared" ca="1" si="81"/>
        <v>6098.9475915053681</v>
      </c>
      <c r="Q471" s="27">
        <f t="shared" ca="1" si="82"/>
        <v>112.96264627563794</v>
      </c>
      <c r="T471" s="25">
        <f t="shared" ca="1" si="83"/>
        <v>9974445.0157307759</v>
      </c>
      <c r="V471" s="25">
        <f t="shared" ca="1" si="84"/>
        <v>-25554.984269224107</v>
      </c>
      <c r="X471" s="14">
        <v>98872.404095662758</v>
      </c>
    </row>
    <row r="472" spans="1:24">
      <c r="A472" s="1">
        <v>468</v>
      </c>
      <c r="B472" s="9">
        <v>39666</v>
      </c>
      <c r="C472" s="37">
        <v>11656.07</v>
      </c>
      <c r="D472" s="38">
        <v>10702.283880000001</v>
      </c>
      <c r="E472" s="38">
        <v>6859.4140323824213</v>
      </c>
      <c r="F472" s="38">
        <v>121.44850650540589</v>
      </c>
      <c r="I472" s="28">
        <f t="shared" si="75"/>
        <v>3.463416754675085E-3</v>
      </c>
      <c r="J472" s="28">
        <f t="shared" si="76"/>
        <v>3.6260159273169123E-3</v>
      </c>
      <c r="K472" s="28">
        <f t="shared" si="77"/>
        <v>9.704294546194106E-3</v>
      </c>
      <c r="L472" s="28">
        <f t="shared" si="78"/>
        <v>1.5966061922452666E-2</v>
      </c>
      <c r="N472" s="27">
        <f t="shared" ca="1" si="79"/>
        <v>10972.520472893619</v>
      </c>
      <c r="O472" s="27">
        <f t="shared" ca="1" si="80"/>
        <v>9541.0096807853988</v>
      </c>
      <c r="P472" s="27">
        <f t="shared" ca="1" si="81"/>
        <v>6320.5251217781088</v>
      </c>
      <c r="Q472" s="27">
        <f t="shared" ca="1" si="82"/>
        <v>112.74230561812436</v>
      </c>
      <c r="T472" s="25">
        <f t="shared" ca="1" si="83"/>
        <v>9981578.3083134964</v>
      </c>
      <c r="V472" s="25">
        <f t="shared" ca="1" si="84"/>
        <v>-18421.691686503589</v>
      </c>
      <c r="X472" s="14">
        <v>99819.810382297263</v>
      </c>
    </row>
    <row r="473" spans="1:24">
      <c r="A473" s="1">
        <v>469</v>
      </c>
      <c r="B473" s="9">
        <v>39667</v>
      </c>
      <c r="C473" s="37">
        <v>11431.43</v>
      </c>
      <c r="D473" s="38">
        <v>10650.450999999999</v>
      </c>
      <c r="E473" s="38">
        <v>6853.3671586715873</v>
      </c>
      <c r="F473" s="38">
        <v>119.76448581074915</v>
      </c>
      <c r="I473" s="28">
        <f t="shared" si="75"/>
        <v>-1.9460495023079491E-2</v>
      </c>
      <c r="J473" s="28">
        <f t="shared" si="76"/>
        <v>-4.8549267436726806E-3</v>
      </c>
      <c r="K473" s="28">
        <f t="shared" si="77"/>
        <v>-8.8193255890633071E-4</v>
      </c>
      <c r="L473" s="28">
        <f t="shared" si="78"/>
        <v>-1.3963162095946818E-2</v>
      </c>
      <c r="N473" s="27">
        <f t="shared" ca="1" si="79"/>
        <v>11152.666724845123</v>
      </c>
      <c r="O473" s="27">
        <f t="shared" ca="1" si="80"/>
        <v>9586.1536071255869</v>
      </c>
      <c r="P473" s="27">
        <f t="shared" ca="1" si="81"/>
        <v>6102.8240403384061</v>
      </c>
      <c r="Q473" s="27">
        <f t="shared" ca="1" si="82"/>
        <v>112.00910151819416</v>
      </c>
      <c r="T473" s="25">
        <f t="shared" ca="1" si="83"/>
        <v>10012954.19414722</v>
      </c>
      <c r="V473" s="25">
        <f t="shared" ca="1" si="84"/>
        <v>12954.194147219881</v>
      </c>
      <c r="X473" s="14">
        <v>101844.83813215047</v>
      </c>
    </row>
    <row r="474" spans="1:24">
      <c r="A474" s="1">
        <v>470</v>
      </c>
      <c r="B474" s="9">
        <v>39668</v>
      </c>
      <c r="C474" s="37">
        <v>11734.32</v>
      </c>
      <c r="D474" s="38">
        <v>10516.75828</v>
      </c>
      <c r="E474" s="38">
        <v>6751.6158124154526</v>
      </c>
      <c r="F474" s="38">
        <v>119.51724450898529</v>
      </c>
      <c r="I474" s="28">
        <f t="shared" si="75"/>
        <v>2.6151301967064531E-2</v>
      </c>
      <c r="J474" s="28">
        <f t="shared" si="76"/>
        <v>-1.2632227143497066E-2</v>
      </c>
      <c r="K474" s="28">
        <f t="shared" si="77"/>
        <v>-1.4958231655691866E-2</v>
      </c>
      <c r="L474" s="28">
        <f t="shared" si="78"/>
        <v>-2.0665296044240348E-3</v>
      </c>
      <c r="N474" s="27">
        <f t="shared" ca="1" si="79"/>
        <v>10914.262462791627</v>
      </c>
      <c r="O474" s="27">
        <f t="shared" ca="1" si="80"/>
        <v>9354.3608415351409</v>
      </c>
      <c r="P474" s="27">
        <f t="shared" ca="1" si="81"/>
        <v>6261.0274653837132</v>
      </c>
      <c r="Q474" s="27">
        <f t="shared" ca="1" si="82"/>
        <v>113.93338164565832</v>
      </c>
      <c r="T474" s="25">
        <f t="shared" ca="1" si="83"/>
        <v>9913626.0433977395</v>
      </c>
      <c r="V474" s="25">
        <f t="shared" ca="1" si="84"/>
        <v>-86373.95660226047</v>
      </c>
      <c r="X474" s="14">
        <v>103161.61568374932</v>
      </c>
    </row>
    <row r="475" spans="1:24">
      <c r="A475" s="1">
        <v>471</v>
      </c>
      <c r="B475" s="9">
        <v>39671</v>
      </c>
      <c r="C475" s="37">
        <v>11782.35</v>
      </c>
      <c r="D475" s="38">
        <v>10626.955680000001</v>
      </c>
      <c r="E475" s="38">
        <v>6807.3946302684863</v>
      </c>
      <c r="F475" s="38">
        <v>122.21028207461327</v>
      </c>
      <c r="I475" s="28">
        <f t="shared" si="75"/>
        <v>4.0847676803735106E-3</v>
      </c>
      <c r="J475" s="28">
        <f t="shared" si="76"/>
        <v>1.0423750339630262E-2</v>
      </c>
      <c r="K475" s="28">
        <f t="shared" si="77"/>
        <v>8.2276111142687691E-3</v>
      </c>
      <c r="L475" s="28">
        <f t="shared" si="78"/>
        <v>2.2282518086209107E-2</v>
      </c>
      <c r="N475" s="27">
        <f t="shared" ca="1" si="79"/>
        <v>11078.293942475231</v>
      </c>
      <c r="O475" s="27">
        <f t="shared" ca="1" si="80"/>
        <v>9441.7664990103203</v>
      </c>
      <c r="P475" s="27">
        <f t="shared" ca="1" si="81"/>
        <v>6278.4082077271469</v>
      </c>
      <c r="Q475" s="27">
        <f t="shared" ca="1" si="82"/>
        <v>111.92875122603779</v>
      </c>
      <c r="T475" s="25">
        <f t="shared" ca="1" si="83"/>
        <v>9967736.072171567</v>
      </c>
      <c r="V475" s="25">
        <f t="shared" ca="1" si="84"/>
        <v>-32263.927828432992</v>
      </c>
      <c r="X475" s="14">
        <v>104159.65120261349</v>
      </c>
    </row>
    <row r="476" spans="1:24">
      <c r="A476" s="1">
        <v>472</v>
      </c>
      <c r="B476" s="9">
        <v>39672</v>
      </c>
      <c r="C476" s="37">
        <v>11642.47</v>
      </c>
      <c r="D476" s="38">
        <v>10522.744849999999</v>
      </c>
      <c r="E476" s="38">
        <v>6736.9613836290437</v>
      </c>
      <c r="F476" s="38">
        <v>121.23940581427139</v>
      </c>
      <c r="I476" s="28">
        <f t="shared" si="75"/>
        <v>-1.1943029885046832E-2</v>
      </c>
      <c r="J476" s="28">
        <f t="shared" si="76"/>
        <v>-9.8546712958360663E-3</v>
      </c>
      <c r="K476" s="28">
        <f t="shared" si="77"/>
        <v>-1.0400476990207803E-2</v>
      </c>
      <c r="L476" s="28">
        <f t="shared" si="78"/>
        <v>-7.9760332887162874E-3</v>
      </c>
      <c r="N476" s="27">
        <f t="shared" ca="1" si="79"/>
        <v>11075.076003223054</v>
      </c>
      <c r="O476" s="27">
        <f t="shared" ca="1" si="80"/>
        <v>9496.8488098564485</v>
      </c>
      <c r="P476" s="27">
        <f t="shared" ca="1" si="81"/>
        <v>6265.1031392353998</v>
      </c>
      <c r="Q476" s="27">
        <f t="shared" ca="1" si="82"/>
        <v>110.30737767875638</v>
      </c>
      <c r="T476" s="25">
        <f t="shared" ca="1" si="83"/>
        <v>9952893.6954094768</v>
      </c>
      <c r="V476" s="25">
        <f t="shared" ca="1" si="84"/>
        <v>-47106.304590523243</v>
      </c>
      <c r="X476" s="14">
        <v>105541.48092219047</v>
      </c>
    </row>
    <row r="477" spans="1:24">
      <c r="A477" s="1">
        <v>473</v>
      </c>
      <c r="B477" s="9">
        <v>39673</v>
      </c>
      <c r="C477" s="37">
        <v>11532.96</v>
      </c>
      <c r="D477" s="38">
        <v>10162.183860000001</v>
      </c>
      <c r="E477" s="38">
        <v>6546.1938745168009</v>
      </c>
      <c r="F477" s="38">
        <v>119.8734351988218</v>
      </c>
      <c r="I477" s="28">
        <f t="shared" si="75"/>
        <v>-9.450596175462414E-3</v>
      </c>
      <c r="J477" s="28">
        <f t="shared" si="76"/>
        <v>-3.4865724673979651E-2</v>
      </c>
      <c r="K477" s="28">
        <f t="shared" si="77"/>
        <v>-2.8725197088727304E-2</v>
      </c>
      <c r="L477" s="28">
        <f t="shared" si="78"/>
        <v>-1.1330671761462819E-2</v>
      </c>
      <c r="N477" s="27">
        <f t="shared" ca="1" si="79"/>
        <v>10702.525762434021</v>
      </c>
      <c r="O477" s="27">
        <f t="shared" ca="1" si="80"/>
        <v>9515.3579047493204</v>
      </c>
      <c r="P477" s="27">
        <f t="shared" ca="1" si="81"/>
        <v>6066.9752534902218</v>
      </c>
      <c r="Q477" s="27">
        <f t="shared" ca="1" si="82"/>
        <v>112.57955784437834</v>
      </c>
      <c r="T477" s="25">
        <f t="shared" ca="1" si="83"/>
        <v>9831801.0891694967</v>
      </c>
      <c r="V477" s="25">
        <f t="shared" ca="1" si="84"/>
        <v>-168198.91083050333</v>
      </c>
      <c r="X477" s="14">
        <v>106200.11636929959</v>
      </c>
    </row>
    <row r="478" spans="1:24">
      <c r="A478" s="1">
        <v>474</v>
      </c>
      <c r="B478" s="9">
        <v>39674</v>
      </c>
      <c r="C478" s="37">
        <v>11615.93</v>
      </c>
      <c r="D478" s="38">
        <v>10308.724479999999</v>
      </c>
      <c r="E478" s="38">
        <v>6585.595113957992</v>
      </c>
      <c r="F478" s="38">
        <v>118.24055484577477</v>
      </c>
      <c r="I478" s="28">
        <f t="shared" si="75"/>
        <v>7.168408964029622E-3</v>
      </c>
      <c r="J478" s="28">
        <f t="shared" si="76"/>
        <v>1.4317207692525846E-2</v>
      </c>
      <c r="K478" s="28">
        <f t="shared" si="77"/>
        <v>6.0009123989688004E-3</v>
      </c>
      <c r="L478" s="28">
        <f t="shared" si="78"/>
        <v>-1.3715329783504971E-2</v>
      </c>
      <c r="N478" s="27">
        <f t="shared" ca="1" si="79"/>
        <v>10777.709355458031</v>
      </c>
      <c r="O478" s="27">
        <f t="shared" ca="1" si="80"/>
        <v>9870.0105999473963</v>
      </c>
      <c r="P478" s="27">
        <f t="shared" ca="1" si="81"/>
        <v>6216.8276303370703</v>
      </c>
      <c r="Q478" s="27">
        <f t="shared" ca="1" si="82"/>
        <v>113.93514466114073</v>
      </c>
      <c r="T478" s="25">
        <f t="shared" ca="1" si="83"/>
        <v>10018114.708566533</v>
      </c>
      <c r="V478" s="25">
        <f t="shared" ca="1" si="84"/>
        <v>18114.708566533402</v>
      </c>
      <c r="X478" s="14">
        <v>106708.38805781677</v>
      </c>
    </row>
    <row r="479" spans="1:24">
      <c r="A479" s="1">
        <v>475</v>
      </c>
      <c r="B479" s="9">
        <v>39675</v>
      </c>
      <c r="C479" s="37">
        <v>11659.9</v>
      </c>
      <c r="D479" s="38">
        <v>10163.38336</v>
      </c>
      <c r="E479" s="38">
        <v>6540.7842561315911</v>
      </c>
      <c r="F479" s="38">
        <v>117.87605251244906</v>
      </c>
      <c r="I479" s="28">
        <f t="shared" si="75"/>
        <v>3.7781726627543568E-3</v>
      </c>
      <c r="J479" s="28">
        <f t="shared" si="76"/>
        <v>-1.4199179005955055E-2</v>
      </c>
      <c r="K479" s="28">
        <f t="shared" si="77"/>
        <v>-6.8276301697653809E-3</v>
      </c>
      <c r="L479" s="28">
        <f t="shared" si="78"/>
        <v>-3.0874797580430148E-3</v>
      </c>
      <c r="N479" s="27">
        <f t="shared" ca="1" si="79"/>
        <v>11044.573548396585</v>
      </c>
      <c r="O479" s="27">
        <f t="shared" ca="1" si="80"/>
        <v>9697.658655631365</v>
      </c>
      <c r="P479" s="27">
        <f t="shared" ca="1" si="81"/>
        <v>6199.5981384510515</v>
      </c>
      <c r="Q479" s="27">
        <f t="shared" ca="1" si="82"/>
        <v>114.62810181576654</v>
      </c>
      <c r="T479" s="25">
        <f t="shared" ca="1" si="83"/>
        <v>10070606.750483215</v>
      </c>
      <c r="V479" s="25">
        <f t="shared" ca="1" si="84"/>
        <v>70606.750483214855</v>
      </c>
      <c r="X479" s="14">
        <v>106951.52062023804</v>
      </c>
    </row>
    <row r="480" spans="1:24">
      <c r="A480" s="1">
        <v>476</v>
      </c>
      <c r="B480" s="9">
        <v>39678</v>
      </c>
      <c r="C480" s="37">
        <v>11479.39</v>
      </c>
      <c r="D480" s="38">
        <v>10168.98316</v>
      </c>
      <c r="E480" s="38">
        <v>6541.449786796059</v>
      </c>
      <c r="F480" s="38">
        <v>119.39285390405369</v>
      </c>
      <c r="I480" s="28">
        <f t="shared" si="75"/>
        <v>-1.560235096508104E-2</v>
      </c>
      <c r="J480" s="28">
        <f t="shared" si="76"/>
        <v>5.5082620471933038E-4</v>
      </c>
      <c r="K480" s="28">
        <f t="shared" si="77"/>
        <v>1.0174572062518281E-4</v>
      </c>
      <c r="L480" s="28">
        <f t="shared" si="78"/>
        <v>1.2785679148085261E-2</v>
      </c>
      <c r="N480" s="27">
        <f t="shared" ca="1" si="79"/>
        <v>11078.693133199484</v>
      </c>
      <c r="O480" s="27">
        <f t="shared" ca="1" si="80"/>
        <v>9609.4769708047643</v>
      </c>
      <c r="P480" s="27">
        <f t="shared" ca="1" si="81"/>
        <v>6237.9721977885638</v>
      </c>
      <c r="Q480" s="27">
        <f t="shared" ca="1" si="82"/>
        <v>111.05920538355862</v>
      </c>
      <c r="T480" s="25">
        <f t="shared" ca="1" si="83"/>
        <v>9998355.0418096092</v>
      </c>
      <c r="V480" s="25">
        <f t="shared" ca="1" si="84"/>
        <v>-1644.9581903908402</v>
      </c>
      <c r="X480" s="14">
        <v>107621.11451597326</v>
      </c>
    </row>
    <row r="481" spans="1:24">
      <c r="A481" s="1">
        <v>477</v>
      </c>
      <c r="B481" s="9">
        <v>39679</v>
      </c>
      <c r="C481" s="37">
        <v>11348.55</v>
      </c>
      <c r="D481" s="38">
        <v>9907.1168400000006</v>
      </c>
      <c r="E481" s="38">
        <v>6370.8131157182761</v>
      </c>
      <c r="F481" s="38">
        <v>117.23209404045927</v>
      </c>
      <c r="I481" s="28">
        <f t="shared" si="75"/>
        <v>-1.1463271128858756E-2</v>
      </c>
      <c r="J481" s="28">
        <f t="shared" si="76"/>
        <v>-2.6088849191671409E-2</v>
      </c>
      <c r="K481" s="28">
        <f t="shared" si="77"/>
        <v>-2.6431711722697478E-2</v>
      </c>
      <c r="L481" s="28">
        <f t="shared" si="78"/>
        <v>-1.8263669526354599E-2</v>
      </c>
      <c r="N481" s="27">
        <f t="shared" ca="1" si="79"/>
        <v>10956.690654397369</v>
      </c>
      <c r="O481" s="27">
        <f t="shared" ca="1" si="80"/>
        <v>9566.8848832660879</v>
      </c>
      <c r="P481" s="27">
        <f t="shared" ca="1" si="81"/>
        <v>6023.94461910674</v>
      </c>
      <c r="Q481" s="27">
        <f t="shared" ca="1" si="82"/>
        <v>111.81775269110558</v>
      </c>
      <c r="T481" s="25">
        <f t="shared" ca="1" si="83"/>
        <v>9919697.5401860029</v>
      </c>
      <c r="V481" s="25">
        <f t="shared" ca="1" si="84"/>
        <v>-80302.459813997149</v>
      </c>
      <c r="X481" s="14">
        <v>108424.42320936732</v>
      </c>
    </row>
    <row r="482" spans="1:24">
      <c r="A482" s="1">
        <v>478</v>
      </c>
      <c r="B482" s="9">
        <v>39680</v>
      </c>
      <c r="C482" s="37">
        <v>11417.43</v>
      </c>
      <c r="D482" s="38">
        <v>9984.0274800000007</v>
      </c>
      <c r="E482" s="38">
        <v>6429.8527245949917</v>
      </c>
      <c r="F482" s="38">
        <v>116.93985441310282</v>
      </c>
      <c r="I482" s="28">
        <f t="shared" si="75"/>
        <v>6.0511526565767831E-3</v>
      </c>
      <c r="J482" s="28">
        <f t="shared" si="76"/>
        <v>7.7331924245464829E-3</v>
      </c>
      <c r="K482" s="28">
        <f t="shared" si="77"/>
        <v>9.2245244523643903E-3</v>
      </c>
      <c r="L482" s="28">
        <f t="shared" si="78"/>
        <v>-2.4959418154116304E-3</v>
      </c>
      <c r="N482" s="27">
        <f t="shared" ca="1" si="79"/>
        <v>11037.326717856346</v>
      </c>
      <c r="O482" s="27">
        <f t="shared" ca="1" si="80"/>
        <v>9441.5558777374154</v>
      </c>
      <c r="P482" s="27">
        <f t="shared" ca="1" si="81"/>
        <v>6279.5256344901554</v>
      </c>
      <c r="Q482" s="27">
        <f t="shared" ca="1" si="82"/>
        <v>113.09952747100594</v>
      </c>
      <c r="T482" s="25">
        <f t="shared" ca="1" si="83"/>
        <v>9973737.4883167185</v>
      </c>
      <c r="V482" s="25">
        <f t="shared" ca="1" si="84"/>
        <v>-26262.511683281511</v>
      </c>
      <c r="X482" s="14">
        <v>109869.30808359012</v>
      </c>
    </row>
    <row r="483" spans="1:24">
      <c r="A483" s="1">
        <v>479</v>
      </c>
      <c r="B483" s="9">
        <v>39681</v>
      </c>
      <c r="C483" s="37">
        <v>11430.21</v>
      </c>
      <c r="D483" s="38">
        <v>10075.032220000001</v>
      </c>
      <c r="E483" s="38">
        <v>6405.6696428571422</v>
      </c>
      <c r="F483" s="38">
        <v>117.79244411601698</v>
      </c>
      <c r="I483" s="28">
        <f t="shared" si="75"/>
        <v>1.1187152224799051E-3</v>
      </c>
      <c r="J483" s="28">
        <f t="shared" si="76"/>
        <v>9.0737418153911502E-3</v>
      </c>
      <c r="K483" s="28">
        <f t="shared" si="77"/>
        <v>-3.7681536691892862E-3</v>
      </c>
      <c r="L483" s="28">
        <f t="shared" si="78"/>
        <v>7.2643897547386201E-3</v>
      </c>
      <c r="N483" s="27">
        <f t="shared" ca="1" si="79"/>
        <v>10966.435277118255</v>
      </c>
      <c r="O483" s="27">
        <f t="shared" ca="1" si="80"/>
        <v>9494.2444600743929</v>
      </c>
      <c r="P483" s="27">
        <f t="shared" ca="1" si="81"/>
        <v>6159.750324009713</v>
      </c>
      <c r="Q483" s="27">
        <f t="shared" ca="1" si="82"/>
        <v>111.74051643682296</v>
      </c>
      <c r="T483" s="25">
        <f t="shared" ca="1" si="83"/>
        <v>9921067.1528796684</v>
      </c>
      <c r="V483" s="25">
        <f t="shared" ca="1" si="84"/>
        <v>-78932.8471203316</v>
      </c>
      <c r="X483" s="14">
        <v>110434.05458549038</v>
      </c>
    </row>
    <row r="484" spans="1:24">
      <c r="A484" s="1">
        <v>480</v>
      </c>
      <c r="B484" s="9">
        <v>39682</v>
      </c>
      <c r="C484" s="37">
        <v>11628.06</v>
      </c>
      <c r="D484" s="38">
        <v>10230.505920000001</v>
      </c>
      <c r="E484" s="38">
        <v>6519.1851851851843</v>
      </c>
      <c r="F484" s="38">
        <v>115.21913945237878</v>
      </c>
      <c r="I484" s="28">
        <f t="shared" si="75"/>
        <v>1.7161292300682095E-2</v>
      </c>
      <c r="J484" s="28">
        <f t="shared" si="76"/>
        <v>1.5313727443632541E-2</v>
      </c>
      <c r="K484" s="28">
        <f t="shared" si="77"/>
        <v>1.7565916631143024E-2</v>
      </c>
      <c r="L484" s="28">
        <f t="shared" si="78"/>
        <v>-2.2088251989019952E-2</v>
      </c>
      <c r="N484" s="27">
        <f t="shared" ca="1" si="79"/>
        <v>10971.376617510987</v>
      </c>
      <c r="O484" s="27">
        <f t="shared" ca="1" si="80"/>
        <v>9772.0413118000633</v>
      </c>
      <c r="P484" s="27">
        <f t="shared" ca="1" si="81"/>
        <v>6055.4687846423358</v>
      </c>
      <c r="Q484" s="27">
        <f t="shared" ca="1" si="82"/>
        <v>114.27375098136311</v>
      </c>
      <c r="T484" s="25">
        <f t="shared" ca="1" si="83"/>
        <v>10037761.013823789</v>
      </c>
      <c r="V484" s="25">
        <f t="shared" ca="1" si="84"/>
        <v>37761.013823788613</v>
      </c>
      <c r="X484" s="14">
        <v>110556.18800681271</v>
      </c>
    </row>
    <row r="485" spans="1:24">
      <c r="A485" s="1">
        <v>481</v>
      </c>
      <c r="B485" s="9">
        <v>39686</v>
      </c>
      <c r="C485" s="37">
        <v>11412.87</v>
      </c>
      <c r="D485" s="38">
        <v>10058.42902</v>
      </c>
      <c r="E485" s="38">
        <v>6399.8681511866398</v>
      </c>
      <c r="F485" s="38">
        <v>116.33931172614712</v>
      </c>
      <c r="I485" s="28">
        <f t="shared" si="75"/>
        <v>-1.8679476655029639E-2</v>
      </c>
      <c r="J485" s="28">
        <f t="shared" si="76"/>
        <v>-1.6963041842761928E-2</v>
      </c>
      <c r="K485" s="28">
        <f t="shared" si="77"/>
        <v>-1.8472007755269158E-2</v>
      </c>
      <c r="L485" s="28">
        <f t="shared" si="78"/>
        <v>9.6751468684265866E-3</v>
      </c>
      <c r="N485" s="27">
        <f t="shared" ca="1" si="79"/>
        <v>10988.761410158568</v>
      </c>
      <c r="O485" s="27">
        <f t="shared" ca="1" si="80"/>
        <v>9613.9229292864293</v>
      </c>
      <c r="P485" s="27">
        <f t="shared" ca="1" si="81"/>
        <v>6215.8687756572917</v>
      </c>
      <c r="Q485" s="27">
        <f t="shared" ca="1" si="82"/>
        <v>112.73875144431148</v>
      </c>
      <c r="T485" s="25">
        <f t="shared" ca="1" si="83"/>
        <v>9993315.932414148</v>
      </c>
      <c r="V485" s="25">
        <f t="shared" ca="1" si="84"/>
        <v>-6684.0675858519971</v>
      </c>
      <c r="X485" s="14">
        <v>112219.03254687786</v>
      </c>
    </row>
    <row r="486" spans="1:24">
      <c r="A486" s="1">
        <v>482</v>
      </c>
      <c r="B486" s="9">
        <v>39687</v>
      </c>
      <c r="C486" s="37">
        <v>11502.51</v>
      </c>
      <c r="D486" s="38">
        <v>10162.30623</v>
      </c>
      <c r="E486" s="38">
        <v>6431.9458743932937</v>
      </c>
      <c r="F486" s="38">
        <v>116.22127039095962</v>
      </c>
      <c r="I486" s="28">
        <f t="shared" si="75"/>
        <v>7.823606436323632E-3</v>
      </c>
      <c r="J486" s="28">
        <f t="shared" si="76"/>
        <v>1.0274416090084681E-2</v>
      </c>
      <c r="K486" s="28">
        <f t="shared" si="77"/>
        <v>4.9997280141373373E-3</v>
      </c>
      <c r="L486" s="28">
        <f t="shared" si="78"/>
        <v>-1.0151449076184981E-3</v>
      </c>
      <c r="N486" s="27">
        <f t="shared" ca="1" si="79"/>
        <v>10785.696930496832</v>
      </c>
      <c r="O486" s="27">
        <f t="shared" ca="1" si="80"/>
        <v>9455.6820035148448</v>
      </c>
      <c r="P486" s="27">
        <f t="shared" ca="1" si="81"/>
        <v>6136.4330563051381</v>
      </c>
      <c r="Q486" s="27">
        <f t="shared" ca="1" si="82"/>
        <v>110.23146576009354</v>
      </c>
      <c r="T486" s="25">
        <f t="shared" ca="1" si="83"/>
        <v>9812913.1820481978</v>
      </c>
      <c r="V486" s="25">
        <f t="shared" ca="1" si="84"/>
        <v>-187086.81795180216</v>
      </c>
      <c r="X486" s="14">
        <v>113038.45752505399</v>
      </c>
    </row>
    <row r="487" spans="1:24">
      <c r="A487" s="1">
        <v>483</v>
      </c>
      <c r="B487" s="9">
        <v>39688</v>
      </c>
      <c r="C487" s="37">
        <v>11715.18</v>
      </c>
      <c r="D487" s="38">
        <v>10245.715039999999</v>
      </c>
      <c r="E487" s="38">
        <v>6567.7756514058583</v>
      </c>
      <c r="F487" s="38">
        <v>116.70094141303355</v>
      </c>
      <c r="I487" s="28">
        <f t="shared" si="75"/>
        <v>1.8320164335162044E-2</v>
      </c>
      <c r="J487" s="28">
        <f t="shared" si="76"/>
        <v>8.1741657677712135E-3</v>
      </c>
      <c r="K487" s="28">
        <f t="shared" si="77"/>
        <v>2.0898096951340532E-2</v>
      </c>
      <c r="L487" s="28">
        <f t="shared" si="78"/>
        <v>4.1187287073281001E-3</v>
      </c>
      <c r="N487" s="27">
        <f t="shared" ca="1" si="79"/>
        <v>11027.559603954198</v>
      </c>
      <c r="O487" s="27">
        <f t="shared" ca="1" si="80"/>
        <v>9543.6916006983429</v>
      </c>
      <c r="P487" s="27">
        <f t="shared" ca="1" si="81"/>
        <v>6376.9523250772454</v>
      </c>
      <c r="Q487" s="27">
        <f t="shared" ca="1" si="82"/>
        <v>114.03713290449276</v>
      </c>
      <c r="T487" s="25">
        <f t="shared" ca="1" si="83"/>
        <v>10034444.599275261</v>
      </c>
      <c r="V487" s="25">
        <f t="shared" ca="1" si="84"/>
        <v>34444.599275261164</v>
      </c>
      <c r="X487" s="14">
        <v>114854.62915747985</v>
      </c>
    </row>
    <row r="488" spans="1:24">
      <c r="A488" s="1">
        <v>484</v>
      </c>
      <c r="B488" s="9">
        <v>39689</v>
      </c>
      <c r="C488" s="37">
        <v>11543.55</v>
      </c>
      <c r="D488" s="38">
        <v>10279.467420000001</v>
      </c>
      <c r="E488" s="38">
        <v>6598.8517591638456</v>
      </c>
      <c r="F488" s="38">
        <v>120.46507556210838</v>
      </c>
      <c r="I488" s="28">
        <f t="shared" si="75"/>
        <v>-1.4758597335694986E-2</v>
      </c>
      <c r="J488" s="28">
        <f t="shared" si="76"/>
        <v>3.2888779907258628E-3</v>
      </c>
      <c r="K488" s="28">
        <f t="shared" si="77"/>
        <v>4.7204442707493533E-3</v>
      </c>
      <c r="L488" s="28">
        <f t="shared" si="78"/>
        <v>3.1745275352264027E-2</v>
      </c>
      <c r="N488" s="27">
        <f t="shared" ca="1" si="79"/>
        <v>10983.83789820532</v>
      </c>
      <c r="O488" s="27">
        <f t="shared" ca="1" si="80"/>
        <v>9478.6310244196575</v>
      </c>
      <c r="P488" s="27">
        <f t="shared" ca="1" si="81"/>
        <v>6382.9372984205656</v>
      </c>
      <c r="Q488" s="27">
        <f t="shared" ca="1" si="82"/>
        <v>112.23788056529244</v>
      </c>
      <c r="T488" s="25">
        <f t="shared" ca="1" si="83"/>
        <v>9967315.8464644514</v>
      </c>
      <c r="V488" s="25">
        <f t="shared" ca="1" si="84"/>
        <v>-32684.153535548598</v>
      </c>
      <c r="X488" s="14">
        <v>115047.76738174632</v>
      </c>
    </row>
    <row r="489" spans="1:24">
      <c r="A489" s="1">
        <v>485</v>
      </c>
      <c r="B489" s="9">
        <v>39693</v>
      </c>
      <c r="C489" s="37">
        <v>11516.92</v>
      </c>
      <c r="D489" s="38">
        <v>10040.25641</v>
      </c>
      <c r="E489" s="38">
        <v>6590.7797299259473</v>
      </c>
      <c r="F489" s="38">
        <v>115.85327085630281</v>
      </c>
      <c r="I489" s="28">
        <f t="shared" si="75"/>
        <v>-2.3095810135177986E-3</v>
      </c>
      <c r="J489" s="28">
        <f t="shared" si="76"/>
        <v>-2.3545798509879728E-2</v>
      </c>
      <c r="K489" s="28">
        <f t="shared" si="77"/>
        <v>-1.223996326560887E-3</v>
      </c>
      <c r="L489" s="28">
        <f t="shared" si="78"/>
        <v>-3.903539753615215E-2</v>
      </c>
      <c r="N489" s="27">
        <f t="shared" ca="1" si="79"/>
        <v>10997.172525270527</v>
      </c>
      <c r="O489" s="27">
        <f t="shared" ca="1" si="80"/>
        <v>9587.0292160383797</v>
      </c>
      <c r="P489" s="27">
        <f t="shared" ca="1" si="81"/>
        <v>6108.0903755024265</v>
      </c>
      <c r="Q489" s="27">
        <f t="shared" ca="1" si="82"/>
        <v>111.2218572113149</v>
      </c>
      <c r="T489" s="25">
        <f t="shared" ca="1" si="83"/>
        <v>9943691.5065819584</v>
      </c>
      <c r="V489" s="25">
        <f t="shared" ca="1" si="84"/>
        <v>-56308.493418041617</v>
      </c>
      <c r="X489" s="14">
        <v>115069.90814580582</v>
      </c>
    </row>
    <row r="490" spans="1:24">
      <c r="A490" s="1">
        <v>486</v>
      </c>
      <c r="B490" s="9">
        <v>39694</v>
      </c>
      <c r="C490" s="37">
        <v>11532.88</v>
      </c>
      <c r="D490" s="38">
        <v>9769.6670799999993</v>
      </c>
      <c r="E490" s="38">
        <v>6430.2053209947953</v>
      </c>
      <c r="F490" s="38">
        <v>117.03024993083095</v>
      </c>
      <c r="I490" s="28">
        <f t="shared" si="75"/>
        <v>1.3848278553916721E-3</v>
      </c>
      <c r="J490" s="28">
        <f t="shared" si="76"/>
        <v>-2.7320263050061439E-2</v>
      </c>
      <c r="K490" s="28">
        <f t="shared" si="77"/>
        <v>-2.4665192220798552E-2</v>
      </c>
      <c r="L490" s="28">
        <f t="shared" si="78"/>
        <v>1.0107963771934462E-2</v>
      </c>
      <c r="N490" s="27">
        <f t="shared" ca="1" si="79"/>
        <v>11045.762281700268</v>
      </c>
      <c r="O490" s="27">
        <f t="shared" ca="1" si="80"/>
        <v>9746.1100908551944</v>
      </c>
      <c r="P490" s="27">
        <f t="shared" ca="1" si="81"/>
        <v>6243.6151296086909</v>
      </c>
      <c r="Q490" s="27">
        <f t="shared" ca="1" si="82"/>
        <v>114.6320809858417</v>
      </c>
      <c r="T490" s="25">
        <f t="shared" ca="1" si="83"/>
        <v>10093348.985763855</v>
      </c>
      <c r="V490" s="25">
        <f t="shared" ca="1" si="84"/>
        <v>93348.985763855278</v>
      </c>
      <c r="X490" s="14">
        <v>115547.26798102632</v>
      </c>
    </row>
    <row r="491" spans="1:24">
      <c r="A491" s="1">
        <v>487</v>
      </c>
      <c r="B491" s="9">
        <v>39695</v>
      </c>
      <c r="C491" s="37">
        <v>11188.23</v>
      </c>
      <c r="D491" s="38">
        <v>9503.2498300000007</v>
      </c>
      <c r="E491" s="38">
        <v>6189.2579810181196</v>
      </c>
      <c r="F491" s="38">
        <v>116.17781478397632</v>
      </c>
      <c r="I491" s="28">
        <f t="shared" si="75"/>
        <v>-3.0339753395830209E-2</v>
      </c>
      <c r="J491" s="28">
        <f t="shared" si="76"/>
        <v>-2.7648562255659301E-2</v>
      </c>
      <c r="K491" s="28">
        <f t="shared" si="77"/>
        <v>-3.8191263779960342E-2</v>
      </c>
      <c r="L491" s="28">
        <f t="shared" si="78"/>
        <v>-7.3105442932242517E-3</v>
      </c>
      <c r="N491" s="27">
        <f t="shared" ca="1" si="79"/>
        <v>11024.80836028635</v>
      </c>
      <c r="O491" s="27">
        <f t="shared" ca="1" si="80"/>
        <v>9613.8894463062607</v>
      </c>
      <c r="P491" s="27">
        <f t="shared" ca="1" si="81"/>
        <v>6341.4962724006173</v>
      </c>
      <c r="Q491" s="27">
        <f t="shared" ca="1" si="82"/>
        <v>112.13704587293478</v>
      </c>
      <c r="T491" s="25">
        <f t="shared" ca="1" si="83"/>
        <v>10015981.974209169</v>
      </c>
      <c r="V491" s="25">
        <f t="shared" ca="1" si="84"/>
        <v>15981.974209168926</v>
      </c>
      <c r="X491" s="14">
        <v>116062.07204763405</v>
      </c>
    </row>
    <row r="492" spans="1:24">
      <c r="A492" s="1">
        <v>488</v>
      </c>
      <c r="B492" s="9">
        <v>39696</v>
      </c>
      <c r="C492" s="37">
        <v>11220.96</v>
      </c>
      <c r="D492" s="38">
        <v>9259.268759999999</v>
      </c>
      <c r="E492" s="38">
        <v>5986.676176890157</v>
      </c>
      <c r="F492" s="38">
        <v>114.72268670737435</v>
      </c>
      <c r="I492" s="28">
        <f t="shared" si="75"/>
        <v>2.9211250628582239E-3</v>
      </c>
      <c r="J492" s="28">
        <f t="shared" si="76"/>
        <v>-2.6008749538982329E-2</v>
      </c>
      <c r="K492" s="28">
        <f t="shared" si="77"/>
        <v>-3.327884291315434E-2</v>
      </c>
      <c r="L492" s="28">
        <f t="shared" si="78"/>
        <v>-1.260410723276603E-2</v>
      </c>
      <c r="N492" s="27">
        <f t="shared" ca="1" si="79"/>
        <v>10930.616620437537</v>
      </c>
      <c r="O492" s="27">
        <f t="shared" ca="1" si="80"/>
        <v>9756.5340637392728</v>
      </c>
      <c r="P492" s="27">
        <f t="shared" ca="1" si="81"/>
        <v>6370.2468369175785</v>
      </c>
      <c r="Q492" s="27">
        <f t="shared" ca="1" si="82"/>
        <v>109.52037327269525</v>
      </c>
      <c r="T492" s="25">
        <f t="shared" ca="1" si="83"/>
        <v>9984626.9831329901</v>
      </c>
      <c r="V492" s="25">
        <f t="shared" ca="1" si="84"/>
        <v>-15373.016867009923</v>
      </c>
      <c r="X492" s="14">
        <v>118227.6492648907</v>
      </c>
    </row>
    <row r="493" spans="1:24">
      <c r="A493" s="1">
        <v>489</v>
      </c>
      <c r="B493" s="9">
        <v>39699</v>
      </c>
      <c r="C493" s="37">
        <v>11510.74</v>
      </c>
      <c r="D493" s="38">
        <v>9608.9070900000006</v>
      </c>
      <c r="E493" s="38">
        <v>6165.9042477624671</v>
      </c>
      <c r="F493" s="38">
        <v>116.92562748911735</v>
      </c>
      <c r="I493" s="28">
        <f t="shared" si="75"/>
        <v>2.5497054655523665E-2</v>
      </c>
      <c r="J493" s="28">
        <f t="shared" si="76"/>
        <v>3.7065412250738311E-2</v>
      </c>
      <c r="K493" s="28">
        <f t="shared" si="77"/>
        <v>2.9498437502612652E-2</v>
      </c>
      <c r="L493" s="28">
        <f t="shared" si="78"/>
        <v>1.9020273920764611E-2</v>
      </c>
      <c r="N493" s="27">
        <f t="shared" ca="1" si="79"/>
        <v>11027.743304662823</v>
      </c>
      <c r="O493" s="27">
        <f t="shared" ca="1" si="80"/>
        <v>9595.3316365123028</v>
      </c>
      <c r="P493" s="27">
        <f t="shared" ca="1" si="81"/>
        <v>6344.0388715067793</v>
      </c>
      <c r="Q493" s="27">
        <f t="shared" ca="1" si="82"/>
        <v>111.49067062674629</v>
      </c>
      <c r="T493" s="25">
        <f t="shared" ca="1" si="83"/>
        <v>10000199.477109129</v>
      </c>
      <c r="V493" s="25">
        <f t="shared" ca="1" si="84"/>
        <v>199.4771091286093</v>
      </c>
      <c r="X493" s="14">
        <v>120703.66791280918</v>
      </c>
    </row>
    <row r="494" spans="1:24">
      <c r="A494" s="1">
        <v>490</v>
      </c>
      <c r="B494" s="9">
        <v>39700</v>
      </c>
      <c r="C494" s="37">
        <v>11230.73</v>
      </c>
      <c r="D494" s="38">
        <v>9553.6599600000009</v>
      </c>
      <c r="E494" s="38">
        <v>6068.3250883392229</v>
      </c>
      <c r="F494" s="38">
        <v>115.39782244556115</v>
      </c>
      <c r="I494" s="28">
        <f t="shared" si="75"/>
        <v>-2.4626741497210225E-2</v>
      </c>
      <c r="J494" s="28">
        <f t="shared" si="76"/>
        <v>-5.766167229087172E-3</v>
      </c>
      <c r="K494" s="28">
        <f t="shared" si="77"/>
        <v>-1.5952166008025136E-2</v>
      </c>
      <c r="L494" s="28">
        <f t="shared" si="78"/>
        <v>-1.3152585919078669E-2</v>
      </c>
      <c r="N494" s="27">
        <f t="shared" ca="1" si="79"/>
        <v>10847.114486024104</v>
      </c>
      <c r="O494" s="27">
        <f t="shared" ca="1" si="80"/>
        <v>9329.1083653296446</v>
      </c>
      <c r="P494" s="27">
        <f t="shared" ca="1" si="81"/>
        <v>6124.1503982569866</v>
      </c>
      <c r="Q494" s="27">
        <f t="shared" ca="1" si="82"/>
        <v>110.42885300944282</v>
      </c>
      <c r="T494" s="25">
        <f t="shared" ca="1" si="83"/>
        <v>9797165.598987326</v>
      </c>
      <c r="V494" s="25">
        <f t="shared" ca="1" si="84"/>
        <v>-202834.40101267397</v>
      </c>
      <c r="X494" s="14">
        <v>121407.65016204678</v>
      </c>
    </row>
    <row r="495" spans="1:24">
      <c r="A495" s="1">
        <v>491</v>
      </c>
      <c r="B495" s="9">
        <v>39701</v>
      </c>
      <c r="C495" s="37">
        <v>11268.92</v>
      </c>
      <c r="D495" s="38">
        <v>9418.7542400000002</v>
      </c>
      <c r="E495" s="38">
        <v>6021.4506606691029</v>
      </c>
      <c r="F495" s="38">
        <v>114.78830420230568</v>
      </c>
      <c r="I495" s="28">
        <f t="shared" si="75"/>
        <v>3.3947227335160315E-3</v>
      </c>
      <c r="J495" s="28">
        <f t="shared" si="76"/>
        <v>-1.4221489400582264E-2</v>
      </c>
      <c r="K495" s="28">
        <f t="shared" si="77"/>
        <v>-7.7544304423229045E-3</v>
      </c>
      <c r="L495" s="28">
        <f t="shared" si="78"/>
        <v>-5.2958853489319929E-3</v>
      </c>
      <c r="N495" s="27">
        <f t="shared" ca="1" si="79"/>
        <v>10768.192155712237</v>
      </c>
      <c r="O495" s="27">
        <f t="shared" ca="1" si="80"/>
        <v>9704.654796106608</v>
      </c>
      <c r="P495" s="27">
        <f t="shared" ca="1" si="81"/>
        <v>6153.0268984141312</v>
      </c>
      <c r="Q495" s="27">
        <f t="shared" ca="1" si="82"/>
        <v>111.45172511459504</v>
      </c>
      <c r="T495" s="25">
        <f t="shared" ca="1" si="83"/>
        <v>9908673.1878592502</v>
      </c>
      <c r="V495" s="25">
        <f t="shared" ca="1" si="84"/>
        <v>-91326.812140749767</v>
      </c>
      <c r="X495" s="14">
        <v>123761.00123924017</v>
      </c>
    </row>
    <row r="496" spans="1:24">
      <c r="A496" s="1">
        <v>492</v>
      </c>
      <c r="B496" s="9">
        <v>39702</v>
      </c>
      <c r="C496" s="37">
        <v>11433.71</v>
      </c>
      <c r="D496" s="38">
        <v>9310.9228799999983</v>
      </c>
      <c r="E496" s="38">
        <v>5916.276803118908</v>
      </c>
      <c r="F496" s="38">
        <v>113.6171610965077</v>
      </c>
      <c r="I496" s="28">
        <f t="shared" si="75"/>
        <v>1.4517515744007118E-2</v>
      </c>
      <c r="J496" s="28">
        <f t="shared" si="76"/>
        <v>-1.1514619362773038E-2</v>
      </c>
      <c r="K496" s="28">
        <f t="shared" si="77"/>
        <v>-1.7620871172638441E-2</v>
      </c>
      <c r="L496" s="28">
        <f t="shared" si="78"/>
        <v>-1.0255038056395237E-2</v>
      </c>
      <c r="N496" s="27">
        <f t="shared" ca="1" si="79"/>
        <v>10993.199507497266</v>
      </c>
      <c r="O496" s="27">
        <f t="shared" ca="1" si="80"/>
        <v>9527.1477664100221</v>
      </c>
      <c r="P496" s="27">
        <f t="shared" ca="1" si="81"/>
        <v>6241.8916571757254</v>
      </c>
      <c r="Q496" s="27">
        <f t="shared" ca="1" si="82"/>
        <v>113.44265428296244</v>
      </c>
      <c r="T496" s="25">
        <f t="shared" ca="1" si="83"/>
        <v>9984484.1012592539</v>
      </c>
      <c r="V496" s="25">
        <f t="shared" ca="1" si="84"/>
        <v>-15515.898740746081</v>
      </c>
      <c r="X496" s="14">
        <v>123988.94613647275</v>
      </c>
    </row>
    <row r="497" spans="1:24">
      <c r="A497" s="1">
        <v>493</v>
      </c>
      <c r="B497" s="9">
        <v>39703</v>
      </c>
      <c r="C497" s="37">
        <v>11421.99</v>
      </c>
      <c r="D497" s="38">
        <v>9673.6845300000004</v>
      </c>
      <c r="E497" s="38">
        <v>6142.1321236178046</v>
      </c>
      <c r="F497" s="38">
        <v>113.84807530990773</v>
      </c>
      <c r="I497" s="28">
        <f t="shared" si="75"/>
        <v>-1.0255648286634194E-3</v>
      </c>
      <c r="J497" s="28">
        <f t="shared" si="76"/>
        <v>3.822104958448623E-2</v>
      </c>
      <c r="K497" s="28">
        <f t="shared" si="77"/>
        <v>3.746460063308113E-2</v>
      </c>
      <c r="L497" s="28">
        <f t="shared" si="78"/>
        <v>2.0303260082413402E-3</v>
      </c>
      <c r="N497" s="27">
        <f t="shared" ca="1" si="79"/>
        <v>11038.078550081977</v>
      </c>
      <c r="O497" s="27">
        <f t="shared" ca="1" si="80"/>
        <v>9687.6738727880202</v>
      </c>
      <c r="P497" s="27">
        <f t="shared" ca="1" si="81"/>
        <v>6173.950865164391</v>
      </c>
      <c r="Q497" s="27">
        <f t="shared" ca="1" si="82"/>
        <v>111.27509348085908</v>
      </c>
      <c r="T497" s="25">
        <f t="shared" ca="1" si="83"/>
        <v>10001554.143022368</v>
      </c>
      <c r="V497" s="25">
        <f t="shared" ca="1" si="84"/>
        <v>1554.1430223677307</v>
      </c>
      <c r="X497" s="14">
        <v>128207.14238042384</v>
      </c>
    </row>
    <row r="498" spans="1:24">
      <c r="A498" s="1">
        <v>494</v>
      </c>
      <c r="B498" s="9">
        <v>39707</v>
      </c>
      <c r="C498" s="37">
        <v>11059.02</v>
      </c>
      <c r="D498" s="38">
        <v>8916.9220800000003</v>
      </c>
      <c r="E498" s="38">
        <v>5770.7186220528019</v>
      </c>
      <c r="F498" s="38">
        <v>110.68471732290971</v>
      </c>
      <c r="I498" s="28">
        <f t="shared" si="75"/>
        <v>-3.2294060165506261E-2</v>
      </c>
      <c r="J498" s="28">
        <f t="shared" si="76"/>
        <v>-8.1458435030531171E-2</v>
      </c>
      <c r="K498" s="28">
        <f t="shared" si="77"/>
        <v>-6.2375315969929034E-2</v>
      </c>
      <c r="L498" s="28">
        <f t="shared" si="78"/>
        <v>-2.8179111589153837E-2</v>
      </c>
      <c r="N498" s="27">
        <f t="shared" ca="1" si="79"/>
        <v>10880.954831540297</v>
      </c>
      <c r="O498" s="27">
        <f t="shared" ca="1" si="80"/>
        <v>9640.4937773449037</v>
      </c>
      <c r="P498" s="27">
        <f t="shared" ca="1" si="81"/>
        <v>6027.6766733500162</v>
      </c>
      <c r="Q498" s="27">
        <f t="shared" ca="1" si="82"/>
        <v>114.83222636036312</v>
      </c>
      <c r="T498" s="25">
        <f t="shared" ca="1" si="83"/>
        <v>9969254.9255393874</v>
      </c>
      <c r="V498" s="25">
        <f t="shared" ca="1" si="84"/>
        <v>-30745.07446061261</v>
      </c>
      <c r="X498" s="14">
        <v>130520.83343200386</v>
      </c>
    </row>
    <row r="499" spans="1:24">
      <c r="A499" s="1">
        <v>495</v>
      </c>
      <c r="B499" s="9">
        <v>39708</v>
      </c>
      <c r="C499" s="37">
        <v>10609.66</v>
      </c>
      <c r="D499" s="38">
        <v>8820.2142000000003</v>
      </c>
      <c r="E499" s="38">
        <v>5677.1359636673287</v>
      </c>
      <c r="F499" s="38">
        <v>112.16983293556086</v>
      </c>
      <c r="I499" s="28">
        <f t="shared" si="75"/>
        <v>-4.14814777012745E-2</v>
      </c>
      <c r="J499" s="28">
        <f t="shared" si="76"/>
        <v>-1.0904673311549281E-2</v>
      </c>
      <c r="K499" s="28">
        <f t="shared" si="77"/>
        <v>-1.6349743498086378E-2</v>
      </c>
      <c r="L499" s="28">
        <f t="shared" si="78"/>
        <v>1.3328312982714667E-2</v>
      </c>
      <c r="N499" s="27">
        <f t="shared" ca="1" si="79"/>
        <v>10768.356559961965</v>
      </c>
      <c r="O499" s="27">
        <f t="shared" ca="1" si="80"/>
        <v>9633.6902011004568</v>
      </c>
      <c r="P499" s="27">
        <f t="shared" ca="1" si="81"/>
        <v>6079.6341403617835</v>
      </c>
      <c r="Q499" s="27">
        <f t="shared" ca="1" si="82"/>
        <v>113.3395530799088</v>
      </c>
      <c r="T499" s="25">
        <f t="shared" ca="1" si="83"/>
        <v>9908184.9599641711</v>
      </c>
      <c r="V499" s="25">
        <f t="shared" ca="1" si="84"/>
        <v>-91815.040035828948</v>
      </c>
      <c r="X499" s="14">
        <v>130641.5686140582</v>
      </c>
    </row>
    <row r="500" spans="1:24">
      <c r="A500" s="1">
        <v>496</v>
      </c>
      <c r="B500" s="9">
        <v>39709</v>
      </c>
      <c r="C500" s="37">
        <v>11019.69</v>
      </c>
      <c r="D500" s="38">
        <v>8878.1839999999993</v>
      </c>
      <c r="E500" s="38">
        <v>5689.8504887866593</v>
      </c>
      <c r="F500" s="38">
        <v>109.54710144927536</v>
      </c>
      <c r="I500" s="28">
        <f t="shared" si="75"/>
        <v>3.7918765785494551E-2</v>
      </c>
      <c r="J500" s="28">
        <f t="shared" si="76"/>
        <v>6.5508761475839648E-3</v>
      </c>
      <c r="K500" s="28">
        <f t="shared" si="77"/>
        <v>2.2370978403312282E-3</v>
      </c>
      <c r="L500" s="28">
        <f t="shared" si="78"/>
        <v>-2.3659481279757012E-2</v>
      </c>
      <c r="N500" s="27">
        <f t="shared" ca="1" si="79"/>
        <v>11021.836121621202</v>
      </c>
      <c r="O500" s="27">
        <f t="shared" ca="1" si="80"/>
        <v>9825.0444833196998</v>
      </c>
      <c r="P500" s="27">
        <f t="shared" ca="1" si="81"/>
        <v>6121.4774822840718</v>
      </c>
      <c r="Q500" s="27">
        <f t="shared" ca="1" si="82"/>
        <v>113.41989690306814</v>
      </c>
      <c r="T500" s="25">
        <f t="shared" ca="1" si="83"/>
        <v>10068146.462100636</v>
      </c>
      <c r="V500" s="25">
        <f t="shared" ca="1" si="84"/>
        <v>68146.462100636214</v>
      </c>
      <c r="X500" s="14">
        <v>131343.73394872434</v>
      </c>
    </row>
    <row r="501" spans="1:24">
      <c r="A501" s="1">
        <v>497</v>
      </c>
      <c r="B501" s="9">
        <v>39710</v>
      </c>
      <c r="C501" s="37">
        <v>11388.44</v>
      </c>
      <c r="D501" s="38">
        <v>9734.0195100000001</v>
      </c>
      <c r="E501" s="38">
        <v>6230.0057620282332</v>
      </c>
      <c r="F501" s="38">
        <v>111.6185393258427</v>
      </c>
      <c r="I501" s="28">
        <f t="shared" si="75"/>
        <v>3.2915133173732805E-2</v>
      </c>
      <c r="J501" s="28">
        <f t="shared" si="76"/>
        <v>9.2029884138350379E-2</v>
      </c>
      <c r="K501" s="28">
        <f t="shared" si="77"/>
        <v>9.069328602597708E-2</v>
      </c>
      <c r="L501" s="28">
        <f t="shared" si="78"/>
        <v>1.8732552151573222E-2</v>
      </c>
      <c r="N501" s="27">
        <f t="shared" ca="1" si="79"/>
        <v>10849.439055366269</v>
      </c>
      <c r="O501" s="27">
        <f t="shared" ca="1" si="80"/>
        <v>9480.7784202426519</v>
      </c>
      <c r="P501" s="27">
        <f t="shared" ca="1" si="81"/>
        <v>6274.0375343079686</v>
      </c>
      <c r="Q501" s="27">
        <f t="shared" ca="1" si="82"/>
        <v>114.59772104944427</v>
      </c>
      <c r="T501" s="25">
        <f t="shared" ca="1" si="83"/>
        <v>9943482.0071627125</v>
      </c>
      <c r="V501" s="25">
        <f t="shared" ca="1" si="84"/>
        <v>-56517.992837287486</v>
      </c>
      <c r="X501" s="14">
        <v>160632.07778955996</v>
      </c>
    </row>
    <row r="502" spans="1:24">
      <c r="A502" s="1">
        <v>498</v>
      </c>
      <c r="B502" s="9">
        <v>39713</v>
      </c>
      <c r="C502" s="37">
        <v>11015.69</v>
      </c>
      <c r="D502" s="38">
        <v>9656.2608300000011</v>
      </c>
      <c r="E502" s="38">
        <v>6181.9525761124123</v>
      </c>
      <c r="F502" s="38">
        <v>113.22897546356995</v>
      </c>
      <c r="I502" s="28">
        <f t="shared" si="75"/>
        <v>-3.3278185686912543E-2</v>
      </c>
      <c r="J502" s="28">
        <f t="shared" si="76"/>
        <v>-8.0204200732387765E-3</v>
      </c>
      <c r="K502" s="28">
        <f t="shared" si="77"/>
        <v>-7.7430852881819256E-3</v>
      </c>
      <c r="L502" s="28">
        <f t="shared" si="78"/>
        <v>1.4324940866051966E-2</v>
      </c>
      <c r="N502" s="27">
        <f t="shared" ca="1" si="79"/>
        <v>10906.678813998986</v>
      </c>
      <c r="O502" s="27">
        <f t="shared" ca="1" si="80"/>
        <v>9317.3985401964819</v>
      </c>
      <c r="P502" s="27">
        <f t="shared" ca="1" si="81"/>
        <v>6117.4671782053201</v>
      </c>
      <c r="Q502" s="27">
        <f t="shared" ca="1" si="82"/>
        <v>112.16873273583087</v>
      </c>
      <c r="T502" s="25">
        <f t="shared" ca="1" si="83"/>
        <v>9844887.6580314189</v>
      </c>
      <c r="V502" s="25">
        <f t="shared" ca="1" si="84"/>
        <v>-155112.34196858108</v>
      </c>
      <c r="X502" s="14">
        <v>163620.56420998648</v>
      </c>
    </row>
    <row r="503" spans="1:24" ht="15" thickBot="1">
      <c r="A503" s="1">
        <v>499</v>
      </c>
      <c r="B503" s="9">
        <v>39715</v>
      </c>
      <c r="C503" s="37">
        <v>10825.17</v>
      </c>
      <c r="D503" s="38">
        <v>9438.5798800000011</v>
      </c>
      <c r="E503" s="38">
        <v>6033.9345945153254</v>
      </c>
      <c r="F503" s="38">
        <v>114.26039800056589</v>
      </c>
      <c r="I503" s="28">
        <f t="shared" si="75"/>
        <v>-1.7446641991175835E-2</v>
      </c>
      <c r="J503" s="28">
        <f t="shared" si="76"/>
        <v>-2.2800963250752947E-2</v>
      </c>
      <c r="K503" s="28">
        <f t="shared" si="77"/>
        <v>-2.4234871207110962E-2</v>
      </c>
      <c r="L503" s="28">
        <f t="shared" si="78"/>
        <v>9.0679365711529031E-3</v>
      </c>
      <c r="N503" s="27">
        <f t="shared" ca="1" si="79"/>
        <v>11327.838505775697</v>
      </c>
      <c r="O503" s="27">
        <f t="shared" ca="1" si="80"/>
        <v>9394.5037392364811</v>
      </c>
      <c r="P503" s="27">
        <f t="shared" ca="1" si="81"/>
        <v>6171.896265964765</v>
      </c>
      <c r="Q503" s="27">
        <f t="shared" ca="1" si="82"/>
        <v>114.46809353670518</v>
      </c>
      <c r="T503" s="25">
        <f t="shared" ca="1" si="83"/>
        <v>10071364.887704488</v>
      </c>
      <c r="V503" s="25">
        <f t="shared" ca="1" si="84"/>
        <v>71364.88770448789</v>
      </c>
      <c r="X503" s="14">
        <v>190765.16526514292</v>
      </c>
    </row>
    <row r="504" spans="1:24" ht="15" thickBot="1">
      <c r="A504" s="39">
        <v>500</v>
      </c>
      <c r="B504" s="40">
        <v>39716</v>
      </c>
      <c r="C504" s="41">
        <v>11022.06</v>
      </c>
      <c r="D504" s="42">
        <v>9599.8984</v>
      </c>
      <c r="E504" s="42">
        <v>6200.3960686519004</v>
      </c>
      <c r="F504" s="43">
        <v>112.82211990227401</v>
      </c>
      <c r="I504" s="28">
        <f t="shared" si="75"/>
        <v>1.8024740951133454E-2</v>
      </c>
      <c r="J504" s="28">
        <f t="shared" si="76"/>
        <v>1.6946982684418164E-2</v>
      </c>
      <c r="K504" s="28">
        <f t="shared" si="77"/>
        <v>2.7213870863516475E-2</v>
      </c>
      <c r="L504" s="28">
        <f t="shared" si="78"/>
        <v>-1.2667618315350571E-2</v>
      </c>
      <c r="N504" s="27">
        <f t="shared" ca="1" si="79"/>
        <v>10922.930539055724</v>
      </c>
      <c r="O504" s="27">
        <f t="shared" ca="1" si="80"/>
        <v>9484.0695160268242</v>
      </c>
      <c r="P504" s="27">
        <f t="shared" ca="1" si="81"/>
        <v>6258.4170269938486</v>
      </c>
      <c r="Q504" s="27">
        <f t="shared" ca="1" si="82"/>
        <v>113.66556058584838</v>
      </c>
      <c r="T504" s="25">
        <f t="shared" ca="1" si="83"/>
        <v>9952137.4714053459</v>
      </c>
      <c r="V504" s="25">
        <f t="shared" ca="1" si="84"/>
        <v>-47862.528594654053</v>
      </c>
      <c r="X504" s="14">
        <v>203039.05918891542</v>
      </c>
    </row>
  </sheetData>
  <sortState xmlns:xlrd2="http://schemas.microsoft.com/office/spreadsheetml/2017/richdata2" ref="X5:X504">
    <sortCondition ref="X5:X504"/>
  </sortState>
  <mergeCells count="1">
    <mergeCell ref="N1:Q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306A-C48B-47DC-9534-C789D693051F}">
  <dimension ref="A1:L615"/>
  <sheetViews>
    <sheetView topLeftCell="A593" workbookViewId="0">
      <selection activeCell="E597" sqref="E597"/>
    </sheetView>
  </sheetViews>
  <sheetFormatPr defaultColWidth="11.453125" defaultRowHeight="14.5"/>
  <cols>
    <col min="7" max="7" width="17.90625" bestFit="1" customWidth="1"/>
  </cols>
  <sheetData>
    <row r="1" spans="1:12">
      <c r="C1" s="4"/>
      <c r="D1" s="35" t="s">
        <v>1</v>
      </c>
      <c r="E1" s="35" t="s">
        <v>1</v>
      </c>
      <c r="F1" s="35" t="s">
        <v>1</v>
      </c>
      <c r="G1" t="s">
        <v>49</v>
      </c>
      <c r="H1" t="s">
        <v>4</v>
      </c>
      <c r="I1" t="s">
        <v>13</v>
      </c>
      <c r="J1" t="s">
        <v>20</v>
      </c>
      <c r="K1" t="s">
        <v>15</v>
      </c>
    </row>
    <row r="2" spans="1:12">
      <c r="A2" s="26" t="s">
        <v>2</v>
      </c>
      <c r="B2" s="4" t="s">
        <v>3</v>
      </c>
      <c r="C2" s="4" t="s">
        <v>4</v>
      </c>
      <c r="D2" s="35" t="s">
        <v>7</v>
      </c>
      <c r="E2" s="35" t="s">
        <v>8</v>
      </c>
      <c r="F2" s="35" t="s">
        <v>10</v>
      </c>
      <c r="G2" t="s">
        <v>21</v>
      </c>
      <c r="H2" s="14">
        <v>4000000</v>
      </c>
      <c r="I2" s="14">
        <v>3000000</v>
      </c>
      <c r="J2" s="14">
        <v>1000000</v>
      </c>
      <c r="K2" s="14">
        <v>2000000</v>
      </c>
      <c r="L2" s="25">
        <f>SUM(H2:K2)</f>
        <v>10000000</v>
      </c>
    </row>
    <row r="3" spans="1:12">
      <c r="A3" s="1">
        <v>0</v>
      </c>
      <c r="B3" s="9">
        <v>38936</v>
      </c>
      <c r="C3" s="37">
        <v>11219.38</v>
      </c>
      <c r="D3" s="38">
        <v>11131.84224</v>
      </c>
      <c r="E3" s="38">
        <v>6373.8940329218112</v>
      </c>
      <c r="F3" s="38">
        <v>131.77443478260869</v>
      </c>
      <c r="G3" s="25">
        <f t="shared" ref="G3:G66" si="0">C3/$C$503*H$2+D3/$D$503*I$2+E3/$E$503*J$2+F3/$F$503*K$2</f>
        <v>10914296.45914194</v>
      </c>
    </row>
    <row r="4" spans="1:12">
      <c r="A4" s="1">
        <v>1</v>
      </c>
      <c r="B4" s="9">
        <v>38937</v>
      </c>
      <c r="C4" s="37">
        <v>11173.59</v>
      </c>
      <c r="D4" s="38">
        <v>11096.28032</v>
      </c>
      <c r="E4" s="38">
        <v>6378.1615098215425</v>
      </c>
      <c r="F4" s="38">
        <v>134.38182134167536</v>
      </c>
      <c r="G4" s="25">
        <f t="shared" si="0"/>
        <v>10933475.11123858</v>
      </c>
    </row>
    <row r="5" spans="1:12">
      <c r="A5" s="1">
        <v>2</v>
      </c>
      <c r="B5" s="9">
        <v>38938</v>
      </c>
      <c r="C5" s="37">
        <v>11076.18</v>
      </c>
      <c r="D5" s="38">
        <v>11185.3503</v>
      </c>
      <c r="E5" s="38">
        <v>6474.040195825818</v>
      </c>
      <c r="F5" s="38">
        <v>135.94330120691151</v>
      </c>
      <c r="G5" s="25">
        <f t="shared" si="0"/>
        <v>10969102.552560052</v>
      </c>
    </row>
    <row r="6" spans="1:12">
      <c r="A6" s="1">
        <v>3</v>
      </c>
      <c r="B6" s="9">
        <v>38939</v>
      </c>
      <c r="C6" s="37">
        <v>11124.37</v>
      </c>
      <c r="D6" s="38">
        <v>11016.708119999999</v>
      </c>
      <c r="E6" s="38">
        <v>6357.4859478794069</v>
      </c>
      <c r="F6" s="38">
        <v>135.43809028680357</v>
      </c>
      <c r="G6" s="25">
        <f t="shared" si="0"/>
        <v>10906136.121803351</v>
      </c>
    </row>
    <row r="7" spans="1:12">
      <c r="A7" s="1">
        <v>4</v>
      </c>
      <c r="B7" s="9">
        <v>38940</v>
      </c>
      <c r="C7" s="37">
        <v>11088.02</v>
      </c>
      <c r="D7" s="38">
        <v>11040.729700000002</v>
      </c>
      <c r="E7" s="38">
        <v>6364.7644580620454</v>
      </c>
      <c r="F7" s="38">
        <v>134.10028431119153</v>
      </c>
      <c r="G7" s="25">
        <f t="shared" si="0"/>
        <v>10877909.783284631</v>
      </c>
    </row>
    <row r="8" spans="1:12">
      <c r="A8" s="1">
        <v>5</v>
      </c>
      <c r="B8" s="9">
        <v>38943</v>
      </c>
      <c r="C8" s="37">
        <v>11097.87</v>
      </c>
      <c r="D8" s="38">
        <v>11109.504069999999</v>
      </c>
      <c r="E8" s="38">
        <v>6431.6681534344343</v>
      </c>
      <c r="F8" s="38">
        <v>136.17097466723916</v>
      </c>
      <c r="G8" s="25">
        <f t="shared" si="0"/>
        <v>10950474.049857348</v>
      </c>
    </row>
    <row r="9" spans="1:12">
      <c r="A9" s="1">
        <v>6</v>
      </c>
      <c r="B9" s="9">
        <v>38944</v>
      </c>
      <c r="C9" s="37">
        <v>11230.26</v>
      </c>
      <c r="D9" s="38">
        <v>11179.469449999999</v>
      </c>
      <c r="E9" s="38">
        <v>6540.9462915601025</v>
      </c>
      <c r="F9" s="38">
        <v>136.32296155835201</v>
      </c>
      <c r="G9" s="25">
        <f t="shared" si="0"/>
        <v>11040702.582649808</v>
      </c>
    </row>
    <row r="10" spans="1:12">
      <c r="A10" s="1">
        <v>7</v>
      </c>
      <c r="B10" s="9">
        <v>38945</v>
      </c>
      <c r="C10" s="37">
        <v>11327.12</v>
      </c>
      <c r="D10" s="38">
        <v>11203.54</v>
      </c>
      <c r="E10" s="38">
        <v>6603.2262210796916</v>
      </c>
      <c r="F10" s="38">
        <v>138.80946622905512</v>
      </c>
      <c r="G10" s="25">
        <f t="shared" si="0"/>
        <v>11137498.859750226</v>
      </c>
    </row>
    <row r="11" spans="1:12">
      <c r="A11" s="1">
        <v>8</v>
      </c>
      <c r="B11" s="9">
        <v>38946</v>
      </c>
      <c r="C11" s="37">
        <v>11334.96</v>
      </c>
      <c r="D11" s="38">
        <v>11170.04724</v>
      </c>
      <c r="E11" s="38">
        <v>6617.1575562700973</v>
      </c>
      <c r="F11" s="38">
        <v>138.67255258374448</v>
      </c>
      <c r="G11" s="25">
        <f t="shared" si="0"/>
        <v>11129697.239699865</v>
      </c>
    </row>
    <row r="12" spans="1:12">
      <c r="A12" s="1">
        <v>9</v>
      </c>
      <c r="B12" s="9">
        <v>38947</v>
      </c>
      <c r="C12" s="37">
        <v>11381.47</v>
      </c>
      <c r="D12" s="38">
        <v>11096.030639999999</v>
      </c>
      <c r="E12" s="38">
        <v>6584.2179487179483</v>
      </c>
      <c r="F12" s="38">
        <v>139.15655780196994</v>
      </c>
      <c r="G12" s="25">
        <f t="shared" si="0"/>
        <v>11126713.154586382</v>
      </c>
    </row>
    <row r="13" spans="1:12">
      <c r="A13" s="1">
        <v>10</v>
      </c>
      <c r="B13" s="9">
        <v>38950</v>
      </c>
      <c r="C13" s="37">
        <v>11345.04</v>
      </c>
      <c r="D13" s="38">
        <v>11221.134399999999</v>
      </c>
      <c r="E13" s="38">
        <v>6594.3030616199449</v>
      </c>
      <c r="F13" s="38">
        <v>137.83048506818574</v>
      </c>
      <c r="G13" s="25">
        <f t="shared" si="0"/>
        <v>11130706.943300959</v>
      </c>
    </row>
    <row r="14" spans="1:12">
      <c r="A14" s="1">
        <v>11</v>
      </c>
      <c r="B14" s="9">
        <v>38951</v>
      </c>
      <c r="C14" s="37">
        <v>11339.84</v>
      </c>
      <c r="D14" s="38">
        <v>11147.060100000001</v>
      </c>
      <c r="E14" s="38">
        <v>6571.4120963608402</v>
      </c>
      <c r="F14" s="38">
        <v>138.94186845268763</v>
      </c>
      <c r="G14" s="25">
        <f t="shared" si="0"/>
        <v>11121681.015408719</v>
      </c>
    </row>
    <row r="15" spans="1:12">
      <c r="A15" s="1">
        <v>12</v>
      </c>
      <c r="B15" s="9">
        <v>38952</v>
      </c>
      <c r="C15" s="37">
        <v>11297.9</v>
      </c>
      <c r="D15" s="38">
        <v>11097.082</v>
      </c>
      <c r="E15" s="38">
        <v>6502.9810644831114</v>
      </c>
      <c r="F15" s="38">
        <v>138.7027374924912</v>
      </c>
      <c r="G15" s="25">
        <f t="shared" si="0"/>
        <v>11075566.671031564</v>
      </c>
    </row>
    <row r="16" spans="1:12">
      <c r="A16" s="1">
        <v>13</v>
      </c>
      <c r="B16" s="9">
        <v>38953</v>
      </c>
      <c r="C16" s="37">
        <v>11304.46</v>
      </c>
      <c r="D16" s="38">
        <v>11100.81574</v>
      </c>
      <c r="E16" s="38">
        <v>6541.5174002047088</v>
      </c>
      <c r="F16" s="38">
        <v>137.21303301237967</v>
      </c>
      <c r="G16" s="25">
        <f t="shared" si="0"/>
        <v>11058921.276882932</v>
      </c>
    </row>
    <row r="17" spans="1:7">
      <c r="A17" s="1">
        <v>14</v>
      </c>
      <c r="B17" s="9">
        <v>38954</v>
      </c>
      <c r="C17" s="37">
        <v>11284.05</v>
      </c>
      <c r="D17" s="38">
        <v>11088.215320000001</v>
      </c>
      <c r="E17" s="38">
        <v>6515.1434034416825</v>
      </c>
      <c r="F17" s="38">
        <v>135.87945439045183</v>
      </c>
      <c r="G17" s="25">
        <f t="shared" si="0"/>
        <v>11019682.666202888</v>
      </c>
    </row>
    <row r="18" spans="1:7">
      <c r="A18" s="1">
        <v>15</v>
      </c>
      <c r="B18" s="9">
        <v>38958</v>
      </c>
      <c r="C18" s="37">
        <v>11369.94</v>
      </c>
      <c r="D18" s="38">
        <v>11145.96307</v>
      </c>
      <c r="E18" s="38">
        <v>6583.7203368206165</v>
      </c>
      <c r="F18" s="38">
        <v>135.90968183373246</v>
      </c>
      <c r="G18" s="25">
        <f t="shared" si="0"/>
        <v>11080495.177551528</v>
      </c>
    </row>
    <row r="19" spans="1:7">
      <c r="A19" s="1">
        <v>16</v>
      </c>
      <c r="B19" s="9">
        <v>38959</v>
      </c>
      <c r="C19" s="37">
        <v>11382.91</v>
      </c>
      <c r="D19" s="38">
        <v>11300.65287</v>
      </c>
      <c r="E19" s="38">
        <v>6651.4245379876793</v>
      </c>
      <c r="F19" s="38">
        <v>135.60034173430159</v>
      </c>
      <c r="G19" s="25">
        <f t="shared" si="0"/>
        <v>11138978.832476784</v>
      </c>
    </row>
    <row r="20" spans="1:7">
      <c r="A20" s="1">
        <v>17</v>
      </c>
      <c r="B20" s="9">
        <v>38960</v>
      </c>
      <c r="C20" s="37">
        <v>11381.15</v>
      </c>
      <c r="D20" s="38">
        <v>11232.22098</v>
      </c>
      <c r="E20" s="38">
        <v>6610.8281070011517</v>
      </c>
      <c r="F20" s="38">
        <v>137.60238704177323</v>
      </c>
      <c r="G20" s="25">
        <f t="shared" si="0"/>
        <v>11145897.825891871</v>
      </c>
    </row>
    <row r="21" spans="1:7">
      <c r="A21" s="1">
        <v>18</v>
      </c>
      <c r="B21" s="9">
        <v>38961</v>
      </c>
      <c r="C21" s="37">
        <v>11464.15</v>
      </c>
      <c r="D21" s="38">
        <v>11323.516940000001</v>
      </c>
      <c r="E21" s="38">
        <v>6636.9398207426375</v>
      </c>
      <c r="F21" s="38">
        <v>137.52344016365498</v>
      </c>
      <c r="G21" s="25">
        <f t="shared" si="0"/>
        <v>11207361.331200562</v>
      </c>
    </row>
    <row r="22" spans="1:7">
      <c r="A22" s="1">
        <v>19</v>
      </c>
      <c r="B22" s="9">
        <v>38965</v>
      </c>
      <c r="C22" s="37">
        <v>11469.28</v>
      </c>
      <c r="D22" s="38">
        <v>11320.96542</v>
      </c>
      <c r="E22" s="38">
        <v>6625.0640368852455</v>
      </c>
      <c r="F22" s="38">
        <v>141.13660637381568</v>
      </c>
      <c r="G22" s="25">
        <f t="shared" si="0"/>
        <v>11270561.037497338</v>
      </c>
    </row>
    <row r="23" spans="1:7">
      <c r="A23" s="1">
        <v>20</v>
      </c>
      <c r="B23" s="9">
        <v>38966</v>
      </c>
      <c r="C23" s="37">
        <v>11406.2</v>
      </c>
      <c r="D23" s="38">
        <v>11150.641580000001</v>
      </c>
      <c r="E23" s="38">
        <v>6541.5856777493609</v>
      </c>
      <c r="F23" s="38">
        <v>139.62179542141817</v>
      </c>
      <c r="G23" s="25">
        <f t="shared" si="0"/>
        <v>11154125.525997441</v>
      </c>
    </row>
    <row r="24" spans="1:7">
      <c r="A24" s="1">
        <v>21</v>
      </c>
      <c r="B24" s="9">
        <v>38967</v>
      </c>
      <c r="C24" s="37">
        <v>11331.44</v>
      </c>
      <c r="D24" s="38">
        <v>10978.079400000001</v>
      </c>
      <c r="E24" s="38">
        <v>6442.6916221033871</v>
      </c>
      <c r="F24" s="38">
        <v>137.50459424645771</v>
      </c>
      <c r="G24" s="25">
        <f t="shared" si="0"/>
        <v>11019586.926293872</v>
      </c>
    </row>
    <row r="25" spans="1:7">
      <c r="A25" s="1">
        <v>22</v>
      </c>
      <c r="B25" s="9">
        <v>38968</v>
      </c>
      <c r="C25" s="37">
        <v>11392.11</v>
      </c>
      <c r="D25" s="38">
        <v>10965.48243</v>
      </c>
      <c r="E25" s="38">
        <v>6427.9361459521087</v>
      </c>
      <c r="F25" s="38">
        <v>137.74593112900462</v>
      </c>
      <c r="G25" s="25">
        <f t="shared" si="0"/>
        <v>11039566.414577503</v>
      </c>
    </row>
    <row r="26" spans="1:7">
      <c r="A26" s="1">
        <v>23</v>
      </c>
      <c r="B26" s="9">
        <v>38971</v>
      </c>
      <c r="C26" s="37">
        <v>11396.84</v>
      </c>
      <c r="D26" s="38">
        <v>10897.115</v>
      </c>
      <c r="E26" s="38">
        <v>6419.9898464272119</v>
      </c>
      <c r="F26" s="38">
        <v>134.14625445897741</v>
      </c>
      <c r="G26" s="25">
        <f t="shared" si="0"/>
        <v>10954824.803676764</v>
      </c>
    </row>
    <row r="27" spans="1:7">
      <c r="A27" s="1">
        <v>24</v>
      </c>
      <c r="B27" s="9">
        <v>38972</v>
      </c>
      <c r="C27" s="37">
        <v>11498.09</v>
      </c>
      <c r="D27" s="38">
        <v>11057.5998</v>
      </c>
      <c r="E27" s="38">
        <v>6504.2126633675934</v>
      </c>
      <c r="F27" s="38">
        <v>133.47490872038719</v>
      </c>
      <c r="G27" s="25">
        <f t="shared" si="0"/>
        <v>11043403.824957248</v>
      </c>
    </row>
    <row r="28" spans="1:7">
      <c r="A28" s="1">
        <v>25</v>
      </c>
      <c r="B28" s="9">
        <v>38973</v>
      </c>
      <c r="C28" s="37">
        <v>11543.32</v>
      </c>
      <c r="D28" s="38">
        <v>11045.518120000001</v>
      </c>
      <c r="E28" s="38">
        <v>6513.6029411764712</v>
      </c>
      <c r="F28" s="38">
        <v>133.84932438174556</v>
      </c>
      <c r="G28" s="25">
        <f t="shared" si="0"/>
        <v>11064194.352671523</v>
      </c>
    </row>
    <row r="29" spans="1:7">
      <c r="A29" s="1">
        <v>26</v>
      </c>
      <c r="B29" s="9">
        <v>38974</v>
      </c>
      <c r="C29" s="37">
        <v>11527.39</v>
      </c>
      <c r="D29" s="38">
        <v>11112.02204</v>
      </c>
      <c r="E29" s="38">
        <v>6533.0230779038639</v>
      </c>
      <c r="F29" s="38">
        <v>135.78391959798995</v>
      </c>
      <c r="G29" s="25">
        <f t="shared" si="0"/>
        <v>11116622.602685703</v>
      </c>
    </row>
    <row r="30" spans="1:7">
      <c r="A30" s="1">
        <v>27</v>
      </c>
      <c r="B30" s="9">
        <v>38975</v>
      </c>
      <c r="C30" s="37">
        <v>11560.77</v>
      </c>
      <c r="D30" s="38">
        <v>11037.005999999999</v>
      </c>
      <c r="E30" s="38">
        <v>6508.3870967741941</v>
      </c>
      <c r="F30" s="38">
        <v>134.93434815885703</v>
      </c>
      <c r="G30" s="25">
        <f t="shared" si="0"/>
        <v>11086260.068454087</v>
      </c>
    </row>
    <row r="31" spans="1:7">
      <c r="A31" s="1">
        <v>28</v>
      </c>
      <c r="B31" s="9">
        <v>38979</v>
      </c>
      <c r="C31" s="37">
        <v>11540.91</v>
      </c>
      <c r="D31" s="38">
        <v>11003.44024</v>
      </c>
      <c r="E31" s="38">
        <v>6498.9710365853653</v>
      </c>
      <c r="F31" s="38">
        <v>135.46919269499915</v>
      </c>
      <c r="G31" s="25">
        <f t="shared" si="0"/>
        <v>11076525.870831005</v>
      </c>
    </row>
    <row r="32" spans="1:7">
      <c r="A32" s="1">
        <v>29</v>
      </c>
      <c r="B32" s="9">
        <v>38980</v>
      </c>
      <c r="C32" s="37">
        <v>11613.19</v>
      </c>
      <c r="D32" s="38">
        <v>11082.42504</v>
      </c>
      <c r="E32" s="38">
        <v>6596.4684959349588</v>
      </c>
      <c r="F32" s="38">
        <v>134.0611513859275</v>
      </c>
      <c r="G32" s="25">
        <f t="shared" si="0"/>
        <v>11118203.928698523</v>
      </c>
    </row>
    <row r="33" spans="1:7">
      <c r="A33" s="1">
        <v>30</v>
      </c>
      <c r="B33" s="9">
        <v>38981</v>
      </c>
      <c r="C33" s="37">
        <v>11533.23</v>
      </c>
      <c r="D33" s="38">
        <v>11185.45023</v>
      </c>
      <c r="E33" s="38">
        <v>6625.5183818852556</v>
      </c>
      <c r="F33" s="38">
        <v>135.59025518068162</v>
      </c>
      <c r="G33" s="25">
        <f t="shared" si="0"/>
        <v>11153173.092349589</v>
      </c>
    </row>
    <row r="34" spans="1:7">
      <c r="A34" s="1">
        <v>31</v>
      </c>
      <c r="B34" s="9">
        <v>38982</v>
      </c>
      <c r="C34" s="37">
        <v>11508.1</v>
      </c>
      <c r="D34" s="38">
        <v>11076.34352</v>
      </c>
      <c r="E34" s="38">
        <v>6582.9599283062344</v>
      </c>
      <c r="F34" s="38">
        <v>134.34155353153463</v>
      </c>
      <c r="G34" s="25">
        <f t="shared" si="0"/>
        <v>11080957.404728737</v>
      </c>
    </row>
    <row r="35" spans="1:7">
      <c r="A35" s="1">
        <v>32</v>
      </c>
      <c r="B35" s="9">
        <v>38985</v>
      </c>
      <c r="C35" s="37">
        <v>11575.81</v>
      </c>
      <c r="D35" s="38">
        <v>11012.71119</v>
      </c>
      <c r="E35" s="38">
        <v>6556.8734870684157</v>
      </c>
      <c r="F35" s="38">
        <v>134.2073139325264</v>
      </c>
      <c r="G35" s="25">
        <f t="shared" si="0"/>
        <v>11079057.740381133</v>
      </c>
    </row>
    <row r="36" spans="1:7">
      <c r="A36" s="1">
        <v>33</v>
      </c>
      <c r="B36" s="9">
        <v>38986</v>
      </c>
      <c r="C36" s="37">
        <v>11669.39</v>
      </c>
      <c r="D36" s="38">
        <v>11131.059360000001</v>
      </c>
      <c r="E36" s="38">
        <v>6615.4499366286436</v>
      </c>
      <c r="F36" s="38">
        <v>132.92421394395078</v>
      </c>
      <c r="G36" s="25">
        <f t="shared" si="0"/>
        <v>11136704.590127245</v>
      </c>
    </row>
    <row r="37" spans="1:7">
      <c r="A37" s="1">
        <v>34</v>
      </c>
      <c r="B37" s="9">
        <v>38987</v>
      </c>
      <c r="C37" s="37">
        <v>11689.24</v>
      </c>
      <c r="D37" s="38">
        <v>11197.807830000002</v>
      </c>
      <c r="E37" s="38">
        <v>6663.8281647178446</v>
      </c>
      <c r="F37" s="38">
        <v>135.8768850643265</v>
      </c>
      <c r="G37" s="25">
        <f t="shared" si="0"/>
        <v>11224911.945028445</v>
      </c>
    </row>
    <row r="38" spans="1:7">
      <c r="A38" s="1">
        <v>35</v>
      </c>
      <c r="B38" s="9">
        <v>38988</v>
      </c>
      <c r="C38" s="37">
        <v>11718.45</v>
      </c>
      <c r="D38" s="38">
        <v>11188.42481</v>
      </c>
      <c r="E38" s="38">
        <v>6661.6038573785054</v>
      </c>
      <c r="F38" s="38">
        <v>135.97666525243955</v>
      </c>
      <c r="G38" s="25">
        <f t="shared" si="0"/>
        <v>11233990.348567916</v>
      </c>
    </row>
    <row r="39" spans="1:7">
      <c r="A39" s="1">
        <v>36</v>
      </c>
      <c r="B39" s="9">
        <v>38989</v>
      </c>
      <c r="C39" s="37">
        <v>11679.07</v>
      </c>
      <c r="D39" s="38">
        <v>11135.966560000001</v>
      </c>
      <c r="E39" s="38">
        <v>6649.7910069664349</v>
      </c>
      <c r="F39" s="38">
        <v>136.57024303497332</v>
      </c>
      <c r="G39" s="25">
        <f t="shared" si="0"/>
        <v>11211922.821179925</v>
      </c>
    </row>
    <row r="40" spans="1:7">
      <c r="A40" s="1">
        <v>37</v>
      </c>
      <c r="B40" s="9">
        <v>38992</v>
      </c>
      <c r="C40" s="37">
        <v>11670.35</v>
      </c>
      <c r="D40" s="38">
        <v>11230.453</v>
      </c>
      <c r="E40" s="38">
        <v>6681.7000127437241</v>
      </c>
      <c r="F40" s="38">
        <v>138.06412978849912</v>
      </c>
      <c r="G40" s="25">
        <f t="shared" si="0"/>
        <v>11269914.029228985</v>
      </c>
    </row>
    <row r="41" spans="1:7">
      <c r="A41" s="1">
        <v>38</v>
      </c>
      <c r="B41" s="9">
        <v>38993</v>
      </c>
      <c r="C41" s="37">
        <v>11727.34</v>
      </c>
      <c r="D41" s="38">
        <v>11215.775610000001</v>
      </c>
      <c r="E41" s="38">
        <v>6650.2611797681229</v>
      </c>
      <c r="F41" s="38">
        <v>137.77326321146833</v>
      </c>
      <c r="G41" s="25">
        <f t="shared" si="0"/>
        <v>11275782.802252954</v>
      </c>
    </row>
    <row r="42" spans="1:7">
      <c r="A42" s="1">
        <v>39</v>
      </c>
      <c r="B42" s="9">
        <v>38994</v>
      </c>
      <c r="C42" s="37">
        <v>11850.61</v>
      </c>
      <c r="D42" s="38">
        <v>11241.48265</v>
      </c>
      <c r="E42" s="38">
        <v>6669.90229666286</v>
      </c>
      <c r="F42" s="38">
        <v>136.3159010001695</v>
      </c>
      <c r="G42" s="25">
        <f t="shared" si="0"/>
        <v>11305885.106670553</v>
      </c>
    </row>
    <row r="43" spans="1:7">
      <c r="A43" s="1">
        <v>40</v>
      </c>
      <c r="B43" s="9">
        <v>38995</v>
      </c>
      <c r="C43" s="37">
        <v>11866.69</v>
      </c>
      <c r="D43" s="38">
        <v>11269.84605</v>
      </c>
      <c r="E43" s="38">
        <v>6710.480903438649</v>
      </c>
      <c r="F43" s="38">
        <v>139.76828957430538</v>
      </c>
      <c r="G43" s="25">
        <f t="shared" si="0"/>
        <v>11388329.413271917</v>
      </c>
    </row>
    <row r="44" spans="1:7">
      <c r="A44" s="1">
        <v>41</v>
      </c>
      <c r="B44" s="9">
        <v>38996</v>
      </c>
      <c r="C44" s="37">
        <v>11850.21</v>
      </c>
      <c r="D44" s="38">
        <v>11220.44364</v>
      </c>
      <c r="E44" s="38">
        <v>6648.2819383259921</v>
      </c>
      <c r="F44" s="38">
        <v>138.12975880326078</v>
      </c>
      <c r="G44" s="25">
        <f t="shared" si="0"/>
        <v>11327832.545156941</v>
      </c>
    </row>
    <row r="45" spans="1:7">
      <c r="A45" s="1">
        <v>42</v>
      </c>
      <c r="B45" s="9">
        <v>39000</v>
      </c>
      <c r="C45" s="37">
        <v>11867.17</v>
      </c>
      <c r="D45" s="38">
        <v>11269.10939</v>
      </c>
      <c r="E45" s="38">
        <v>6658.0438871473352</v>
      </c>
      <c r="F45" s="38">
        <v>137.71207689093188</v>
      </c>
      <c r="G45" s="25">
        <f t="shared" si="0"/>
        <v>11343365.833877342</v>
      </c>
    </row>
    <row r="46" spans="1:7">
      <c r="A46" s="1">
        <v>43</v>
      </c>
      <c r="B46" s="9">
        <v>39001</v>
      </c>
      <c r="C46" s="37">
        <v>11852.13</v>
      </c>
      <c r="D46" s="38">
        <v>11275.45275</v>
      </c>
      <c r="E46" s="38">
        <v>6667.3233780900982</v>
      </c>
      <c r="F46" s="38">
        <v>137.13997825905176</v>
      </c>
      <c r="G46" s="25">
        <f t="shared" si="0"/>
        <v>11331245.002479851</v>
      </c>
    </row>
    <row r="47" spans="1:7">
      <c r="A47" s="1">
        <v>44</v>
      </c>
      <c r="B47" s="9">
        <v>39002</v>
      </c>
      <c r="C47" s="37">
        <v>11947.7</v>
      </c>
      <c r="D47" s="38">
        <v>11364.80558</v>
      </c>
      <c r="E47" s="38">
        <v>6722.0536609829496</v>
      </c>
      <c r="F47" s="38">
        <v>136.96602794745209</v>
      </c>
      <c r="G47" s="25">
        <f t="shared" si="0"/>
        <v>11399594.509534592</v>
      </c>
    </row>
    <row r="48" spans="1:7">
      <c r="A48" s="1">
        <v>45</v>
      </c>
      <c r="B48" s="9">
        <v>39003</v>
      </c>
      <c r="C48" s="37">
        <v>11960.51</v>
      </c>
      <c r="D48" s="38">
        <v>11424.870150000001</v>
      </c>
      <c r="E48" s="38">
        <v>6688.1934032983499</v>
      </c>
      <c r="F48" s="38">
        <v>137.95395011262201</v>
      </c>
      <c r="G48" s="25">
        <f t="shared" si="0"/>
        <v>11435065.678221159</v>
      </c>
    </row>
    <row r="49" spans="1:7">
      <c r="A49" s="1">
        <v>46</v>
      </c>
      <c r="B49" s="9">
        <v>39006</v>
      </c>
      <c r="C49" s="37">
        <v>11980.59</v>
      </c>
      <c r="D49" s="38">
        <v>11481.89848</v>
      </c>
      <c r="E49" s="38">
        <v>6710.8510638297876</v>
      </c>
      <c r="F49" s="38">
        <v>139.98121593291404</v>
      </c>
      <c r="G49" s="25">
        <f t="shared" si="0"/>
        <v>11499766.03409314</v>
      </c>
    </row>
    <row r="50" spans="1:7">
      <c r="A50" s="1">
        <v>47</v>
      </c>
      <c r="B50" s="9">
        <v>39007</v>
      </c>
      <c r="C50" s="37">
        <v>11950.02</v>
      </c>
      <c r="D50" s="38">
        <v>11418.805980000001</v>
      </c>
      <c r="E50" s="38">
        <v>6649.5172413793098</v>
      </c>
      <c r="F50" s="38">
        <v>139.94599831508003</v>
      </c>
      <c r="G50" s="25">
        <f t="shared" si="0"/>
        <v>11458439.080767106</v>
      </c>
    </row>
    <row r="51" spans="1:7">
      <c r="A51" s="1">
        <v>48</v>
      </c>
      <c r="B51" s="9">
        <v>39008</v>
      </c>
      <c r="C51" s="37">
        <v>11992.68</v>
      </c>
      <c r="D51" s="38">
        <v>11482.7968</v>
      </c>
      <c r="E51" s="38">
        <v>6709.160305343511</v>
      </c>
      <c r="F51" s="38">
        <v>139.84716157205241</v>
      </c>
      <c r="G51" s="25">
        <f t="shared" si="0"/>
        <v>11501785.256712615</v>
      </c>
    </row>
    <row r="52" spans="1:7">
      <c r="A52" s="1">
        <v>49</v>
      </c>
      <c r="B52" s="9">
        <v>39009</v>
      </c>
      <c r="C52" s="37">
        <v>12011.73</v>
      </c>
      <c r="D52" s="38">
        <v>11547.424799999999</v>
      </c>
      <c r="E52" s="38">
        <v>6752.0030234315946</v>
      </c>
      <c r="F52" s="38">
        <v>139.89823345448397</v>
      </c>
      <c r="G52" s="25">
        <f t="shared" si="0"/>
        <v>11536710.155368637</v>
      </c>
    </row>
    <row r="53" spans="1:7">
      <c r="A53" s="1">
        <v>50</v>
      </c>
      <c r="B53" s="9">
        <v>39010</v>
      </c>
      <c r="C53" s="37">
        <v>12002.37</v>
      </c>
      <c r="D53" s="38">
        <v>11574.8536</v>
      </c>
      <c r="E53" s="38">
        <v>6774.2281033396348</v>
      </c>
      <c r="F53" s="38">
        <v>140.20063989222868</v>
      </c>
      <c r="G53" s="25">
        <f t="shared" si="0"/>
        <v>11550830.148257047</v>
      </c>
    </row>
    <row r="54" spans="1:7">
      <c r="A54" s="1">
        <v>51</v>
      </c>
      <c r="B54" s="9">
        <v>39013</v>
      </c>
      <c r="C54" s="37">
        <v>12116.91</v>
      </c>
      <c r="D54" s="38">
        <v>11542.939200000001</v>
      </c>
      <c r="E54" s="38">
        <v>6792.7827287561195</v>
      </c>
      <c r="F54" s="38">
        <v>140.71595004609838</v>
      </c>
      <c r="G54" s="25">
        <f t="shared" si="0"/>
        <v>11594551.743836101</v>
      </c>
    </row>
    <row r="55" spans="1:7">
      <c r="A55" s="1">
        <v>52</v>
      </c>
      <c r="B55" s="9">
        <v>39014</v>
      </c>
      <c r="C55" s="37">
        <v>12127.88</v>
      </c>
      <c r="D55" s="38">
        <v>11571.166999999999</v>
      </c>
      <c r="E55" s="38">
        <v>6780.2534186425792</v>
      </c>
      <c r="F55" s="38">
        <v>140.45760441951955</v>
      </c>
      <c r="G55" s="25">
        <f t="shared" si="0"/>
        <v>11600753.706148576</v>
      </c>
    </row>
    <row r="56" spans="1:7">
      <c r="A56" s="1">
        <v>53</v>
      </c>
      <c r="B56" s="9">
        <v>39015</v>
      </c>
      <c r="C56" s="37">
        <v>12134.68</v>
      </c>
      <c r="D56" s="38">
        <v>11664.18274</v>
      </c>
      <c r="E56" s="38">
        <v>6825.6294058408857</v>
      </c>
      <c r="F56" s="38">
        <v>140.17711743473515</v>
      </c>
      <c r="G56" s="25">
        <f t="shared" si="0"/>
        <v>11634635.252447337</v>
      </c>
    </row>
    <row r="57" spans="1:7">
      <c r="A57" s="1">
        <v>54</v>
      </c>
      <c r="B57" s="9">
        <v>39016</v>
      </c>
      <c r="C57" s="37">
        <v>12163.66</v>
      </c>
      <c r="D57" s="38">
        <v>11672.573039999999</v>
      </c>
      <c r="E57" s="38">
        <v>6884.3152160141899</v>
      </c>
      <c r="F57" s="38">
        <v>141.75042158516018</v>
      </c>
      <c r="G57" s="25">
        <f t="shared" si="0"/>
        <v>11685129.18231445</v>
      </c>
    </row>
    <row r="58" spans="1:7">
      <c r="A58" s="1">
        <v>55</v>
      </c>
      <c r="B58" s="9">
        <v>39017</v>
      </c>
      <c r="C58" s="37">
        <v>12090.26</v>
      </c>
      <c r="D58" s="38">
        <v>11685.37903</v>
      </c>
      <c r="E58" s="38">
        <v>6865.1781170483455</v>
      </c>
      <c r="F58" s="38">
        <v>141.73174049825695</v>
      </c>
      <c r="G58" s="25">
        <f t="shared" si="0"/>
        <v>11659076.016022122</v>
      </c>
    </row>
    <row r="59" spans="1:7">
      <c r="A59" s="1">
        <v>56</v>
      </c>
      <c r="B59" s="9">
        <v>39020</v>
      </c>
      <c r="C59" s="37">
        <v>12086.49</v>
      </c>
      <c r="D59" s="38">
        <v>11656.237000000001</v>
      </c>
      <c r="E59" s="38">
        <v>6819.5726821823728</v>
      </c>
      <c r="F59" s="38">
        <v>139.18837248893428</v>
      </c>
      <c r="G59" s="25">
        <f t="shared" si="0"/>
        <v>11596159.28842365</v>
      </c>
    </row>
    <row r="60" spans="1:7">
      <c r="A60" s="1">
        <v>57</v>
      </c>
      <c r="B60" s="9">
        <v>39021</v>
      </c>
      <c r="C60" s="37">
        <v>12080.73</v>
      </c>
      <c r="D60" s="38">
        <v>11690.22316</v>
      </c>
      <c r="E60" s="38">
        <v>6826.7134652201657</v>
      </c>
      <c r="F60" s="38">
        <v>139.98625693555269</v>
      </c>
      <c r="G60" s="25">
        <f t="shared" si="0"/>
        <v>11619985.501822928</v>
      </c>
    </row>
    <row r="61" spans="1:7">
      <c r="A61" s="1">
        <v>58</v>
      </c>
      <c r="B61" s="9">
        <v>39022</v>
      </c>
      <c r="C61" s="37">
        <v>12031.02</v>
      </c>
      <c r="D61" s="38">
        <v>11727.287200000001</v>
      </c>
      <c r="E61" s="38">
        <v>6861.0884006131828</v>
      </c>
      <c r="F61" s="38">
        <v>139.99538343164915</v>
      </c>
      <c r="G61" s="25">
        <f t="shared" si="0"/>
        <v>11619233.727877788</v>
      </c>
    </row>
    <row r="62" spans="1:7">
      <c r="A62" s="1">
        <v>59</v>
      </c>
      <c r="B62" s="9">
        <v>39023</v>
      </c>
      <c r="C62" s="37">
        <v>12018.54</v>
      </c>
      <c r="D62" s="38">
        <v>11727.944960000001</v>
      </c>
      <c r="E62" s="38">
        <v>6779.9668028600609</v>
      </c>
      <c r="F62" s="38">
        <v>139.61250106737256</v>
      </c>
      <c r="G62" s="25">
        <f t="shared" si="0"/>
        <v>11595039.524843836</v>
      </c>
    </row>
    <row r="63" spans="1:7">
      <c r="A63" s="1">
        <v>60</v>
      </c>
      <c r="B63" s="9">
        <v>39027</v>
      </c>
      <c r="C63" s="37">
        <v>12105.55</v>
      </c>
      <c r="D63" s="38">
        <v>11804.76425</v>
      </c>
      <c r="E63" s="38">
        <v>6867.9888126112382</v>
      </c>
      <c r="F63" s="38">
        <v>138.26258871240285</v>
      </c>
      <c r="G63" s="25">
        <f t="shared" si="0"/>
        <v>11640888.749312816</v>
      </c>
    </row>
    <row r="64" spans="1:7">
      <c r="A64" s="1">
        <v>61</v>
      </c>
      <c r="B64" s="9">
        <v>39028</v>
      </c>
      <c r="C64" s="37">
        <v>12156.77</v>
      </c>
      <c r="D64" s="38">
        <v>11919.796</v>
      </c>
      <c r="E64" s="38">
        <v>6960.8038914490526</v>
      </c>
      <c r="F64" s="38">
        <v>139.57777777777778</v>
      </c>
      <c r="G64" s="25">
        <f t="shared" si="0"/>
        <v>11733708.329325149</v>
      </c>
    </row>
    <row r="65" spans="1:7">
      <c r="A65" s="1">
        <v>62</v>
      </c>
      <c r="B65" s="9">
        <v>39029</v>
      </c>
      <c r="C65" s="37">
        <v>12176.54</v>
      </c>
      <c r="D65" s="38">
        <v>11874.688700000001</v>
      </c>
      <c r="E65" s="38">
        <v>6936.0377599183566</v>
      </c>
      <c r="F65" s="38">
        <v>137.51475576662145</v>
      </c>
      <c r="G65" s="25">
        <f t="shared" si="0"/>
        <v>11686221.336187441</v>
      </c>
    </row>
    <row r="66" spans="1:7">
      <c r="A66" s="1">
        <v>63</v>
      </c>
      <c r="B66" s="9">
        <v>39030</v>
      </c>
      <c r="C66" s="37">
        <v>12103.3</v>
      </c>
      <c r="D66" s="38">
        <v>11832.3722</v>
      </c>
      <c r="E66" s="38">
        <v>6971.0849539406354</v>
      </c>
      <c r="F66" s="38">
        <v>136.93947079212106</v>
      </c>
      <c r="G66" s="25">
        <f t="shared" si="0"/>
        <v>11641872.19030627</v>
      </c>
    </row>
    <row r="67" spans="1:7">
      <c r="A67" s="1">
        <v>64</v>
      </c>
      <c r="B67" s="9">
        <v>39031</v>
      </c>
      <c r="C67" s="37">
        <v>12108.43</v>
      </c>
      <c r="D67" s="38">
        <v>11870.460799999999</v>
      </c>
      <c r="E67" s="38">
        <v>7004.6290343320052</v>
      </c>
      <c r="F67" s="38">
        <v>137.16208393632417</v>
      </c>
      <c r="G67" s="25">
        <f t="shared" ref="G67:G130" si="1">C67/$C$503*H$2+D67/$D$503*I$2+E67/$E$503*J$2+F67/$F$503*K$2</f>
        <v>11664992.982379232</v>
      </c>
    </row>
    <row r="68" spans="1:7">
      <c r="A68" s="1">
        <v>65</v>
      </c>
      <c r="B68" s="9">
        <v>39034</v>
      </c>
      <c r="C68" s="37">
        <v>12131.88</v>
      </c>
      <c r="D68" s="38">
        <v>11788.801439999999</v>
      </c>
      <c r="E68" s="38">
        <v>7035.5715017939528</v>
      </c>
      <c r="F68" s="38">
        <v>135.65735331470663</v>
      </c>
      <c r="G68" s="25">
        <f t="shared" si="1"/>
        <v>11626300.379817773</v>
      </c>
    </row>
    <row r="69" spans="1:7">
      <c r="A69" s="1">
        <v>66</v>
      </c>
      <c r="B69" s="9">
        <v>39035</v>
      </c>
      <c r="C69" s="37">
        <v>12218.01</v>
      </c>
      <c r="D69" s="38">
        <v>11714.945760000001</v>
      </c>
      <c r="E69" s="38">
        <v>7014.5766619700271</v>
      </c>
      <c r="F69" s="38">
        <v>138.36362864180751</v>
      </c>
      <c r="G69" s="25">
        <f t="shared" si="1"/>
        <v>11679065.699674569</v>
      </c>
    </row>
    <row r="70" spans="1:7">
      <c r="A70" s="1">
        <v>67</v>
      </c>
      <c r="B70" s="9">
        <v>39036</v>
      </c>
      <c r="C70" s="37">
        <v>12251.71</v>
      </c>
      <c r="D70" s="38">
        <v>11758.747499999999</v>
      </c>
      <c r="E70" s="38">
        <v>7058.8242827868844</v>
      </c>
      <c r="F70" s="38">
        <v>137.53996613039797</v>
      </c>
      <c r="G70" s="25">
        <f t="shared" si="1"/>
        <v>11697519.082166888</v>
      </c>
    </row>
    <row r="71" spans="1:7">
      <c r="A71" s="1">
        <v>68</v>
      </c>
      <c r="B71" s="9">
        <v>39037</v>
      </c>
      <c r="C71" s="37">
        <v>12305.82</v>
      </c>
      <c r="D71" s="38">
        <v>11816.131589999999</v>
      </c>
      <c r="E71" s="38">
        <v>7051.3831967213109</v>
      </c>
      <c r="F71" s="38">
        <v>136.84278699627498</v>
      </c>
      <c r="G71" s="25">
        <f t="shared" si="1"/>
        <v>11721529.775530327</v>
      </c>
    </row>
    <row r="72" spans="1:7">
      <c r="A72" s="1">
        <v>69</v>
      </c>
      <c r="B72" s="9">
        <v>39038</v>
      </c>
      <c r="C72" s="37">
        <v>12342.55</v>
      </c>
      <c r="D72" s="38">
        <v>11730.744000000001</v>
      </c>
      <c r="E72" s="38">
        <v>6978.4605516356642</v>
      </c>
      <c r="F72" s="38">
        <v>136.74141740312712</v>
      </c>
      <c r="G72" s="25">
        <f t="shared" si="1"/>
        <v>11694617.556455076</v>
      </c>
    </row>
    <row r="73" spans="1:7">
      <c r="A73" s="1">
        <v>70</v>
      </c>
      <c r="B73" s="9">
        <v>39041</v>
      </c>
      <c r="C73" s="37">
        <v>12316.54</v>
      </c>
      <c r="D73" s="38">
        <v>11771.797849999999</v>
      </c>
      <c r="E73" s="38">
        <v>6991.4637272494228</v>
      </c>
      <c r="F73" s="38">
        <v>133.06769334912843</v>
      </c>
      <c r="G73" s="25">
        <f t="shared" si="1"/>
        <v>11634980.74038698</v>
      </c>
    </row>
    <row r="74" spans="1:7">
      <c r="A74" s="1">
        <v>71</v>
      </c>
      <c r="B74" s="9">
        <v>39042</v>
      </c>
      <c r="C74" s="37">
        <v>12321.59</v>
      </c>
      <c r="D74" s="38">
        <v>11779.977920000001</v>
      </c>
      <c r="E74" s="38">
        <v>7002.7578245253981</v>
      </c>
      <c r="F74" s="38">
        <v>133.45326547921965</v>
      </c>
      <c r="G74" s="25">
        <f t="shared" si="1"/>
        <v>11648026.284754241</v>
      </c>
    </row>
    <row r="75" spans="1:7">
      <c r="A75" s="1">
        <v>72</v>
      </c>
      <c r="B75" s="9">
        <v>39043</v>
      </c>
      <c r="C75" s="37">
        <v>12326.95</v>
      </c>
      <c r="D75" s="38">
        <v>11790.814200000001</v>
      </c>
      <c r="E75" s="38">
        <v>7052.7616091061955</v>
      </c>
      <c r="F75" s="38">
        <v>136.46227062253473</v>
      </c>
      <c r="G75" s="25">
        <f t="shared" si="1"/>
        <v>11714763.154371014</v>
      </c>
    </row>
    <row r="76" spans="1:7">
      <c r="A76" s="1">
        <v>73</v>
      </c>
      <c r="B76" s="9">
        <v>39045</v>
      </c>
      <c r="C76" s="37">
        <v>12280.17</v>
      </c>
      <c r="D76" s="38">
        <v>11827.897199999999</v>
      </c>
      <c r="E76" s="38">
        <v>7056.1141660120447</v>
      </c>
      <c r="F76" s="38">
        <v>135.80700845848438</v>
      </c>
      <c r="G76" s="25">
        <f t="shared" si="1"/>
        <v>11698299.706569022</v>
      </c>
    </row>
    <row r="77" spans="1:7">
      <c r="A77" s="1">
        <v>74</v>
      </c>
      <c r="B77" s="9">
        <v>39048</v>
      </c>
      <c r="C77" s="37">
        <v>12121.71</v>
      </c>
      <c r="D77" s="38">
        <v>11719.0437</v>
      </c>
      <c r="E77" s="38">
        <v>6966.7322834645665</v>
      </c>
      <c r="F77" s="38">
        <v>136.83676457920578</v>
      </c>
      <c r="G77" s="25">
        <f t="shared" si="1"/>
        <v>11610615.132067967</v>
      </c>
    </row>
    <row r="78" spans="1:7">
      <c r="A78" s="1">
        <v>75</v>
      </c>
      <c r="B78" s="9">
        <v>39049</v>
      </c>
      <c r="C78" s="37">
        <v>12136.44</v>
      </c>
      <c r="D78" s="38">
        <v>11734.837659999999</v>
      </c>
      <c r="E78" s="38">
        <v>6978.2219884271435</v>
      </c>
      <c r="F78" s="38">
        <v>136.40106675843083</v>
      </c>
      <c r="G78" s="25">
        <f t="shared" si="1"/>
        <v>11615025.875762492</v>
      </c>
    </row>
    <row r="79" spans="1:7">
      <c r="A79" s="1">
        <v>76</v>
      </c>
      <c r="B79" s="9">
        <v>39050</v>
      </c>
      <c r="C79" s="37">
        <v>12226.73</v>
      </c>
      <c r="D79" s="38">
        <v>11860.92936</v>
      </c>
      <c r="E79" s="38">
        <v>7077.7982375378142</v>
      </c>
      <c r="F79" s="38">
        <v>138.39703856749313</v>
      </c>
      <c r="G79" s="25">
        <f t="shared" si="1"/>
        <v>11738639.255574238</v>
      </c>
    </row>
    <row r="80" spans="1:7">
      <c r="A80" s="1">
        <v>77</v>
      </c>
      <c r="B80" s="9">
        <v>39051</v>
      </c>
      <c r="C80" s="37">
        <v>12221.93</v>
      </c>
      <c r="D80" s="38">
        <v>11897.989600000001</v>
      </c>
      <c r="E80" s="38">
        <v>7062.0890774125137</v>
      </c>
      <c r="F80" s="38">
        <v>140.72053610030264</v>
      </c>
      <c r="G80" s="25">
        <f t="shared" si="1"/>
        <v>11787133.856098086</v>
      </c>
    </row>
    <row r="81" spans="1:7">
      <c r="A81" s="1">
        <v>78</v>
      </c>
      <c r="B81" s="9">
        <v>39052</v>
      </c>
      <c r="C81" s="37">
        <v>12194.13</v>
      </c>
      <c r="D81" s="38">
        <v>11926.785049999999</v>
      </c>
      <c r="E81" s="38">
        <v>7006.3341778903859</v>
      </c>
      <c r="F81" s="38">
        <v>141.71902405140227</v>
      </c>
      <c r="G81" s="25">
        <f t="shared" si="1"/>
        <v>11794751.73609576</v>
      </c>
    </row>
    <row r="82" spans="1:7">
      <c r="A82" s="1">
        <v>79</v>
      </c>
      <c r="B82" s="9">
        <v>39055</v>
      </c>
      <c r="C82" s="37">
        <v>12283.85</v>
      </c>
      <c r="D82" s="38">
        <v>11973.136559999999</v>
      </c>
      <c r="E82" s="38">
        <v>7056.7355096602269</v>
      </c>
      <c r="F82" s="38">
        <v>141.24222472494151</v>
      </c>
      <c r="G82" s="25">
        <f t="shared" si="1"/>
        <v>11841473.389383823</v>
      </c>
    </row>
    <row r="83" spans="1:7">
      <c r="A83" s="1">
        <v>80</v>
      </c>
      <c r="B83" s="9">
        <v>39056</v>
      </c>
      <c r="C83" s="37">
        <v>12331.6</v>
      </c>
      <c r="D83" s="38">
        <v>11996.294400000001</v>
      </c>
      <c r="E83" s="38">
        <v>7132.9385147724242</v>
      </c>
      <c r="F83" s="38">
        <v>141.33078460335389</v>
      </c>
      <c r="G83" s="25">
        <f t="shared" si="1"/>
        <v>11879899.099967826</v>
      </c>
    </row>
    <row r="84" spans="1:7">
      <c r="A84" s="1">
        <v>81</v>
      </c>
      <c r="B84" s="9">
        <v>39057</v>
      </c>
      <c r="C84" s="37">
        <v>12309.25</v>
      </c>
      <c r="D84" s="38">
        <v>11999.71809</v>
      </c>
      <c r="E84" s="38">
        <v>7125.6092688773469</v>
      </c>
      <c r="F84" s="38">
        <v>142.4828546562228</v>
      </c>
      <c r="G84" s="25">
        <f t="shared" si="1"/>
        <v>11892098.716135576</v>
      </c>
    </row>
    <row r="85" spans="1:7">
      <c r="A85" s="1">
        <v>82</v>
      </c>
      <c r="B85" s="9">
        <v>39058</v>
      </c>
      <c r="C85" s="37">
        <v>12278.41</v>
      </c>
      <c r="D85" s="38">
        <v>12044.7186</v>
      </c>
      <c r="E85" s="38">
        <v>7153.2047872340427</v>
      </c>
      <c r="F85" s="38">
        <v>143.04758596734979</v>
      </c>
      <c r="G85" s="25">
        <f t="shared" si="1"/>
        <v>11909431.033246763</v>
      </c>
    </row>
    <row r="86" spans="1:7">
      <c r="A86" s="1">
        <v>83</v>
      </c>
      <c r="B86" s="9">
        <v>39059</v>
      </c>
      <c r="C86" s="37">
        <v>12307.48</v>
      </c>
      <c r="D86" s="38">
        <v>12099.925079999999</v>
      </c>
      <c r="E86" s="38">
        <v>7169.3209054593872</v>
      </c>
      <c r="F86" s="38">
        <v>142.15793575201317</v>
      </c>
      <c r="G86" s="25">
        <f t="shared" si="1"/>
        <v>11924061.353390036</v>
      </c>
    </row>
    <row r="87" spans="1:7">
      <c r="A87" s="1">
        <v>84</v>
      </c>
      <c r="B87" s="9">
        <v>39062</v>
      </c>
      <c r="C87" s="37">
        <v>12328.48</v>
      </c>
      <c r="D87" s="38">
        <v>12035.63322</v>
      </c>
      <c r="E87" s="38">
        <v>7172.6708074534163</v>
      </c>
      <c r="F87" s="38">
        <v>141.19246540235778</v>
      </c>
      <c r="G87" s="25">
        <f t="shared" si="1"/>
        <v>11895016.37426886</v>
      </c>
    </row>
    <row r="88" spans="1:7">
      <c r="A88" s="1">
        <v>85</v>
      </c>
      <c r="B88" s="9">
        <v>39063</v>
      </c>
      <c r="C88" s="37">
        <v>12315.58</v>
      </c>
      <c r="D88" s="38">
        <v>12105.944959999999</v>
      </c>
      <c r="E88" s="38">
        <v>7184.9860982391101</v>
      </c>
      <c r="F88" s="38">
        <v>142.10608131192348</v>
      </c>
      <c r="G88" s="25">
        <f t="shared" si="1"/>
        <v>11930489.403084708</v>
      </c>
    </row>
    <row r="89" spans="1:7">
      <c r="A89" s="1">
        <v>86</v>
      </c>
      <c r="B89" s="9">
        <v>39064</v>
      </c>
      <c r="C89" s="37">
        <v>12317.5</v>
      </c>
      <c r="D89" s="38">
        <v>12181.886</v>
      </c>
      <c r="E89" s="38">
        <v>7240.3146899378562</v>
      </c>
      <c r="F89" s="38">
        <v>142.35826368753197</v>
      </c>
      <c r="G89" s="25">
        <f t="shared" si="1"/>
        <v>11968311.852123249</v>
      </c>
    </row>
    <row r="90" spans="1:7">
      <c r="A90" s="1">
        <v>87</v>
      </c>
      <c r="B90" s="9">
        <v>39065</v>
      </c>
      <c r="C90" s="37">
        <v>12416.76</v>
      </c>
      <c r="D90" s="38">
        <v>12223.695599999999</v>
      </c>
      <c r="E90" s="38">
        <v>7257.0864067439406</v>
      </c>
      <c r="F90" s="38">
        <v>143.06894499702457</v>
      </c>
      <c r="G90" s="25">
        <f t="shared" si="1"/>
        <v>12032702.999516897</v>
      </c>
    </row>
    <row r="91" spans="1:7">
      <c r="A91" s="1">
        <v>88</v>
      </c>
      <c r="B91" s="9">
        <v>39066</v>
      </c>
      <c r="C91" s="37">
        <v>12445.52</v>
      </c>
      <c r="D91" s="38">
        <v>12219.52</v>
      </c>
      <c r="E91" s="38">
        <v>7254.3788453986117</v>
      </c>
      <c r="F91" s="38">
        <v>143.70696686491081</v>
      </c>
      <c r="G91" s="25">
        <f t="shared" si="1"/>
        <v>12052708.912095167</v>
      </c>
    </row>
    <row r="92" spans="1:7">
      <c r="A92" s="1">
        <v>89</v>
      </c>
      <c r="B92" s="9">
        <v>39069</v>
      </c>
      <c r="C92" s="37">
        <v>12441.27</v>
      </c>
      <c r="D92" s="38">
        <v>12156.190919999999</v>
      </c>
      <c r="E92" s="38">
        <v>7226.3426107408859</v>
      </c>
      <c r="F92" s="38">
        <v>143.60066034541146</v>
      </c>
      <c r="G92" s="25">
        <f t="shared" si="1"/>
        <v>12024969.821438041</v>
      </c>
    </row>
    <row r="93" spans="1:7">
      <c r="A93" s="1">
        <v>90</v>
      </c>
      <c r="B93" s="9">
        <v>39070</v>
      </c>
      <c r="C93" s="37">
        <v>12471.32</v>
      </c>
      <c r="D93" s="38">
        <v>12176.394529999998</v>
      </c>
      <c r="E93" s="38">
        <v>7222.4914406110092</v>
      </c>
      <c r="F93" s="38">
        <v>142.03250931256349</v>
      </c>
      <c r="G93" s="25">
        <f t="shared" si="1"/>
        <v>12013769.156970412</v>
      </c>
    </row>
    <row r="94" spans="1:7">
      <c r="A94" s="1">
        <v>91</v>
      </c>
      <c r="B94" s="9">
        <v>39071</v>
      </c>
      <c r="C94" s="37">
        <v>12463.87</v>
      </c>
      <c r="D94" s="38">
        <v>12183.96816</v>
      </c>
      <c r="E94" s="38">
        <v>7271.1234177215192</v>
      </c>
      <c r="F94" s="38">
        <v>143.7471691735677</v>
      </c>
      <c r="G94" s="25">
        <f t="shared" si="1"/>
        <v>12051671.448810101</v>
      </c>
    </row>
    <row r="95" spans="1:7">
      <c r="A95" s="1">
        <v>92</v>
      </c>
      <c r="B95" s="9">
        <v>39072</v>
      </c>
      <c r="C95" s="37">
        <v>12421.25</v>
      </c>
      <c r="D95" s="38">
        <v>12131.801029999999</v>
      </c>
      <c r="E95" s="38">
        <v>7254.331226961559</v>
      </c>
      <c r="F95" s="38">
        <v>143.92427184466021</v>
      </c>
      <c r="G95" s="25">
        <f t="shared" si="1"/>
        <v>12020333.142799735</v>
      </c>
    </row>
    <row r="96" spans="1:7">
      <c r="A96" s="1">
        <v>93</v>
      </c>
      <c r="B96" s="9">
        <v>39073</v>
      </c>
      <c r="C96" s="37">
        <v>12343.21</v>
      </c>
      <c r="D96" s="38">
        <v>12133.637999999999</v>
      </c>
      <c r="E96" s="38">
        <v>7175.2927246414938</v>
      </c>
      <c r="F96" s="38">
        <v>143.96902617624778</v>
      </c>
      <c r="G96" s="25">
        <f t="shared" si="1"/>
        <v>11980631.847162144</v>
      </c>
    </row>
    <row r="97" spans="1:7">
      <c r="A97" s="1">
        <v>94</v>
      </c>
      <c r="B97" s="9">
        <v>39078</v>
      </c>
      <c r="C97" s="37">
        <v>12510.57</v>
      </c>
      <c r="D97" s="38">
        <v>12210.615040000001</v>
      </c>
      <c r="E97" s="38">
        <v>7272.263061170911</v>
      </c>
      <c r="F97" s="38">
        <v>145.32504844553037</v>
      </c>
      <c r="G97" s="25">
        <f t="shared" si="1"/>
        <v>12105101.416484958</v>
      </c>
    </row>
    <row r="98" spans="1:7">
      <c r="A98" s="1">
        <v>95</v>
      </c>
      <c r="B98" s="9">
        <v>39079</v>
      </c>
      <c r="C98" s="37">
        <v>12501.52</v>
      </c>
      <c r="D98" s="38">
        <v>12231.53991</v>
      </c>
      <c r="E98" s="38">
        <v>7274.0370711187052</v>
      </c>
      <c r="F98" s="38">
        <v>144.77063371995294</v>
      </c>
      <c r="G98" s="25">
        <f t="shared" si="1"/>
        <v>12098814.176346488</v>
      </c>
    </row>
    <row r="99" spans="1:7">
      <c r="A99" s="1">
        <v>96</v>
      </c>
      <c r="B99" s="9">
        <v>39080</v>
      </c>
      <c r="C99" s="37">
        <v>12463.15</v>
      </c>
      <c r="D99" s="38">
        <v>12174.105600000001</v>
      </c>
      <c r="E99" s="38">
        <v>7307.172995780591</v>
      </c>
      <c r="F99" s="38">
        <v>144.56050688150387</v>
      </c>
      <c r="G99" s="25">
        <f t="shared" si="1"/>
        <v>12068560.202670828</v>
      </c>
    </row>
    <row r="100" spans="1:7">
      <c r="A100" s="1">
        <v>97</v>
      </c>
      <c r="B100" s="9">
        <v>39086</v>
      </c>
      <c r="C100" s="37">
        <v>12480.69</v>
      </c>
      <c r="D100" s="38">
        <v>12226.3289</v>
      </c>
      <c r="E100" s="38">
        <v>7297.4996727320331</v>
      </c>
      <c r="F100" s="38">
        <v>145.53564240187856</v>
      </c>
      <c r="G100" s="25">
        <f t="shared" si="1"/>
        <v>12106971.706254123</v>
      </c>
    </row>
    <row r="101" spans="1:7">
      <c r="A101" s="1">
        <v>98</v>
      </c>
      <c r="B101" s="9">
        <v>39087</v>
      </c>
      <c r="C101" s="37">
        <v>12398.01</v>
      </c>
      <c r="D101" s="38">
        <v>11989.242750000001</v>
      </c>
      <c r="E101" s="38">
        <v>7167.2512340867761</v>
      </c>
      <c r="F101" s="38">
        <v>143.94130032002695</v>
      </c>
      <c r="G101" s="25">
        <f t="shared" si="1"/>
        <v>11953606.814877938</v>
      </c>
    </row>
    <row r="102" spans="1:7">
      <c r="A102" s="1">
        <v>99</v>
      </c>
      <c r="B102" s="9">
        <v>39091</v>
      </c>
      <c r="C102" s="37">
        <v>12416.6</v>
      </c>
      <c r="D102" s="38">
        <v>12024.151660000001</v>
      </c>
      <c r="E102" s="38">
        <v>7194.162007541282</v>
      </c>
      <c r="F102" s="38">
        <v>144.36993299832494</v>
      </c>
      <c r="G102" s="25">
        <f t="shared" si="1"/>
        <v>11983200.98519332</v>
      </c>
    </row>
    <row r="103" spans="1:7">
      <c r="A103" s="1">
        <v>100</v>
      </c>
      <c r="B103" s="9">
        <v>39092</v>
      </c>
      <c r="C103" s="37">
        <v>12442.16</v>
      </c>
      <c r="D103" s="38">
        <v>11921.57057</v>
      </c>
      <c r="E103" s="38">
        <v>7123.1874676333509</v>
      </c>
      <c r="F103" s="38">
        <v>141.62333862743461</v>
      </c>
      <c r="G103" s="25">
        <f t="shared" si="1"/>
        <v>11900284.289148143</v>
      </c>
    </row>
    <row r="104" spans="1:7">
      <c r="A104" s="1">
        <v>101</v>
      </c>
      <c r="B104" s="9">
        <v>39093</v>
      </c>
      <c r="C104" s="37">
        <v>12514.98</v>
      </c>
      <c r="D104" s="38">
        <v>12095.739150000001</v>
      </c>
      <c r="E104" s="38">
        <v>7230.9873678783188</v>
      </c>
      <c r="F104" s="38">
        <v>139.79385637193855</v>
      </c>
      <c r="G104" s="25">
        <f t="shared" si="1"/>
        <v>11966094.24939017</v>
      </c>
    </row>
    <row r="105" spans="1:7">
      <c r="A105" s="1">
        <v>102</v>
      </c>
      <c r="B105" s="9">
        <v>39094</v>
      </c>
      <c r="C105" s="37">
        <v>12556.08</v>
      </c>
      <c r="D105" s="38">
        <v>12230.935599999999</v>
      </c>
      <c r="E105" s="38">
        <v>7265.4164511122608</v>
      </c>
      <c r="F105" s="38">
        <v>141.72837557125052</v>
      </c>
      <c r="G105" s="25">
        <f t="shared" si="1"/>
        <v>12063105.113428369</v>
      </c>
    </row>
    <row r="106" spans="1:7">
      <c r="A106" s="1">
        <v>103</v>
      </c>
      <c r="B106" s="9">
        <v>39098</v>
      </c>
      <c r="C106" s="37">
        <v>12582.59</v>
      </c>
      <c r="D106" s="38">
        <v>12188.9877</v>
      </c>
      <c r="E106" s="38">
        <v>7230.7513254881678</v>
      </c>
      <c r="F106" s="38">
        <v>142.47523604439291</v>
      </c>
      <c r="G106" s="25">
        <f t="shared" si="1"/>
        <v>12067265.780614976</v>
      </c>
    </row>
    <row r="107" spans="1:7">
      <c r="A107" s="1">
        <v>104</v>
      </c>
      <c r="B107" s="9">
        <v>39099</v>
      </c>
      <c r="C107" s="37">
        <v>12577.15</v>
      </c>
      <c r="D107" s="38">
        <v>12231.551300000001</v>
      </c>
      <c r="E107" s="38">
        <v>7202.5123025123021</v>
      </c>
      <c r="F107" s="38">
        <v>143.21206338670868</v>
      </c>
      <c r="G107" s="25">
        <f t="shared" si="1"/>
        <v>12087100.186791662</v>
      </c>
    </row>
    <row r="108" spans="1:7">
      <c r="A108" s="1">
        <v>105</v>
      </c>
      <c r="B108" s="9">
        <v>39100</v>
      </c>
      <c r="C108" s="37">
        <v>12567.93</v>
      </c>
      <c r="D108" s="38">
        <v>12247.953659999999</v>
      </c>
      <c r="E108" s="38">
        <v>7194.7157104002072</v>
      </c>
      <c r="F108" s="38">
        <v>143.19454290660292</v>
      </c>
      <c r="G108" s="25">
        <f t="shared" si="1"/>
        <v>12087311.941117592</v>
      </c>
    </row>
    <row r="109" spans="1:7">
      <c r="A109" s="1">
        <v>106</v>
      </c>
      <c r="B109" s="9">
        <v>39101</v>
      </c>
      <c r="C109" s="37">
        <v>12565.53</v>
      </c>
      <c r="D109" s="38">
        <v>12312.2328</v>
      </c>
      <c r="E109" s="38">
        <v>7268.2200647249192</v>
      </c>
      <c r="F109" s="38">
        <v>142.61361014994233</v>
      </c>
      <c r="G109" s="25">
        <f t="shared" si="1"/>
        <v>12108084.981391428</v>
      </c>
    </row>
    <row r="110" spans="1:7">
      <c r="A110" s="1">
        <v>107</v>
      </c>
      <c r="B110" s="9">
        <v>39104</v>
      </c>
      <c r="C110" s="37">
        <v>12477.16</v>
      </c>
      <c r="D110" s="38">
        <v>12289.423919999999</v>
      </c>
      <c r="E110" s="38">
        <v>7230.5040818971092</v>
      </c>
      <c r="F110" s="38">
        <v>143.31452541536439</v>
      </c>
      <c r="G110" s="25">
        <f t="shared" si="1"/>
        <v>12075229.205514114</v>
      </c>
    </row>
    <row r="111" spans="1:7">
      <c r="A111" s="1">
        <v>108</v>
      </c>
      <c r="B111" s="9">
        <v>39105</v>
      </c>
      <c r="C111" s="37">
        <v>12533.8</v>
      </c>
      <c r="D111" s="38">
        <v>12371.127399999999</v>
      </c>
      <c r="E111" s="38">
        <v>7265.8282288544242</v>
      </c>
      <c r="F111" s="38">
        <v>143.4220629428242</v>
      </c>
      <c r="G111" s="25">
        <f t="shared" si="1"/>
        <v>12128920.3535087</v>
      </c>
    </row>
    <row r="112" spans="1:7">
      <c r="A112" s="1">
        <v>109</v>
      </c>
      <c r="B112" s="9">
        <v>39106</v>
      </c>
      <c r="C112" s="37">
        <v>12621.77</v>
      </c>
      <c r="D112" s="38">
        <v>12411.7394</v>
      </c>
      <c r="E112" s="38">
        <v>7308.8929219600732</v>
      </c>
      <c r="F112" s="38">
        <v>144.71317573152587</v>
      </c>
      <c r="G112" s="25">
        <f t="shared" si="1"/>
        <v>12203369.861519489</v>
      </c>
    </row>
    <row r="113" spans="1:7">
      <c r="A113" s="1">
        <v>110</v>
      </c>
      <c r="B113" s="9">
        <v>39107</v>
      </c>
      <c r="C113" s="37">
        <v>12502.56</v>
      </c>
      <c r="D113" s="38">
        <v>12355.536440000002</v>
      </c>
      <c r="E113" s="38">
        <v>7279.0033739942901</v>
      </c>
      <c r="F113" s="38">
        <v>144.34311699049192</v>
      </c>
      <c r="G113" s="25">
        <f t="shared" si="1"/>
        <v>12131163.29469911</v>
      </c>
    </row>
    <row r="114" spans="1:7">
      <c r="A114" s="1">
        <v>111</v>
      </c>
      <c r="B114" s="9">
        <v>39108</v>
      </c>
      <c r="C114" s="37">
        <v>12487.02</v>
      </c>
      <c r="D114" s="38">
        <v>12204.388800000001</v>
      </c>
      <c r="E114" s="38">
        <v>7204.8270521424884</v>
      </c>
      <c r="F114" s="38">
        <v>143.40217301835543</v>
      </c>
      <c r="G114" s="25">
        <f t="shared" si="1"/>
        <v>12049646.266711434</v>
      </c>
    </row>
    <row r="115" spans="1:7">
      <c r="A115" s="1">
        <v>112</v>
      </c>
      <c r="B115" s="9">
        <v>39111</v>
      </c>
      <c r="C115" s="37">
        <v>12490.78</v>
      </c>
      <c r="D115" s="38">
        <v>12217.100209999999</v>
      </c>
      <c r="E115" s="38">
        <v>7269.9870633893916</v>
      </c>
      <c r="F115" s="38">
        <v>143.3062094988106</v>
      </c>
      <c r="G115" s="25">
        <f t="shared" si="1"/>
        <v>12063791.021234948</v>
      </c>
    </row>
    <row r="116" spans="1:7">
      <c r="A116" s="1">
        <v>113</v>
      </c>
      <c r="B116" s="9">
        <v>39112</v>
      </c>
      <c r="C116" s="37">
        <v>12523.31</v>
      </c>
      <c r="D116" s="38">
        <v>12243.058800000001</v>
      </c>
      <c r="E116" s="38">
        <v>7314.8354495983413</v>
      </c>
      <c r="F116" s="38">
        <v>143.91664609561423</v>
      </c>
      <c r="G116" s="25">
        <f t="shared" si="1"/>
        <v>12101762.952648995</v>
      </c>
    </row>
    <row r="117" spans="1:7">
      <c r="A117" s="1">
        <v>114</v>
      </c>
      <c r="B117" s="9">
        <v>39113</v>
      </c>
      <c r="C117" s="37">
        <v>12621.69</v>
      </c>
      <c r="D117" s="38">
        <v>12141.94794</v>
      </c>
      <c r="E117" s="38">
        <v>7288.2521117608849</v>
      </c>
      <c r="F117" s="38">
        <v>143.72401818933443</v>
      </c>
      <c r="G117" s="25">
        <f t="shared" si="1"/>
        <v>12098166.339275988</v>
      </c>
    </row>
    <row r="118" spans="1:7">
      <c r="A118" s="1">
        <v>115</v>
      </c>
      <c r="B118" s="9">
        <v>39114</v>
      </c>
      <c r="C118" s="37">
        <v>12673.68</v>
      </c>
      <c r="D118" s="38">
        <v>12379.0751</v>
      </c>
      <c r="E118" s="38">
        <v>7373.6814689412686</v>
      </c>
      <c r="F118" s="38">
        <v>145.39004149377593</v>
      </c>
      <c r="G118" s="25">
        <f t="shared" si="1"/>
        <v>12234448.654632429</v>
      </c>
    </row>
    <row r="119" spans="1:7">
      <c r="A119" s="1">
        <v>116</v>
      </c>
      <c r="B119" s="9">
        <v>39115</v>
      </c>
      <c r="C119" s="37">
        <v>12653.49</v>
      </c>
      <c r="D119" s="38">
        <v>12422.375559999999</v>
      </c>
      <c r="E119" s="38">
        <v>7366.4201375373032</v>
      </c>
      <c r="F119" s="38">
        <v>144.84984315667822</v>
      </c>
      <c r="G119" s="25">
        <f t="shared" si="1"/>
        <v>12229905.853110829</v>
      </c>
    </row>
    <row r="120" spans="1:7">
      <c r="A120" s="1">
        <v>117</v>
      </c>
      <c r="B120" s="9">
        <v>39118</v>
      </c>
      <c r="C120" s="37">
        <v>12661.74</v>
      </c>
      <c r="D120" s="38">
        <v>12383.715789999998</v>
      </c>
      <c r="E120" s="38">
        <v>7343.7306101344366</v>
      </c>
      <c r="F120" s="38">
        <v>144.19153711862995</v>
      </c>
      <c r="G120" s="25">
        <f t="shared" si="1"/>
        <v>12205489.370934017</v>
      </c>
    </row>
    <row r="121" spans="1:7">
      <c r="A121" s="1">
        <v>118</v>
      </c>
      <c r="B121" s="9">
        <v>39119</v>
      </c>
      <c r="C121" s="37">
        <v>12666.31</v>
      </c>
      <c r="D121" s="38">
        <v>12493.96081</v>
      </c>
      <c r="E121" s="38">
        <v>7353.3419689119164</v>
      </c>
      <c r="F121" s="38">
        <v>144.50323758924125</v>
      </c>
      <c r="G121" s="25">
        <f t="shared" si="1"/>
        <v>12248675.437127307</v>
      </c>
    </row>
    <row r="122" spans="1:7">
      <c r="A122" s="1">
        <v>119</v>
      </c>
      <c r="B122" s="9">
        <v>39120</v>
      </c>
      <c r="C122" s="37">
        <v>12666.87</v>
      </c>
      <c r="D122" s="38">
        <v>12548.551949999999</v>
      </c>
      <c r="E122" s="38">
        <v>7423.8479562613902</v>
      </c>
      <c r="F122" s="38">
        <v>143.31443726172716</v>
      </c>
      <c r="G122" s="25">
        <f t="shared" si="1"/>
        <v>12256235.897317855</v>
      </c>
    </row>
    <row r="123" spans="1:7">
      <c r="A123" s="1">
        <v>120</v>
      </c>
      <c r="B123" s="9">
        <v>39121</v>
      </c>
      <c r="C123" s="37">
        <v>12637.63</v>
      </c>
      <c r="D123" s="38">
        <v>12428.155119999999</v>
      </c>
      <c r="E123" s="38">
        <v>7386.0495436766623</v>
      </c>
      <c r="F123" s="38">
        <v>142.70077570556197</v>
      </c>
      <c r="G123" s="25">
        <f t="shared" si="1"/>
        <v>12191025.523716228</v>
      </c>
    </row>
    <row r="124" spans="1:7">
      <c r="A124" s="1">
        <v>121</v>
      </c>
      <c r="B124" s="9">
        <v>39122</v>
      </c>
      <c r="C124" s="37">
        <v>12580.83</v>
      </c>
      <c r="D124" s="38">
        <v>12436.247519999999</v>
      </c>
      <c r="E124" s="38">
        <v>7398.5573173901739</v>
      </c>
      <c r="F124" s="38">
        <v>143.8317995069844</v>
      </c>
      <c r="G124" s="25">
        <f t="shared" si="1"/>
        <v>12195008.154654881</v>
      </c>
    </row>
    <row r="125" spans="1:7">
      <c r="A125" s="1">
        <v>122</v>
      </c>
      <c r="B125" s="9">
        <v>39126</v>
      </c>
      <c r="C125" s="37">
        <v>12654.85</v>
      </c>
      <c r="D125" s="38">
        <v>12399.19922</v>
      </c>
      <c r="E125" s="38">
        <v>7395.4841228526802</v>
      </c>
      <c r="F125" s="38">
        <v>145.27164056059357</v>
      </c>
      <c r="G125" s="25">
        <f t="shared" si="1"/>
        <v>12235321.37708905</v>
      </c>
    </row>
    <row r="126" spans="1:7">
      <c r="A126" s="1">
        <v>123</v>
      </c>
      <c r="B126" s="9">
        <v>39127</v>
      </c>
      <c r="C126" s="37">
        <v>12741.86</v>
      </c>
      <c r="D126" s="38">
        <v>12590.046840000001</v>
      </c>
      <c r="E126" s="38">
        <v>7515.2119700748126</v>
      </c>
      <c r="F126" s="38">
        <v>146.98327537671798</v>
      </c>
      <c r="G126" s="25">
        <f t="shared" si="1"/>
        <v>12376190.45848893</v>
      </c>
    </row>
    <row r="127" spans="1:7">
      <c r="A127" s="1">
        <v>124</v>
      </c>
      <c r="B127" s="9">
        <v>39128</v>
      </c>
      <c r="C127" s="37">
        <v>12765.01</v>
      </c>
      <c r="D127" s="38">
        <v>12571.95486</v>
      </c>
      <c r="E127" s="38">
        <v>7518.5701143382839</v>
      </c>
      <c r="F127" s="38">
        <v>149.79268496819552</v>
      </c>
      <c r="G127" s="25">
        <f t="shared" si="1"/>
        <v>12429282.050417021</v>
      </c>
    </row>
    <row r="128" spans="1:7">
      <c r="A128" s="1">
        <v>125</v>
      </c>
      <c r="B128" s="9">
        <v>39129</v>
      </c>
      <c r="C128" s="37">
        <v>12767.57</v>
      </c>
      <c r="D128" s="38">
        <v>12518.025</v>
      </c>
      <c r="E128" s="38">
        <v>7498.1496062992128</v>
      </c>
      <c r="F128" s="38">
        <v>149.8252451596681</v>
      </c>
      <c r="G128" s="25">
        <f t="shared" si="1"/>
        <v>12410641.611968759</v>
      </c>
    </row>
    <row r="129" spans="1:7">
      <c r="A129" s="1">
        <v>126</v>
      </c>
      <c r="B129" s="9">
        <v>39133</v>
      </c>
      <c r="C129" s="37">
        <v>12786.64</v>
      </c>
      <c r="D129" s="38">
        <v>12549.512330000001</v>
      </c>
      <c r="E129" s="38">
        <v>7515.7195474875034</v>
      </c>
      <c r="F129" s="38">
        <v>149.355757222546</v>
      </c>
      <c r="G129" s="25">
        <f t="shared" si="1"/>
        <v>12421913.231414849</v>
      </c>
    </row>
    <row r="130" spans="1:7">
      <c r="A130" s="1">
        <v>127</v>
      </c>
      <c r="B130" s="9">
        <v>39134</v>
      </c>
      <c r="C130" s="37">
        <v>12738.41</v>
      </c>
      <c r="D130" s="38">
        <v>12410.966330000001</v>
      </c>
      <c r="E130" s="38">
        <v>7477.1008403361348</v>
      </c>
      <c r="F130" s="38">
        <v>148.05529382593602</v>
      </c>
      <c r="G130" s="25">
        <f t="shared" si="1"/>
        <v>12331832.301243776</v>
      </c>
    </row>
    <row r="131" spans="1:7">
      <c r="A131" s="1">
        <v>128</v>
      </c>
      <c r="B131" s="9">
        <v>39135</v>
      </c>
      <c r="C131" s="37">
        <v>12686.02</v>
      </c>
      <c r="D131" s="38">
        <v>12458.707249999999</v>
      </c>
      <c r="E131" s="38">
        <v>7481.79315768777</v>
      </c>
      <c r="F131" s="38">
        <v>149.11717720685112</v>
      </c>
      <c r="G131" s="25">
        <f t="shared" ref="G131:G194" si="2">C131/$C$503*H$2+D131/$D$503*I$2+E131/$E$503*J$2+F131/$F$503*K$2</f>
        <v>12347319.522005752</v>
      </c>
    </row>
    <row r="132" spans="1:7">
      <c r="A132" s="1">
        <v>129</v>
      </c>
      <c r="B132" s="9">
        <v>39136</v>
      </c>
      <c r="C132" s="37">
        <v>12647.48</v>
      </c>
      <c r="D132" s="38">
        <v>12564.8642</v>
      </c>
      <c r="E132" s="38">
        <v>7526.5042791310079</v>
      </c>
      <c r="F132" s="38">
        <v>150.2182028410968</v>
      </c>
      <c r="G132" s="25">
        <f t="shared" si="2"/>
        <v>12393236.338024184</v>
      </c>
    </row>
    <row r="133" spans="1:7">
      <c r="A133" s="1">
        <v>130</v>
      </c>
      <c r="B133" s="9">
        <v>39139</v>
      </c>
      <c r="C133" s="37">
        <v>12632.26</v>
      </c>
      <c r="D133" s="38">
        <v>12631.959570000001</v>
      </c>
      <c r="E133" s="38">
        <v>7590.2792413066391</v>
      </c>
      <c r="F133" s="38">
        <v>151.11456777833084</v>
      </c>
      <c r="G133" s="25">
        <f t="shared" si="2"/>
        <v>12434855.901181482</v>
      </c>
    </row>
    <row r="134" spans="1:7">
      <c r="A134" s="1">
        <v>131</v>
      </c>
      <c r="B134" s="9">
        <v>39140</v>
      </c>
      <c r="C134" s="37">
        <v>12216.24</v>
      </c>
      <c r="D134" s="38">
        <v>12355.95816</v>
      </c>
      <c r="E134" s="38">
        <v>7401.8410596026497</v>
      </c>
      <c r="F134" s="38">
        <v>152.61450349532552</v>
      </c>
      <c r="G134" s="25">
        <f t="shared" si="2"/>
        <v>12193825.402805066</v>
      </c>
    </row>
    <row r="135" spans="1:7">
      <c r="A135" s="1">
        <v>132</v>
      </c>
      <c r="B135" s="9">
        <v>39141</v>
      </c>
      <c r="C135" s="37">
        <v>12268.63</v>
      </c>
      <c r="D135" s="38">
        <v>12096.14</v>
      </c>
      <c r="E135" s="38">
        <v>7288.0433346545115</v>
      </c>
      <c r="F135" s="38">
        <v>148.59559382122055</v>
      </c>
      <c r="G135" s="25">
        <f t="shared" si="2"/>
        <v>12042047.555979356</v>
      </c>
    </row>
    <row r="136" spans="1:7">
      <c r="A136" s="1">
        <v>133</v>
      </c>
      <c r="B136" s="9">
        <v>39142</v>
      </c>
      <c r="C136" s="37">
        <v>12234.34</v>
      </c>
      <c r="D136" s="38">
        <v>11972.6816</v>
      </c>
      <c r="E136" s="38">
        <v>7184.9414242464118</v>
      </c>
      <c r="F136" s="38">
        <v>148.36373682420944</v>
      </c>
      <c r="G136" s="25">
        <f t="shared" si="2"/>
        <v>11970283.851086983</v>
      </c>
    </row>
    <row r="137" spans="1:7">
      <c r="A137" s="1">
        <v>134</v>
      </c>
      <c r="B137" s="9">
        <v>39143</v>
      </c>
      <c r="C137" s="37">
        <v>12114.1</v>
      </c>
      <c r="D137" s="38">
        <v>11891.116039999999</v>
      </c>
      <c r="E137" s="38">
        <v>7144.3434742526015</v>
      </c>
      <c r="F137" s="38">
        <v>147.13664330883611</v>
      </c>
      <c r="G137" s="25">
        <f t="shared" si="2"/>
        <v>11872857.868002228</v>
      </c>
    </row>
    <row r="138" spans="1:7">
      <c r="A138" s="1">
        <v>135</v>
      </c>
      <c r="B138" s="9">
        <v>39146</v>
      </c>
      <c r="C138" s="37">
        <v>12050.41</v>
      </c>
      <c r="D138" s="38">
        <v>11669.056199999999</v>
      </c>
      <c r="E138" s="38">
        <v>7054.0083835472888</v>
      </c>
      <c r="F138" s="38">
        <v>143.45530557710541</v>
      </c>
      <c r="G138" s="25">
        <f t="shared" si="2"/>
        <v>11700521.393356513</v>
      </c>
    </row>
    <row r="139" spans="1:7">
      <c r="A139" s="1">
        <v>136</v>
      </c>
      <c r="B139" s="9">
        <v>39147</v>
      </c>
      <c r="C139" s="37">
        <v>12207.59</v>
      </c>
      <c r="D139" s="38">
        <v>11819.68175</v>
      </c>
      <c r="E139" s="38">
        <v>7125.989515072084</v>
      </c>
      <c r="F139" s="38">
        <v>144.8989247311828</v>
      </c>
      <c r="G139" s="25">
        <f t="shared" si="2"/>
        <v>11841834.528694276</v>
      </c>
    </row>
    <row r="140" spans="1:7">
      <c r="A140" s="1">
        <v>137</v>
      </c>
      <c r="B140" s="9">
        <v>39148</v>
      </c>
      <c r="C140" s="37">
        <v>12192.45</v>
      </c>
      <c r="D140" s="38">
        <v>11885.123250000001</v>
      </c>
      <c r="E140" s="38">
        <v>7171.1187064545802</v>
      </c>
      <c r="F140" s="38">
        <v>143.82824296499655</v>
      </c>
      <c r="G140" s="25">
        <f t="shared" si="2"/>
        <v>11845089.217739731</v>
      </c>
    </row>
    <row r="141" spans="1:7">
      <c r="A141" s="1">
        <v>138</v>
      </c>
      <c r="B141" s="9">
        <v>39149</v>
      </c>
      <c r="C141" s="37">
        <v>12260.7</v>
      </c>
      <c r="D141" s="38">
        <v>12020.083769999999</v>
      </c>
      <c r="E141" s="38">
        <v>7251.5883433972167</v>
      </c>
      <c r="F141" s="38">
        <v>145.64777569456282</v>
      </c>
      <c r="G141" s="25">
        <f t="shared" si="2"/>
        <v>11957266.374401685</v>
      </c>
    </row>
    <row r="142" spans="1:7">
      <c r="A142" s="1">
        <v>139</v>
      </c>
      <c r="B142" s="9">
        <v>39150</v>
      </c>
      <c r="C142" s="37">
        <v>12276.32</v>
      </c>
      <c r="D142" s="38">
        <v>12065.10188</v>
      </c>
      <c r="E142" s="38">
        <v>7262.7409836065581</v>
      </c>
      <c r="F142" s="38">
        <v>145.33480101608808</v>
      </c>
      <c r="G142" s="25">
        <f t="shared" si="2"/>
        <v>11973253.904063797</v>
      </c>
    </row>
    <row r="143" spans="1:7">
      <c r="A143" s="1">
        <v>140</v>
      </c>
      <c r="B143" s="9">
        <v>39153</v>
      </c>
      <c r="C143" s="37">
        <v>12318.62</v>
      </c>
      <c r="D143" s="38">
        <v>12024.659030000001</v>
      </c>
      <c r="E143" s="38">
        <v>7246.9277426160334</v>
      </c>
      <c r="F143" s="38">
        <v>147.09416468186458</v>
      </c>
      <c r="G143" s="25">
        <f t="shared" si="2"/>
        <v>12004604.32751254</v>
      </c>
    </row>
    <row r="144" spans="1:7">
      <c r="A144" s="1">
        <v>141</v>
      </c>
      <c r="B144" s="9">
        <v>39154</v>
      </c>
      <c r="C144" s="37">
        <v>12075.96</v>
      </c>
      <c r="D144" s="38">
        <v>11904.05452</v>
      </c>
      <c r="E144" s="38">
        <v>7171.2513199577606</v>
      </c>
      <c r="F144" s="38">
        <v>146.8527953496324</v>
      </c>
      <c r="G144" s="25">
        <f t="shared" si="2"/>
        <v>11862367.772423293</v>
      </c>
    </row>
    <row r="145" spans="1:7">
      <c r="A145" s="1">
        <v>142</v>
      </c>
      <c r="B145" s="9">
        <v>39155</v>
      </c>
      <c r="C145" s="37">
        <v>12133.4</v>
      </c>
      <c r="D145" s="38">
        <v>11603.55359</v>
      </c>
      <c r="E145" s="38">
        <v>7004.655468853327</v>
      </c>
      <c r="F145" s="38">
        <v>143.3461406223139</v>
      </c>
      <c r="G145" s="25">
        <f t="shared" si="2"/>
        <v>11700274.584654948</v>
      </c>
    </row>
    <row r="146" spans="1:7">
      <c r="A146" s="1">
        <v>143</v>
      </c>
      <c r="B146" s="9">
        <v>39156</v>
      </c>
      <c r="C146" s="37">
        <v>12159.68</v>
      </c>
      <c r="D146" s="38">
        <v>11876.941800000001</v>
      </c>
      <c r="E146" s="38">
        <v>7140.7657657657664</v>
      </c>
      <c r="F146" s="38">
        <v>143.76185197817188</v>
      </c>
      <c r="G146" s="25">
        <f t="shared" si="2"/>
        <v>11824567.736578207</v>
      </c>
    </row>
    <row r="147" spans="1:7">
      <c r="A147" s="1">
        <v>144</v>
      </c>
      <c r="B147" s="9">
        <v>39157</v>
      </c>
      <c r="C147" s="37">
        <v>12110.41</v>
      </c>
      <c r="D147" s="38">
        <v>11908.077440000001</v>
      </c>
      <c r="E147" s="38">
        <v>7163.7960867829097</v>
      </c>
      <c r="F147" s="38">
        <v>143.406560465913</v>
      </c>
      <c r="G147" s="25">
        <f t="shared" si="2"/>
        <v>11813833.292765386</v>
      </c>
    </row>
    <row r="148" spans="1:7">
      <c r="A148" s="1">
        <v>145</v>
      </c>
      <c r="B148" s="9">
        <v>39160</v>
      </c>
      <c r="C148" s="37">
        <v>12226.17</v>
      </c>
      <c r="D148" s="38">
        <v>12045.191339999999</v>
      </c>
      <c r="E148" s="38">
        <v>7260.2074743981912</v>
      </c>
      <c r="F148" s="38">
        <v>144.65133089548431</v>
      </c>
      <c r="G148" s="25">
        <f t="shared" si="2"/>
        <v>11936307.436769996</v>
      </c>
    </row>
    <row r="149" spans="1:7">
      <c r="A149" s="1">
        <v>146</v>
      </c>
      <c r="B149" s="9">
        <v>39161</v>
      </c>
      <c r="C149" s="37">
        <v>12288.1</v>
      </c>
      <c r="D149" s="38">
        <v>12178.72537</v>
      </c>
      <c r="E149" s="38">
        <v>7314.2876129718243</v>
      </c>
      <c r="F149" s="38">
        <v>146.28142844967186</v>
      </c>
      <c r="G149" s="25">
        <f t="shared" si="2"/>
        <v>12038131.008446213</v>
      </c>
    </row>
    <row r="150" spans="1:7">
      <c r="A150" s="1">
        <v>147</v>
      </c>
      <c r="B150" s="9">
        <v>39163</v>
      </c>
      <c r="C150" s="37">
        <v>12461.14</v>
      </c>
      <c r="D150" s="38">
        <v>12429.401400000001</v>
      </c>
      <c r="E150" s="38">
        <v>7478.4531124766227</v>
      </c>
      <c r="F150" s="38">
        <v>147.92119565217391</v>
      </c>
      <c r="G150" s="25">
        <f t="shared" si="2"/>
        <v>12234810.59665779</v>
      </c>
    </row>
    <row r="151" spans="1:7">
      <c r="A151" s="1">
        <v>148</v>
      </c>
      <c r="B151" s="9">
        <v>39164</v>
      </c>
      <c r="C151" s="37">
        <v>12481.01</v>
      </c>
      <c r="D151" s="38">
        <v>12445.51008</v>
      </c>
      <c r="E151" s="38">
        <v>7495.0119712689539</v>
      </c>
      <c r="F151" s="38">
        <v>148.35449376219978</v>
      </c>
      <c r="G151" s="25">
        <f t="shared" si="2"/>
        <v>12257407.303087493</v>
      </c>
    </row>
    <row r="152" spans="1:7">
      <c r="A152" s="1">
        <v>149</v>
      </c>
      <c r="B152" s="9">
        <v>39167</v>
      </c>
      <c r="C152" s="37">
        <v>12469.07</v>
      </c>
      <c r="D152" s="38">
        <v>12385.605149999999</v>
      </c>
      <c r="E152" s="38">
        <v>7435.0666666666666</v>
      </c>
      <c r="F152" s="38">
        <v>148.65495885297361</v>
      </c>
      <c r="G152" s="25">
        <f t="shared" si="2"/>
        <v>12230012.056878613</v>
      </c>
    </row>
    <row r="153" spans="1:7">
      <c r="A153" s="1">
        <v>150</v>
      </c>
      <c r="B153" s="9">
        <v>39168</v>
      </c>
      <c r="C153" s="37">
        <v>12397.29</v>
      </c>
      <c r="D153" s="38">
        <v>12366.846780000002</v>
      </c>
      <c r="E153" s="38">
        <v>7457.3678590496538</v>
      </c>
      <c r="F153" s="38">
        <v>147.24879165606714</v>
      </c>
      <c r="G153" s="25">
        <f t="shared" si="2"/>
        <v>12176770.009698067</v>
      </c>
    </row>
    <row r="154" spans="1:7">
      <c r="A154" s="1">
        <v>151</v>
      </c>
      <c r="B154" s="9">
        <v>39169</v>
      </c>
      <c r="C154" s="37">
        <v>12300.36</v>
      </c>
      <c r="D154" s="38">
        <v>12317.55488</v>
      </c>
      <c r="E154" s="38">
        <v>7422.3900548055071</v>
      </c>
      <c r="F154" s="38">
        <v>148.1601408208827</v>
      </c>
      <c r="G154" s="25">
        <f t="shared" si="2"/>
        <v>12136703.684633179</v>
      </c>
    </row>
    <row r="155" spans="1:7">
      <c r="A155" s="1">
        <v>152</v>
      </c>
      <c r="B155" s="9">
        <v>39170</v>
      </c>
      <c r="C155" s="37">
        <v>12348.75</v>
      </c>
      <c r="D155" s="38">
        <v>12414.4046</v>
      </c>
      <c r="E155" s="38">
        <v>7508.706666666666</v>
      </c>
      <c r="F155" s="38">
        <v>146.42866836301948</v>
      </c>
      <c r="G155" s="25">
        <f t="shared" si="2"/>
        <v>12167757.985604953</v>
      </c>
    </row>
    <row r="156" spans="1:7">
      <c r="A156" s="1">
        <v>153</v>
      </c>
      <c r="B156" s="9">
        <v>39171</v>
      </c>
      <c r="C156" s="37">
        <v>12354.35</v>
      </c>
      <c r="D156" s="38">
        <v>12371.8804</v>
      </c>
      <c r="E156" s="38">
        <v>7500.2129925452609</v>
      </c>
      <c r="F156" s="38">
        <v>146.43105200745384</v>
      </c>
      <c r="G156" s="25">
        <f t="shared" si="2"/>
        <v>12155173.715422319</v>
      </c>
    </row>
    <row r="157" spans="1:7">
      <c r="A157" s="1">
        <v>154</v>
      </c>
      <c r="B157" s="9">
        <v>39174</v>
      </c>
      <c r="C157" s="37">
        <v>12382.3</v>
      </c>
      <c r="D157" s="38">
        <v>12490.164350000001</v>
      </c>
      <c r="E157" s="38">
        <v>7550.568409790023</v>
      </c>
      <c r="F157" s="38">
        <v>144.52902732982517</v>
      </c>
      <c r="G157" s="25">
        <f t="shared" si="2"/>
        <v>12176685.22822682</v>
      </c>
    </row>
    <row r="158" spans="1:7">
      <c r="A158" s="1">
        <v>155</v>
      </c>
      <c r="B158" s="9">
        <v>39175</v>
      </c>
      <c r="C158" s="37">
        <v>12510.93</v>
      </c>
      <c r="D158" s="38">
        <v>12595.32885</v>
      </c>
      <c r="E158" s="38">
        <v>7638.2856378710885</v>
      </c>
      <c r="F158" s="38">
        <v>145.17637649435932</v>
      </c>
      <c r="G158" s="25">
        <f t="shared" si="2"/>
        <v>12281853.019259728</v>
      </c>
    </row>
    <row r="159" spans="1:7">
      <c r="A159" s="1">
        <v>156</v>
      </c>
      <c r="B159" s="9">
        <v>39176</v>
      </c>
      <c r="C159" s="37">
        <v>12530.05</v>
      </c>
      <c r="D159" s="38">
        <v>12584.28484</v>
      </c>
      <c r="E159" s="38">
        <v>7675.551691855022</v>
      </c>
      <c r="F159" s="38">
        <v>147.9016186140617</v>
      </c>
      <c r="G159" s="25">
        <f t="shared" si="2"/>
        <v>12339661.233471449</v>
      </c>
    </row>
    <row r="160" spans="1:7">
      <c r="A160" s="1">
        <v>157</v>
      </c>
      <c r="B160" s="9">
        <v>39177</v>
      </c>
      <c r="C160" s="37">
        <v>12560.83</v>
      </c>
      <c r="D160" s="38">
        <v>12614.19614</v>
      </c>
      <c r="E160" s="38">
        <v>7713.7981996506787</v>
      </c>
      <c r="F160" s="38">
        <v>147.54466469843948</v>
      </c>
      <c r="G160" s="25">
        <f t="shared" si="2"/>
        <v>12360019.607592903</v>
      </c>
    </row>
    <row r="161" spans="1:7">
      <c r="A161" s="1">
        <v>158</v>
      </c>
      <c r="B161" s="9">
        <v>39182</v>
      </c>
      <c r="C161" s="37">
        <v>12573.85</v>
      </c>
      <c r="D161" s="38">
        <v>12658.468720000001</v>
      </c>
      <c r="E161" s="38">
        <v>7750.3629032258068</v>
      </c>
      <c r="F161" s="38">
        <v>148.34304669129995</v>
      </c>
      <c r="G161" s="25">
        <f t="shared" si="2"/>
        <v>12398630.094646741</v>
      </c>
    </row>
    <row r="162" spans="1:7">
      <c r="A162" s="1">
        <v>159</v>
      </c>
      <c r="B162" s="9">
        <v>39183</v>
      </c>
      <c r="C162" s="37">
        <v>12484.62</v>
      </c>
      <c r="D162" s="38">
        <v>12691.27937</v>
      </c>
      <c r="E162" s="38">
        <v>7730.0362854455052</v>
      </c>
      <c r="F162" s="38">
        <v>148.07734852928851</v>
      </c>
      <c r="G162" s="25">
        <f t="shared" si="2"/>
        <v>12368512.88584948</v>
      </c>
    </row>
    <row r="163" spans="1:7">
      <c r="A163" s="1">
        <v>160</v>
      </c>
      <c r="B163" s="9">
        <v>39184</v>
      </c>
      <c r="C163" s="37">
        <v>12552.96</v>
      </c>
      <c r="D163" s="38">
        <v>12699.980519999999</v>
      </c>
      <c r="E163" s="38">
        <v>7758.3535762483125</v>
      </c>
      <c r="F163" s="38">
        <v>147.46044556536359</v>
      </c>
      <c r="G163" s="25">
        <f t="shared" si="2"/>
        <v>12389664.357377887</v>
      </c>
    </row>
    <row r="164" spans="1:7">
      <c r="A164" s="1">
        <v>161</v>
      </c>
      <c r="B164" s="9">
        <v>39185</v>
      </c>
      <c r="C164" s="37">
        <v>12612.13</v>
      </c>
      <c r="D164" s="38">
        <v>12813.646719999999</v>
      </c>
      <c r="E164" s="38">
        <v>7823.4324324324325</v>
      </c>
      <c r="F164" s="38">
        <v>145.54861693210395</v>
      </c>
      <c r="G164" s="25">
        <f t="shared" si="2"/>
        <v>12423263.615099069</v>
      </c>
    </row>
    <row r="165" spans="1:7">
      <c r="A165" s="1">
        <v>162</v>
      </c>
      <c r="B165" s="9">
        <v>39188</v>
      </c>
      <c r="C165" s="37">
        <v>12720.46</v>
      </c>
      <c r="D165" s="38">
        <v>12967.88962</v>
      </c>
      <c r="E165" s="38">
        <v>7941.9726324346302</v>
      </c>
      <c r="F165" s="38">
        <v>147.13546448543525</v>
      </c>
      <c r="G165" s="25">
        <f t="shared" si="2"/>
        <v>12558027.160986759</v>
      </c>
    </row>
    <row r="166" spans="1:7">
      <c r="A166" s="1">
        <v>163</v>
      </c>
      <c r="B166" s="9">
        <v>39189</v>
      </c>
      <c r="C166" s="37">
        <v>12773.04</v>
      </c>
      <c r="D166" s="38">
        <v>13028.738780000001</v>
      </c>
      <c r="E166" s="38">
        <v>7948.6295793758482</v>
      </c>
      <c r="F166" s="38">
        <v>146.95606606858391</v>
      </c>
      <c r="G166" s="25">
        <f t="shared" si="2"/>
        <v>12594017.890359707</v>
      </c>
    </row>
    <row r="167" spans="1:7">
      <c r="A167" s="1">
        <v>164</v>
      </c>
      <c r="B167" s="9">
        <v>39190</v>
      </c>
      <c r="C167" s="37">
        <v>12803.84</v>
      </c>
      <c r="D167" s="38">
        <v>12933.626759999999</v>
      </c>
      <c r="E167" s="38">
        <v>7927.125781037762</v>
      </c>
      <c r="F167" s="38">
        <v>149.40659619450318</v>
      </c>
      <c r="G167" s="25">
        <f t="shared" si="2"/>
        <v>12615445.117462721</v>
      </c>
    </row>
    <row r="168" spans="1:7">
      <c r="A168" s="1">
        <v>165</v>
      </c>
      <c r="B168" s="9">
        <v>39191</v>
      </c>
      <c r="C168" s="37">
        <v>12808.63</v>
      </c>
      <c r="D168" s="38">
        <v>12897.945560000002</v>
      </c>
      <c r="E168" s="38">
        <v>7931.7458157572455</v>
      </c>
      <c r="F168" s="38">
        <v>146.88399425044392</v>
      </c>
      <c r="G168" s="25">
        <f t="shared" si="2"/>
        <v>12562059.860127658</v>
      </c>
    </row>
    <row r="169" spans="1:7">
      <c r="A169" s="1">
        <v>166</v>
      </c>
      <c r="B169" s="9">
        <v>39192</v>
      </c>
      <c r="C169" s="37">
        <v>12961.98</v>
      </c>
      <c r="D169" s="38">
        <v>12996.3038</v>
      </c>
      <c r="E169" s="38">
        <v>8072.4480086991971</v>
      </c>
      <c r="F169" s="38">
        <v>146.79636638909915</v>
      </c>
      <c r="G169" s="25">
        <f t="shared" si="2"/>
        <v>12669588.235758051</v>
      </c>
    </row>
    <row r="170" spans="1:7">
      <c r="A170" s="1">
        <v>167</v>
      </c>
      <c r="B170" s="9">
        <v>39195</v>
      </c>
      <c r="C170" s="37">
        <v>12919.4</v>
      </c>
      <c r="D170" s="38">
        <v>12961.343910000001</v>
      </c>
      <c r="E170" s="38">
        <v>8027.8388278388275</v>
      </c>
      <c r="F170" s="38">
        <v>147.01735029057525</v>
      </c>
      <c r="G170" s="25">
        <f t="shared" si="2"/>
        <v>12639933.324247379</v>
      </c>
    </row>
    <row r="171" spans="1:7">
      <c r="A171" s="1">
        <v>168</v>
      </c>
      <c r="B171" s="9">
        <v>39196</v>
      </c>
      <c r="C171" s="37">
        <v>12953.94</v>
      </c>
      <c r="D171" s="38">
        <v>12877.002600000002</v>
      </c>
      <c r="E171" s="38">
        <v>8018.0220678381693</v>
      </c>
      <c r="F171" s="38">
        <v>147.3842580863103</v>
      </c>
      <c r="G171" s="25">
        <f t="shared" si="2"/>
        <v>12631032.182497561</v>
      </c>
    </row>
    <row r="172" spans="1:7">
      <c r="A172" s="1">
        <v>169</v>
      </c>
      <c r="B172" s="9">
        <v>39197</v>
      </c>
      <c r="C172" s="37">
        <v>13089.89</v>
      </c>
      <c r="D172" s="38">
        <v>12960.632829999999</v>
      </c>
      <c r="E172" s="38">
        <v>8123.6579702226472</v>
      </c>
      <c r="F172" s="38">
        <v>145.47738014854826</v>
      </c>
      <c r="G172" s="25">
        <f t="shared" si="2"/>
        <v>12689738.022317985</v>
      </c>
    </row>
    <row r="173" spans="1:7">
      <c r="A173" s="1">
        <v>170</v>
      </c>
      <c r="B173" s="9">
        <v>39198</v>
      </c>
      <c r="C173" s="37">
        <v>13105.5</v>
      </c>
      <c r="D173" s="38">
        <v>12886.397859999999</v>
      </c>
      <c r="E173" s="38">
        <v>8087.6734693877543</v>
      </c>
      <c r="F173" s="38">
        <v>145.98517463774184</v>
      </c>
      <c r="G173" s="25">
        <f t="shared" si="2"/>
        <v>12675402.453575682</v>
      </c>
    </row>
    <row r="174" spans="1:7">
      <c r="A174" s="1">
        <v>171</v>
      </c>
      <c r="B174" s="9">
        <v>39199</v>
      </c>
      <c r="C174" s="37">
        <v>13120.94</v>
      </c>
      <c r="D174" s="38">
        <v>12850.237399999998</v>
      </c>
      <c r="E174" s="38">
        <v>8099.9317126468186</v>
      </c>
      <c r="F174" s="38">
        <v>145.65888163401976</v>
      </c>
      <c r="G174" s="25">
        <f t="shared" si="2"/>
        <v>12665898.305547439</v>
      </c>
    </row>
    <row r="175" spans="1:7">
      <c r="A175" s="1">
        <v>172</v>
      </c>
      <c r="B175" s="9">
        <v>39204</v>
      </c>
      <c r="C175" s="37">
        <v>13211.88</v>
      </c>
      <c r="D175" s="38">
        <v>12905.4519</v>
      </c>
      <c r="E175" s="38">
        <v>8144.2963970088376</v>
      </c>
      <c r="F175" s="38">
        <v>144.8249104987095</v>
      </c>
      <c r="G175" s="25">
        <f t="shared" si="2"/>
        <v>12708527.23848724</v>
      </c>
    </row>
    <row r="176" spans="1:7">
      <c r="A176" s="1">
        <v>173</v>
      </c>
      <c r="B176" s="9">
        <v>39210</v>
      </c>
      <c r="C176" s="37">
        <v>13309.07</v>
      </c>
      <c r="D176" s="38">
        <v>13036.60608</v>
      </c>
      <c r="E176" s="38">
        <v>8163.2169913419921</v>
      </c>
      <c r="F176" s="38">
        <v>147.29990823392006</v>
      </c>
      <c r="G176" s="25">
        <f t="shared" si="2"/>
        <v>12831710.285839895</v>
      </c>
    </row>
    <row r="177" spans="1:7">
      <c r="A177" s="1">
        <v>174</v>
      </c>
      <c r="B177" s="9">
        <v>39211</v>
      </c>
      <c r="C177" s="37">
        <v>13362.87</v>
      </c>
      <c r="D177" s="38">
        <v>13078.89624</v>
      </c>
      <c r="E177" s="38">
        <v>8201.151917604011</v>
      </c>
      <c r="F177" s="38">
        <v>148.25929329212263</v>
      </c>
      <c r="G177" s="25">
        <f t="shared" si="2"/>
        <v>12887575.765585139</v>
      </c>
    </row>
    <row r="178" spans="1:7">
      <c r="A178" s="1">
        <v>175</v>
      </c>
      <c r="B178" s="9">
        <v>39212</v>
      </c>
      <c r="C178" s="37">
        <v>13215.13</v>
      </c>
      <c r="D178" s="38">
        <v>12935.985479999999</v>
      </c>
      <c r="E178" s="38">
        <v>8124.2534792595598</v>
      </c>
      <c r="F178" s="38">
        <v>147.28024578593372</v>
      </c>
      <c r="G178" s="25">
        <f t="shared" si="2"/>
        <v>12759541.792162117</v>
      </c>
    </row>
    <row r="179" spans="1:7">
      <c r="A179" s="1">
        <v>176</v>
      </c>
      <c r="B179" s="9">
        <v>39213</v>
      </c>
      <c r="C179" s="37">
        <v>13326.22</v>
      </c>
      <c r="D179" s="38">
        <v>13016.500249999999</v>
      </c>
      <c r="E179" s="38">
        <v>8182.055442866802</v>
      </c>
      <c r="F179" s="38">
        <v>146.15920066611159</v>
      </c>
      <c r="G179" s="25">
        <f t="shared" si="2"/>
        <v>12814467.949113296</v>
      </c>
    </row>
    <row r="180" spans="1:7">
      <c r="A180" s="1">
        <v>177</v>
      </c>
      <c r="B180" s="9">
        <v>39216</v>
      </c>
      <c r="C180" s="37">
        <v>13346.78</v>
      </c>
      <c r="D180" s="38">
        <v>12983.167749999999</v>
      </c>
      <c r="E180" s="38">
        <v>8159.2472244787432</v>
      </c>
      <c r="F180" s="38">
        <v>146.87554004652708</v>
      </c>
      <c r="G180" s="25">
        <f t="shared" si="2"/>
        <v>12820532.885524904</v>
      </c>
    </row>
    <row r="181" spans="1:7">
      <c r="A181" s="1">
        <v>178</v>
      </c>
      <c r="B181" s="9">
        <v>39217</v>
      </c>
      <c r="C181" s="37">
        <v>13383.84</v>
      </c>
      <c r="D181" s="38">
        <v>13032.1024</v>
      </c>
      <c r="E181" s="38">
        <v>8225.3704962610464</v>
      </c>
      <c r="F181" s="38">
        <v>145.61386879521078</v>
      </c>
      <c r="G181" s="25">
        <f t="shared" si="2"/>
        <v>12837573.207785998</v>
      </c>
    </row>
    <row r="182" spans="1:7">
      <c r="A182" s="1">
        <v>179</v>
      </c>
      <c r="B182" s="9">
        <v>39218</v>
      </c>
      <c r="C182" s="37">
        <v>13487.53</v>
      </c>
      <c r="D182" s="38">
        <v>13006.176599999999</v>
      </c>
      <c r="E182" s="38">
        <v>8169.8479500407275</v>
      </c>
      <c r="F182" s="38">
        <v>145.23987074322645</v>
      </c>
      <c r="G182" s="25">
        <f t="shared" si="2"/>
        <v>12851516.750478724</v>
      </c>
    </row>
    <row r="183" spans="1:7">
      <c r="A183" s="1">
        <v>180</v>
      </c>
      <c r="B183" s="9">
        <v>39219</v>
      </c>
      <c r="C183" s="37">
        <v>13476.72</v>
      </c>
      <c r="D183" s="38">
        <v>12995.433360000001</v>
      </c>
      <c r="E183" s="38">
        <v>8131.4085267134378</v>
      </c>
      <c r="F183" s="38">
        <v>144.29454935268407</v>
      </c>
      <c r="G183" s="25">
        <f t="shared" si="2"/>
        <v>12821279.168489091</v>
      </c>
    </row>
    <row r="184" spans="1:7">
      <c r="A184" s="1">
        <v>181</v>
      </c>
      <c r="B184" s="9">
        <v>39220</v>
      </c>
      <c r="C184" s="37">
        <v>13556.53</v>
      </c>
      <c r="D184" s="38">
        <v>13111.128869999999</v>
      </c>
      <c r="E184" s="38">
        <v>8233.6572199730108</v>
      </c>
      <c r="F184" s="38">
        <v>143.54904710832443</v>
      </c>
      <c r="G184" s="25">
        <f t="shared" si="2"/>
        <v>12889673.268646125</v>
      </c>
    </row>
    <row r="185" spans="1:7">
      <c r="A185" s="1">
        <v>182</v>
      </c>
      <c r="B185" s="9">
        <v>39223</v>
      </c>
      <c r="C185" s="37">
        <v>13542.88</v>
      </c>
      <c r="D185" s="38">
        <v>13069.850240000002</v>
      </c>
      <c r="E185" s="38">
        <v>8196.3795423956926</v>
      </c>
      <c r="F185" s="38">
        <v>144.38215460526317</v>
      </c>
      <c r="G185" s="25">
        <f t="shared" si="2"/>
        <v>12880576.227174181</v>
      </c>
    </row>
    <row r="186" spans="1:7">
      <c r="A186" s="1">
        <v>183</v>
      </c>
      <c r="B186" s="9">
        <v>39224</v>
      </c>
      <c r="C186" s="37">
        <v>13539.95</v>
      </c>
      <c r="D186" s="38">
        <v>13046.053019999999</v>
      </c>
      <c r="E186" s="38">
        <v>8198.3306408185254</v>
      </c>
      <c r="F186" s="38">
        <v>145.61069016636466</v>
      </c>
      <c r="G186" s="25">
        <f t="shared" si="2"/>
        <v>12894169.143033968</v>
      </c>
    </row>
    <row r="187" spans="1:7">
      <c r="A187" s="1">
        <v>184</v>
      </c>
      <c r="B187" s="9">
        <v>39225</v>
      </c>
      <c r="C187" s="37">
        <v>13525.65</v>
      </c>
      <c r="D187" s="38">
        <v>13160.0196</v>
      </c>
      <c r="E187" s="38">
        <v>8256.0366922973153</v>
      </c>
      <c r="F187" s="38">
        <v>145.79314888010541</v>
      </c>
      <c r="G187" s="25">
        <f t="shared" si="2"/>
        <v>12937135.766125489</v>
      </c>
    </row>
    <row r="188" spans="1:7">
      <c r="A188" s="1">
        <v>185</v>
      </c>
      <c r="B188" s="9">
        <v>39226</v>
      </c>
      <c r="C188" s="37">
        <v>13441.13</v>
      </c>
      <c r="D188" s="38">
        <v>13035.601699999999</v>
      </c>
      <c r="E188" s="38">
        <v>8126.1722423753872</v>
      </c>
      <c r="F188" s="38">
        <v>145.73803837601912</v>
      </c>
      <c r="G188" s="25">
        <f t="shared" si="2"/>
        <v>12845660.24274238</v>
      </c>
    </row>
    <row r="189" spans="1:7">
      <c r="A189" s="1">
        <v>186</v>
      </c>
      <c r="B189" s="9">
        <v>39227</v>
      </c>
      <c r="C189" s="37">
        <v>13507.28</v>
      </c>
      <c r="D189" s="38">
        <v>13041.1284</v>
      </c>
      <c r="E189" s="38">
        <v>8150.5516684607101</v>
      </c>
      <c r="F189" s="38">
        <v>143.71267675106873</v>
      </c>
      <c r="G189" s="25">
        <f t="shared" si="2"/>
        <v>12839422.044332558</v>
      </c>
    </row>
    <row r="190" spans="1:7">
      <c r="A190" s="1">
        <v>187</v>
      </c>
      <c r="B190" s="9">
        <v>39231</v>
      </c>
      <c r="C190" s="37">
        <v>13521.34</v>
      </c>
      <c r="D190" s="38">
        <v>13091.440399999999</v>
      </c>
      <c r="E190" s="38">
        <v>8165.5521100175274</v>
      </c>
      <c r="F190" s="38">
        <v>145.16642023985546</v>
      </c>
      <c r="G190" s="25">
        <f t="shared" si="2"/>
        <v>12888437.016902845</v>
      </c>
    </row>
    <row r="191" spans="1:7">
      <c r="A191" s="1">
        <v>188</v>
      </c>
      <c r="B191" s="9">
        <v>39232</v>
      </c>
      <c r="C191" s="37">
        <v>13633.08</v>
      </c>
      <c r="D191" s="38">
        <v>13038.487290000001</v>
      </c>
      <c r="E191" s="38">
        <v>8114.6253021756638</v>
      </c>
      <c r="F191" s="38">
        <v>144.7355167873601</v>
      </c>
      <c r="G191" s="25">
        <f t="shared" si="2"/>
        <v>12896588.287387835</v>
      </c>
    </row>
    <row r="192" spans="1:7">
      <c r="A192" s="1">
        <v>189</v>
      </c>
      <c r="B192" s="9">
        <v>39233</v>
      </c>
      <c r="C192" s="37">
        <v>13627.64</v>
      </c>
      <c r="D192" s="38">
        <v>13098.453479999998</v>
      </c>
      <c r="E192" s="38">
        <v>8213.1324004305716</v>
      </c>
      <c r="F192" s="38">
        <v>146.75108775962565</v>
      </c>
      <c r="G192" s="25">
        <f t="shared" si="2"/>
        <v>12964970.991598103</v>
      </c>
    </row>
    <row r="193" spans="1:7">
      <c r="A193" s="1">
        <v>190</v>
      </c>
      <c r="B193" s="9">
        <v>39234</v>
      </c>
      <c r="C193" s="37">
        <v>13668.11</v>
      </c>
      <c r="D193" s="38">
        <v>13213.1893</v>
      </c>
      <c r="E193" s="38">
        <v>8277.173913043478</v>
      </c>
      <c r="F193" s="38">
        <v>147.16774563631895</v>
      </c>
      <c r="G193" s="25">
        <f t="shared" si="2"/>
        <v>13033227.943540387</v>
      </c>
    </row>
    <row r="194" spans="1:7">
      <c r="A194" s="1">
        <v>191</v>
      </c>
      <c r="B194" s="9">
        <v>39237</v>
      </c>
      <c r="C194" s="37">
        <v>13676.32</v>
      </c>
      <c r="D194" s="38">
        <v>13269.555920000001</v>
      </c>
      <c r="E194" s="38">
        <v>8260.2615965480036</v>
      </c>
      <c r="F194" s="38">
        <v>147.62562628336755</v>
      </c>
      <c r="G194" s="25">
        <f t="shared" si="2"/>
        <v>13059211.418796452</v>
      </c>
    </row>
    <row r="195" spans="1:7">
      <c r="A195" s="1">
        <v>192</v>
      </c>
      <c r="B195" s="9">
        <v>39238</v>
      </c>
      <c r="C195" s="37">
        <v>13595.46</v>
      </c>
      <c r="D195" s="38">
        <v>13218.50712</v>
      </c>
      <c r="E195" s="38">
        <v>8219.7971602434063</v>
      </c>
      <c r="F195" s="38">
        <v>148.4078092889437</v>
      </c>
      <c r="G195" s="25">
        <f t="shared" ref="G195:G258" si="3">C195/$C$503*H$2+D195/$D$503*I$2+E195/$E$503*J$2+F195/$F$503*K$2</f>
        <v>13021253.382100228</v>
      </c>
    </row>
    <row r="196" spans="1:7">
      <c r="A196" s="1">
        <v>193</v>
      </c>
      <c r="B196" s="9">
        <v>39239</v>
      </c>
      <c r="C196" s="37">
        <v>13465.67</v>
      </c>
      <c r="D196" s="38">
        <v>12991.26159</v>
      </c>
      <c r="E196" s="38">
        <v>8066.2123869923089</v>
      </c>
      <c r="F196" s="38">
        <v>149.03700950020652</v>
      </c>
      <c r="G196" s="25">
        <f t="shared" si="3"/>
        <v>12889520.189099059</v>
      </c>
    </row>
    <row r="197" spans="1:7">
      <c r="A197" s="1">
        <v>194</v>
      </c>
      <c r="B197" s="9">
        <v>39240</v>
      </c>
      <c r="C197" s="37">
        <v>13266.73</v>
      </c>
      <c r="D197" s="38">
        <v>12884.001060000001</v>
      </c>
      <c r="E197" s="38">
        <v>7929.0483241351458</v>
      </c>
      <c r="F197" s="38">
        <v>148.64866200082338</v>
      </c>
      <c r="G197" s="25">
        <f t="shared" si="3"/>
        <v>12754797.82168043</v>
      </c>
    </row>
    <row r="198" spans="1:7">
      <c r="A198" s="1">
        <v>195</v>
      </c>
      <c r="B198" s="9">
        <v>39241</v>
      </c>
      <c r="C198" s="37">
        <v>13424.39</v>
      </c>
      <c r="D198" s="38">
        <v>12798.784250000001</v>
      </c>
      <c r="E198" s="38">
        <v>7859.0569062249524</v>
      </c>
      <c r="F198" s="38">
        <v>146.25773280684436</v>
      </c>
      <c r="G198" s="25">
        <f t="shared" si="3"/>
        <v>12731711.183980817</v>
      </c>
    </row>
    <row r="199" spans="1:7">
      <c r="A199" s="1">
        <v>196</v>
      </c>
      <c r="B199" s="9">
        <v>39244</v>
      </c>
      <c r="C199" s="37">
        <v>13424.96</v>
      </c>
      <c r="D199" s="38">
        <v>12919.586000000001</v>
      </c>
      <c r="E199" s="38">
        <v>7927.5190177499007</v>
      </c>
      <c r="F199" s="38">
        <v>146.50850242339604</v>
      </c>
      <c r="G199" s="25">
        <f t="shared" si="3"/>
        <v>12785155.957025658</v>
      </c>
    </row>
    <row r="200" spans="1:7">
      <c r="A200" s="1">
        <v>197</v>
      </c>
      <c r="B200" s="9">
        <v>39245</v>
      </c>
      <c r="C200" s="37">
        <v>13295.01</v>
      </c>
      <c r="D200" s="38">
        <v>12868.009399999999</v>
      </c>
      <c r="E200" s="38">
        <v>7853.7416777629824</v>
      </c>
      <c r="F200" s="38">
        <v>145.86818331143232</v>
      </c>
      <c r="G200" s="25">
        <f t="shared" si="3"/>
        <v>12698628.36997723</v>
      </c>
    </row>
    <row r="201" spans="1:7">
      <c r="A201" s="1">
        <v>198</v>
      </c>
      <c r="B201" s="9">
        <v>39246</v>
      </c>
      <c r="C201" s="37">
        <v>13482.35</v>
      </c>
      <c r="D201" s="38">
        <v>12940.778880000002</v>
      </c>
      <c r="E201" s="38">
        <v>7895.5162320383188</v>
      </c>
      <c r="F201" s="38">
        <v>144.95847298291508</v>
      </c>
      <c r="G201" s="25">
        <f t="shared" si="3"/>
        <v>12779967.311645718</v>
      </c>
    </row>
    <row r="202" spans="1:7">
      <c r="A202" s="1">
        <v>199</v>
      </c>
      <c r="B202" s="9">
        <v>39247</v>
      </c>
      <c r="C202" s="37">
        <v>13553.73</v>
      </c>
      <c r="D202" s="38">
        <v>13096.31306</v>
      </c>
      <c r="E202" s="38">
        <v>8051.1649580615094</v>
      </c>
      <c r="F202" s="38">
        <v>145.15367718841523</v>
      </c>
      <c r="G202" s="25">
        <f t="shared" si="3"/>
        <v>12883040.089303983</v>
      </c>
    </row>
    <row r="203" spans="1:7">
      <c r="A203" s="1">
        <v>200</v>
      </c>
      <c r="B203" s="9">
        <v>39248</v>
      </c>
      <c r="C203" s="37">
        <v>13639.48</v>
      </c>
      <c r="D203" s="38">
        <v>13309.281559999999</v>
      </c>
      <c r="E203" s="38">
        <v>8159.9572306869823</v>
      </c>
      <c r="F203" s="38">
        <v>145.4945757772021</v>
      </c>
      <c r="G203" s="25">
        <f t="shared" si="3"/>
        <v>13004301.995575277</v>
      </c>
    </row>
    <row r="204" spans="1:7">
      <c r="A204" s="1">
        <v>201</v>
      </c>
      <c r="B204" s="9">
        <v>39251</v>
      </c>
      <c r="C204" s="37">
        <v>13612.98</v>
      </c>
      <c r="D204" s="38">
        <v>13278.292799999999</v>
      </c>
      <c r="E204" s="38">
        <v>8154.2531815137299</v>
      </c>
      <c r="F204" s="38">
        <v>146.76952935468219</v>
      </c>
      <c r="G204" s="25">
        <f t="shared" si="3"/>
        <v>13006682.007235698</v>
      </c>
    </row>
    <row r="205" spans="1:7">
      <c r="A205" s="1">
        <v>202</v>
      </c>
      <c r="B205" s="9">
        <v>39252</v>
      </c>
      <c r="C205" s="37">
        <v>13635.42</v>
      </c>
      <c r="D205" s="38">
        <v>13215.94246</v>
      </c>
      <c r="E205" s="38">
        <v>8141.1504424778759</v>
      </c>
      <c r="F205" s="38">
        <v>147.21680985573028</v>
      </c>
      <c r="G205" s="25">
        <f t="shared" si="3"/>
        <v>13001156.728489682</v>
      </c>
    </row>
    <row r="206" spans="1:7">
      <c r="A206" s="1">
        <v>203</v>
      </c>
      <c r="B206" s="9">
        <v>39253</v>
      </c>
      <c r="C206" s="37">
        <v>13489.42</v>
      </c>
      <c r="D206" s="38">
        <v>13251.38997</v>
      </c>
      <c r="E206" s="38">
        <v>8176.7176596886748</v>
      </c>
      <c r="F206" s="38">
        <v>147.28410837040033</v>
      </c>
      <c r="G206" s="25">
        <f t="shared" si="3"/>
        <v>12966178.825440748</v>
      </c>
    </row>
    <row r="207" spans="1:7">
      <c r="A207" s="1">
        <v>204</v>
      </c>
      <c r="B207" s="9">
        <v>39254</v>
      </c>
      <c r="C207" s="37">
        <v>13545.84</v>
      </c>
      <c r="D207" s="38">
        <v>13142.529999999999</v>
      </c>
      <c r="E207" s="38">
        <v>8079.5792576711783</v>
      </c>
      <c r="F207" s="38">
        <v>147.50363901018923</v>
      </c>
      <c r="G207" s="25">
        <f t="shared" si="3"/>
        <v>12940860.166829972</v>
      </c>
    </row>
    <row r="208" spans="1:7">
      <c r="A208" s="1">
        <v>205</v>
      </c>
      <c r="B208" s="9">
        <v>39255</v>
      </c>
      <c r="C208" s="37">
        <v>13360.26</v>
      </c>
      <c r="D208" s="38">
        <v>13107.216919999999</v>
      </c>
      <c r="E208" s="38">
        <v>8088.156304552168</v>
      </c>
      <c r="F208" s="38">
        <v>146.57611411072608</v>
      </c>
      <c r="G208" s="25">
        <f t="shared" si="3"/>
        <v>12847417.194322813</v>
      </c>
    </row>
    <row r="209" spans="1:7">
      <c r="A209" s="1">
        <v>206</v>
      </c>
      <c r="B209" s="9">
        <v>39258</v>
      </c>
      <c r="C209" s="37">
        <v>13352.05</v>
      </c>
      <c r="D209" s="38">
        <v>13154.399439999999</v>
      </c>
      <c r="E209" s="38">
        <v>8075.9451096461735</v>
      </c>
      <c r="F209" s="38">
        <v>146.17326652658801</v>
      </c>
      <c r="G209" s="25">
        <f t="shared" si="3"/>
        <v>12850071.699514098</v>
      </c>
    </row>
    <row r="210" spans="1:7">
      <c r="A210" s="1">
        <v>207</v>
      </c>
      <c r="B210" s="9">
        <v>39259</v>
      </c>
      <c r="C210" s="37">
        <v>13337.66</v>
      </c>
      <c r="D210" s="38">
        <v>13114.664420000001</v>
      </c>
      <c r="E210" s="38">
        <v>8014.7549811523959</v>
      </c>
      <c r="F210" s="38">
        <v>146.77154927288976</v>
      </c>
      <c r="G210" s="25">
        <f t="shared" si="3"/>
        <v>12833169.145277208</v>
      </c>
    </row>
    <row r="211" spans="1:7">
      <c r="A211" s="1">
        <v>208</v>
      </c>
      <c r="B211" s="9">
        <v>39260</v>
      </c>
      <c r="C211" s="37">
        <v>13427.73</v>
      </c>
      <c r="D211" s="38">
        <v>13034.311680000001</v>
      </c>
      <c r="E211" s="38">
        <v>7980.7521826729344</v>
      </c>
      <c r="F211" s="38">
        <v>145.73220117570213</v>
      </c>
      <c r="G211" s="25">
        <f t="shared" si="3"/>
        <v>12816837.306168798</v>
      </c>
    </row>
    <row r="212" spans="1:7">
      <c r="A212" s="1">
        <v>209</v>
      </c>
      <c r="B212" s="9">
        <v>39261</v>
      </c>
      <c r="C212" s="37">
        <v>13422.28</v>
      </c>
      <c r="D212" s="38">
        <v>13159.685380000001</v>
      </c>
      <c r="E212" s="38">
        <v>8087.1280463174908</v>
      </c>
      <c r="F212" s="38">
        <v>145.82638041798813</v>
      </c>
      <c r="G212" s="25">
        <f t="shared" si="3"/>
        <v>12872864.969094573</v>
      </c>
    </row>
    <row r="213" spans="1:7">
      <c r="A213" s="1">
        <v>210</v>
      </c>
      <c r="B213" s="9">
        <v>39262</v>
      </c>
      <c r="C213" s="37">
        <v>13408.62</v>
      </c>
      <c r="D213" s="38">
        <v>13258.090560000001</v>
      </c>
      <c r="E213" s="38">
        <v>8176.812964213369</v>
      </c>
      <c r="F213" s="38">
        <v>146.85742045178529</v>
      </c>
      <c r="G213" s="25">
        <f t="shared" si="3"/>
        <v>12931401.235120716</v>
      </c>
    </row>
    <row r="214" spans="1:7">
      <c r="A214" s="1">
        <v>211</v>
      </c>
      <c r="B214" s="9">
        <v>39265</v>
      </c>
      <c r="C214" s="37">
        <v>13535.43</v>
      </c>
      <c r="D214" s="38">
        <v>13270.83216</v>
      </c>
      <c r="E214" s="38">
        <v>8214.4609513425094</v>
      </c>
      <c r="F214" s="38">
        <v>148.36317553756845</v>
      </c>
      <c r="G214" s="25">
        <f t="shared" si="3"/>
        <v>13014167.881589761</v>
      </c>
    </row>
    <row r="215" spans="1:7">
      <c r="A215" s="1">
        <v>212</v>
      </c>
      <c r="B215" s="9">
        <v>39266</v>
      </c>
      <c r="C215" s="37">
        <v>13577.3</v>
      </c>
      <c r="D215" s="38">
        <v>13389.156700000001</v>
      </c>
      <c r="E215" s="38">
        <v>8262.7824666485158</v>
      </c>
      <c r="F215" s="38">
        <v>148.36834791138725</v>
      </c>
      <c r="G215" s="25">
        <f t="shared" si="3"/>
        <v>13074224.659092946</v>
      </c>
    </row>
    <row r="216" spans="1:7">
      <c r="A216" s="1">
        <v>213</v>
      </c>
      <c r="B216" s="9">
        <v>39268</v>
      </c>
      <c r="C216" s="37">
        <v>13565.84</v>
      </c>
      <c r="D216" s="38">
        <v>13339.406080000001</v>
      </c>
      <c r="E216" s="38">
        <v>8240.8948728410178</v>
      </c>
      <c r="F216" s="38">
        <v>148.35922488194106</v>
      </c>
      <c r="G216" s="25">
        <f t="shared" si="3"/>
        <v>13050826.737936057</v>
      </c>
    </row>
    <row r="217" spans="1:7">
      <c r="A217" s="1">
        <v>214</v>
      </c>
      <c r="B217" s="9">
        <v>39269</v>
      </c>
      <c r="C217" s="37">
        <v>13611.68</v>
      </c>
      <c r="D217" s="38">
        <v>13467.840310000001</v>
      </c>
      <c r="E217" s="38">
        <v>8318.8249727371858</v>
      </c>
      <c r="F217" s="38">
        <v>147.24788961038959</v>
      </c>
      <c r="G217" s="25">
        <f t="shared" si="3"/>
        <v>13100466.493519161</v>
      </c>
    </row>
    <row r="218" spans="1:7">
      <c r="A218" s="1">
        <v>215</v>
      </c>
      <c r="B218" s="9">
        <v>39272</v>
      </c>
      <c r="C218" s="37">
        <v>13649.97</v>
      </c>
      <c r="D218" s="38">
        <v>13526.761769999999</v>
      </c>
      <c r="E218" s="38">
        <v>8319.242300354319</v>
      </c>
      <c r="F218" s="38">
        <v>148.09812667261374</v>
      </c>
      <c r="G218" s="25">
        <f t="shared" si="3"/>
        <v>13147914.889866486</v>
      </c>
    </row>
    <row r="219" spans="1:7">
      <c r="A219" s="1">
        <v>216</v>
      </c>
      <c r="B219" s="9">
        <v>39273</v>
      </c>
      <c r="C219" s="37">
        <v>13501.7</v>
      </c>
      <c r="D219" s="38">
        <v>13419.61542</v>
      </c>
      <c r="E219" s="38">
        <v>8257.9503361229254</v>
      </c>
      <c r="F219" s="38">
        <v>149.51400720838794</v>
      </c>
      <c r="G219" s="25">
        <f t="shared" si="3"/>
        <v>13075837.021573653</v>
      </c>
    </row>
    <row r="220" spans="1:7">
      <c r="A220" s="1">
        <v>217</v>
      </c>
      <c r="B220" s="9">
        <v>39274</v>
      </c>
      <c r="C220" s="37">
        <v>13577.87</v>
      </c>
      <c r="D220" s="38">
        <v>13457.09793</v>
      </c>
      <c r="E220" s="38">
        <v>8267.1029067364652</v>
      </c>
      <c r="F220" s="38">
        <v>148.14108667104398</v>
      </c>
      <c r="G220" s="25">
        <f t="shared" si="3"/>
        <v>13092331.512116171</v>
      </c>
    </row>
    <row r="221" spans="1:7">
      <c r="A221" s="1">
        <v>218</v>
      </c>
      <c r="B221" s="9">
        <v>39275</v>
      </c>
      <c r="C221" s="37">
        <v>13861.73</v>
      </c>
      <c r="D221" s="38">
        <v>13588.963530000001</v>
      </c>
      <c r="E221" s="38">
        <v>8404.0897824290842</v>
      </c>
      <c r="F221" s="38">
        <v>146.85725951331048</v>
      </c>
      <c r="G221" s="25">
        <f t="shared" si="3"/>
        <v>13235889.990100499</v>
      </c>
    </row>
    <row r="222" spans="1:7">
      <c r="A222" s="1">
        <v>219</v>
      </c>
      <c r="B222" s="9">
        <v>39276</v>
      </c>
      <c r="C222" s="37">
        <v>13907.25</v>
      </c>
      <c r="D222" s="38">
        <v>13652.36442</v>
      </c>
      <c r="E222" s="38">
        <v>8426.9421487603304</v>
      </c>
      <c r="F222" s="38">
        <v>149.20607002617803</v>
      </c>
      <c r="G222" s="25">
        <f t="shared" si="3"/>
        <v>13317545.617413072</v>
      </c>
    </row>
    <row r="223" spans="1:7">
      <c r="A223" s="1">
        <v>220</v>
      </c>
      <c r="B223" s="9">
        <v>39280</v>
      </c>
      <c r="C223" s="37">
        <v>13971.55</v>
      </c>
      <c r="D223" s="38">
        <v>13615.19586</v>
      </c>
      <c r="E223" s="38">
        <v>8408.0645161290322</v>
      </c>
      <c r="F223" s="38">
        <v>149.05310096547211</v>
      </c>
      <c r="G223" s="25">
        <f t="shared" si="3"/>
        <v>13323509.069749188</v>
      </c>
    </row>
    <row r="224" spans="1:7">
      <c r="A224" s="1">
        <v>221</v>
      </c>
      <c r="B224" s="9">
        <v>39281</v>
      </c>
      <c r="C224" s="37">
        <v>13918.22</v>
      </c>
      <c r="D224" s="38">
        <v>13477.002620000001</v>
      </c>
      <c r="E224" s="38">
        <v>8279.4393813863589</v>
      </c>
      <c r="F224" s="38">
        <v>147.87474349503407</v>
      </c>
      <c r="G224" s="25">
        <f t="shared" si="3"/>
        <v>13219335.880360899</v>
      </c>
    </row>
    <row r="225" spans="1:7">
      <c r="A225" s="1">
        <v>222</v>
      </c>
      <c r="B225" s="9">
        <v>39282</v>
      </c>
      <c r="C225" s="37">
        <v>14000.41</v>
      </c>
      <c r="D225" s="38">
        <v>13611.74598</v>
      </c>
      <c r="E225" s="38">
        <v>8384.7110865358027</v>
      </c>
      <c r="F225" s="38">
        <v>148.48430456519955</v>
      </c>
      <c r="G225" s="25">
        <f t="shared" si="3"/>
        <v>13319055.005213669</v>
      </c>
    </row>
    <row r="226" spans="1:7">
      <c r="A226" s="1">
        <v>223</v>
      </c>
      <c r="B226" s="9">
        <v>39283</v>
      </c>
      <c r="C226" s="37">
        <v>13851.08</v>
      </c>
      <c r="D226" s="38">
        <v>13533.903040000001</v>
      </c>
      <c r="E226" s="38">
        <v>8241.7819590481467</v>
      </c>
      <c r="F226" s="38">
        <v>149.81790429042906</v>
      </c>
      <c r="G226" s="25">
        <f t="shared" si="3"/>
        <v>13241124.829492176</v>
      </c>
    </row>
    <row r="227" spans="1:7">
      <c r="A227" s="1">
        <v>224</v>
      </c>
      <c r="B227" s="9">
        <v>39286</v>
      </c>
      <c r="C227" s="37">
        <v>13943.42</v>
      </c>
      <c r="D227" s="38">
        <v>13633.015199999998</v>
      </c>
      <c r="E227" s="38">
        <v>8303.3853806826028</v>
      </c>
      <c r="F227" s="38">
        <v>148.03164400494438</v>
      </c>
      <c r="G227" s="25">
        <f t="shared" si="3"/>
        <v>13283879.01323238</v>
      </c>
    </row>
    <row r="228" spans="1:7">
      <c r="A228" s="1">
        <v>225</v>
      </c>
      <c r="B228" s="9">
        <v>39287</v>
      </c>
      <c r="C228" s="37">
        <v>13716.95</v>
      </c>
      <c r="D228" s="38">
        <v>13395.77031</v>
      </c>
      <c r="E228" s="38">
        <v>8167.3855938061661</v>
      </c>
      <c r="F228" s="38">
        <v>149.19633681418861</v>
      </c>
      <c r="G228" s="25">
        <f t="shared" si="3"/>
        <v>13126263.781959459</v>
      </c>
    </row>
    <row r="229" spans="1:7">
      <c r="A229" s="1">
        <v>226</v>
      </c>
      <c r="B229" s="9">
        <v>39288</v>
      </c>
      <c r="C229" s="37">
        <v>13785.79</v>
      </c>
      <c r="D229" s="38">
        <v>13228.087850000002</v>
      </c>
      <c r="E229" s="38">
        <v>7999.3284911607507</v>
      </c>
      <c r="F229" s="38">
        <v>148.51076923076923</v>
      </c>
      <c r="G229" s="25">
        <f t="shared" si="3"/>
        <v>13059587.761149708</v>
      </c>
    </row>
    <row r="230" spans="1:7">
      <c r="A230" s="1">
        <v>227</v>
      </c>
      <c r="B230" s="9">
        <v>39289</v>
      </c>
      <c r="C230" s="37">
        <v>13473.57</v>
      </c>
      <c r="D230" s="38">
        <v>12792.455680000001</v>
      </c>
      <c r="E230" s="38">
        <v>7785.7730827273981</v>
      </c>
      <c r="F230" s="38">
        <v>148.37054731372055</v>
      </c>
      <c r="G230" s="25">
        <f t="shared" si="3"/>
        <v>12773216.017224152</v>
      </c>
    </row>
    <row r="231" spans="1:7">
      <c r="A231" s="1">
        <v>228</v>
      </c>
      <c r="B231" s="9">
        <v>39290</v>
      </c>
      <c r="C231" s="37">
        <v>13265.47</v>
      </c>
      <c r="D231" s="38">
        <v>12620.585120000002</v>
      </c>
      <c r="E231" s="38">
        <v>7707.1691929537083</v>
      </c>
      <c r="F231" s="38">
        <v>145.48661616161618</v>
      </c>
      <c r="G231" s="25">
        <f t="shared" si="3"/>
        <v>12580183.883282473</v>
      </c>
    </row>
    <row r="232" spans="1:7">
      <c r="A232" s="1">
        <v>229</v>
      </c>
      <c r="B232" s="9">
        <v>39293</v>
      </c>
      <c r="C232" s="37">
        <v>13358.31</v>
      </c>
      <c r="D232" s="38">
        <v>12562.387620000001</v>
      </c>
      <c r="E232" s="38">
        <v>7725.2154877548228</v>
      </c>
      <c r="F232" s="38">
        <v>145.95053182508863</v>
      </c>
      <c r="G232" s="25">
        <f t="shared" si="3"/>
        <v>12606823.752539037</v>
      </c>
    </row>
    <row r="233" spans="1:7">
      <c r="A233" s="1">
        <v>230</v>
      </c>
      <c r="B233" s="9">
        <v>39294</v>
      </c>
      <c r="C233" s="37">
        <v>13211.99</v>
      </c>
      <c r="D233" s="38">
        <v>12924.995220000001</v>
      </c>
      <c r="E233" s="38">
        <v>7873.8773274917849</v>
      </c>
      <c r="F233" s="38">
        <v>144.86344167296548</v>
      </c>
      <c r="G233" s="25">
        <f t="shared" si="3"/>
        <v>12671744.360616021</v>
      </c>
    </row>
    <row r="234" spans="1:7">
      <c r="A234" s="1">
        <v>231</v>
      </c>
      <c r="B234" s="9">
        <v>39295</v>
      </c>
      <c r="C234" s="37">
        <v>13362.37</v>
      </c>
      <c r="D234" s="38">
        <v>12684.342580000002</v>
      </c>
      <c r="E234" s="38">
        <v>7732.9048140043769</v>
      </c>
      <c r="F234" s="38">
        <v>142.31109236609026</v>
      </c>
      <c r="G234" s="25">
        <f t="shared" si="3"/>
        <v>12583132.207500575</v>
      </c>
    </row>
    <row r="235" spans="1:7">
      <c r="A235" s="1">
        <v>232</v>
      </c>
      <c r="B235" s="9">
        <v>39296</v>
      </c>
      <c r="C235" s="37">
        <v>13463.33</v>
      </c>
      <c r="D235" s="38">
        <v>12805.98978</v>
      </c>
      <c r="E235" s="38">
        <v>7769.8208669492687</v>
      </c>
      <c r="F235" s="38">
        <v>142.73560803428862</v>
      </c>
      <c r="G235" s="25">
        <f t="shared" si="3"/>
        <v>12671265.828328593</v>
      </c>
    </row>
    <row r="236" spans="1:7">
      <c r="A236" s="1">
        <v>233</v>
      </c>
      <c r="B236" s="9">
        <v>39297</v>
      </c>
      <c r="C236" s="37">
        <v>13181.91</v>
      </c>
      <c r="D236" s="38">
        <v>12690.725270000001</v>
      </c>
      <c r="E236" s="38">
        <v>7706.3463656387667</v>
      </c>
      <c r="F236" s="38">
        <v>143.44732618062008</v>
      </c>
      <c r="G236" s="25">
        <f t="shared" si="3"/>
        <v>12535495.031956073</v>
      </c>
    </row>
    <row r="237" spans="1:7">
      <c r="A237" s="1">
        <v>234</v>
      </c>
      <c r="B237" s="9">
        <v>39300</v>
      </c>
      <c r="C237" s="37">
        <v>13468.78</v>
      </c>
      <c r="D237" s="38">
        <v>12572.537740000002</v>
      </c>
      <c r="E237" s="38">
        <v>7633.8162251655622</v>
      </c>
      <c r="F237" s="38">
        <v>143.58624787775892</v>
      </c>
      <c r="G237" s="25">
        <f t="shared" si="3"/>
        <v>12593433.623811942</v>
      </c>
    </row>
    <row r="238" spans="1:7">
      <c r="A238" s="1">
        <v>235</v>
      </c>
      <c r="B238" s="9">
        <v>39301</v>
      </c>
      <c r="C238" s="37">
        <v>13504.3</v>
      </c>
      <c r="D238" s="38">
        <v>12751.34656</v>
      </c>
      <c r="E238" s="38">
        <v>7736.2697866483131</v>
      </c>
      <c r="F238" s="38">
        <v>142.92035472972972</v>
      </c>
      <c r="G238" s="25">
        <f t="shared" si="3"/>
        <v>12666921.894858697</v>
      </c>
    </row>
    <row r="239" spans="1:7">
      <c r="A239" s="1">
        <v>236</v>
      </c>
      <c r="B239" s="9">
        <v>39302</v>
      </c>
      <c r="C239" s="37">
        <v>13657.86</v>
      </c>
      <c r="D239" s="38">
        <v>13034.60454</v>
      </c>
      <c r="E239" s="38">
        <v>7945.3980099502487</v>
      </c>
      <c r="F239" s="38">
        <v>142.33767970578401</v>
      </c>
      <c r="G239" s="25">
        <f t="shared" si="3"/>
        <v>12834568.302027453</v>
      </c>
    </row>
    <row r="240" spans="1:7">
      <c r="A240" s="1">
        <v>237</v>
      </c>
      <c r="B240" s="9">
        <v>39303</v>
      </c>
      <c r="C240" s="37">
        <v>13270.68</v>
      </c>
      <c r="D240" s="38">
        <v>12729.908879999999</v>
      </c>
      <c r="E240" s="38">
        <v>7708.3458955735232</v>
      </c>
      <c r="F240" s="38">
        <v>144.70419686499241</v>
      </c>
      <c r="G240" s="25">
        <f t="shared" si="3"/>
        <v>12602558.489421202</v>
      </c>
    </row>
    <row r="241" spans="1:7">
      <c r="A241" s="1">
        <v>238</v>
      </c>
      <c r="B241" s="9">
        <v>39304</v>
      </c>
      <c r="C241" s="37">
        <v>13239.54</v>
      </c>
      <c r="D241" s="38">
        <v>12194.95068</v>
      </c>
      <c r="E241" s="38">
        <v>7452.6466967583101</v>
      </c>
      <c r="F241" s="38">
        <v>142.33392766174222</v>
      </c>
      <c r="G241" s="25">
        <f t="shared" si="3"/>
        <v>12340824.327968534</v>
      </c>
    </row>
    <row r="242" spans="1:7">
      <c r="A242" s="1">
        <v>239</v>
      </c>
      <c r="B242" s="9">
        <v>39307</v>
      </c>
      <c r="C242" s="37">
        <v>13236.53</v>
      </c>
      <c r="D242" s="38">
        <v>12510.1404</v>
      </c>
      <c r="E242" s="38">
        <v>7582.4098025867934</v>
      </c>
      <c r="F242" s="38">
        <v>141.92827574554363</v>
      </c>
      <c r="G242" s="25">
        <f t="shared" si="3"/>
        <v>12451966.999661522</v>
      </c>
    </row>
    <row r="243" spans="1:7">
      <c r="A243" s="1">
        <v>240</v>
      </c>
      <c r="B243" s="9">
        <v>39308</v>
      </c>
      <c r="C243" s="37">
        <v>13028.92</v>
      </c>
      <c r="D243" s="38">
        <v>12287</v>
      </c>
      <c r="E243" s="38">
        <v>7434.7401275614056</v>
      </c>
      <c r="F243" s="38">
        <v>142.83566522513354</v>
      </c>
      <c r="G243" s="25">
        <f t="shared" si="3"/>
        <v>12299160.58261933</v>
      </c>
    </row>
    <row r="244" spans="1:7">
      <c r="A244" s="1">
        <v>241</v>
      </c>
      <c r="B244" s="9">
        <v>39309</v>
      </c>
      <c r="C244" s="37">
        <v>12861.47</v>
      </c>
      <c r="D244" s="38">
        <v>12163.616300000002</v>
      </c>
      <c r="E244" s="38">
        <v>7331.2500000000009</v>
      </c>
      <c r="F244" s="38">
        <v>140.51692963752666</v>
      </c>
      <c r="G244" s="25">
        <f t="shared" si="3"/>
        <v>12142038.566314109</v>
      </c>
    </row>
    <row r="245" spans="1:7">
      <c r="A245" s="1">
        <v>242</v>
      </c>
      <c r="B245" s="9">
        <v>39310</v>
      </c>
      <c r="C245" s="37">
        <v>12845.78</v>
      </c>
      <c r="D245" s="38">
        <v>11609.996239999999</v>
      </c>
      <c r="E245" s="38">
        <v>7056.3789868667927</v>
      </c>
      <c r="F245" s="38">
        <v>141.3682044996936</v>
      </c>
      <c r="G245" s="25">
        <f t="shared" si="3"/>
        <v>11934095.795425419</v>
      </c>
    </row>
    <row r="246" spans="1:7">
      <c r="A246" s="1">
        <v>243</v>
      </c>
      <c r="B246" s="9">
        <v>39311</v>
      </c>
      <c r="C246" s="37">
        <v>13079.08</v>
      </c>
      <c r="D246" s="38">
        <v>12043.501199999999</v>
      </c>
      <c r="E246" s="38">
        <v>7247.1693014457505</v>
      </c>
      <c r="F246" s="38">
        <v>134.23870627526807</v>
      </c>
      <c r="G246" s="25">
        <f t="shared" si="3"/>
        <v>12058620.004405942</v>
      </c>
    </row>
    <row r="247" spans="1:7">
      <c r="A247" s="1">
        <v>244</v>
      </c>
      <c r="B247" s="9">
        <v>39314</v>
      </c>
      <c r="C247" s="37">
        <v>13121.35</v>
      </c>
      <c r="D247" s="38">
        <v>12070.47459</v>
      </c>
      <c r="E247" s="38">
        <v>7278.754381234834</v>
      </c>
      <c r="F247" s="38">
        <v>137.00670556474788</v>
      </c>
      <c r="G247" s="25">
        <f t="shared" si="3"/>
        <v>12136551.844762631</v>
      </c>
    </row>
    <row r="248" spans="1:7">
      <c r="A248" s="1">
        <v>245</v>
      </c>
      <c r="B248" s="9">
        <v>39315</v>
      </c>
      <c r="C248" s="37">
        <v>13090.86</v>
      </c>
      <c r="D248" s="38">
        <v>12071.170740000001</v>
      </c>
      <c r="E248" s="38">
        <v>7310.8202914193198</v>
      </c>
      <c r="F248" s="38">
        <v>139.0706664334441</v>
      </c>
      <c r="G248" s="25">
        <f t="shared" si="3"/>
        <v>12167463.778396463</v>
      </c>
    </row>
    <row r="249" spans="1:7">
      <c r="A249" s="1">
        <v>246</v>
      </c>
      <c r="B249" s="9">
        <v>39316</v>
      </c>
      <c r="C249" s="37">
        <v>13236.13</v>
      </c>
      <c r="D249" s="38">
        <v>12338.094800000001</v>
      </c>
      <c r="E249" s="38">
        <v>7459.0024330900242</v>
      </c>
      <c r="F249" s="38">
        <v>138.23037468486481</v>
      </c>
      <c r="G249" s="25">
        <f t="shared" si="3"/>
        <v>12312601.1073932</v>
      </c>
    </row>
    <row r="250" spans="1:7">
      <c r="A250" s="1">
        <v>247</v>
      </c>
      <c r="B250" s="9">
        <v>39317</v>
      </c>
      <c r="C250" s="37">
        <v>13235.88</v>
      </c>
      <c r="D250" s="38">
        <v>12429.12233</v>
      </c>
      <c r="E250" s="38">
        <v>7498.411620961173</v>
      </c>
      <c r="F250" s="38">
        <v>140.35544086021505</v>
      </c>
      <c r="G250" s="25">
        <f t="shared" si="3"/>
        <v>12384983.790074563</v>
      </c>
    </row>
    <row r="251" spans="1:7">
      <c r="A251" s="1">
        <v>248</v>
      </c>
      <c r="B251" s="9">
        <v>39318</v>
      </c>
      <c r="C251" s="37">
        <v>13378.87</v>
      </c>
      <c r="D251" s="38">
        <v>12499.91296</v>
      </c>
      <c r="E251" s="38">
        <v>7595.9901800327334</v>
      </c>
      <c r="F251" s="38">
        <v>140.18609265809681</v>
      </c>
      <c r="G251" s="25">
        <f t="shared" si="3"/>
        <v>12471733.824998558</v>
      </c>
    </row>
    <row r="252" spans="1:7">
      <c r="A252" s="1">
        <v>249</v>
      </c>
      <c r="B252" s="9">
        <v>39322</v>
      </c>
      <c r="C252" s="37">
        <v>13041.85</v>
      </c>
      <c r="D252" s="38">
        <v>12262.3709</v>
      </c>
      <c r="E252" s="38">
        <v>7469.1908855232641</v>
      </c>
      <c r="F252" s="38">
        <v>141.69195302305349</v>
      </c>
      <c r="G252" s="25">
        <f t="shared" si="3"/>
        <v>12281437.924782069</v>
      </c>
    </row>
    <row r="253" spans="1:7">
      <c r="A253" s="1">
        <v>250</v>
      </c>
      <c r="B253" s="9">
        <v>39323</v>
      </c>
      <c r="C253" s="37">
        <v>13289.29</v>
      </c>
      <c r="D253" s="38">
        <v>12352.703680000001</v>
      </c>
      <c r="E253" s="38">
        <v>7534.8348348348354</v>
      </c>
      <c r="F253" s="38">
        <v>139.1331132157442</v>
      </c>
      <c r="G253" s="25">
        <f t="shared" si="3"/>
        <v>12364691.765561501</v>
      </c>
    </row>
    <row r="254" spans="1:7">
      <c r="A254" s="1">
        <v>251</v>
      </c>
      <c r="B254" s="9">
        <v>39324</v>
      </c>
      <c r="C254" s="37">
        <v>13238.73</v>
      </c>
      <c r="D254" s="38">
        <v>12519.6648</v>
      </c>
      <c r="E254" s="38">
        <v>7627.5641025641025</v>
      </c>
      <c r="F254" s="38">
        <v>139.49758203799655</v>
      </c>
      <c r="G254" s="25">
        <f t="shared" si="3"/>
        <v>12419935.334912673</v>
      </c>
    </row>
    <row r="255" spans="1:7">
      <c r="A255" s="1">
        <v>252</v>
      </c>
      <c r="B255" s="9">
        <v>39325</v>
      </c>
      <c r="C255" s="37">
        <v>13357.74</v>
      </c>
      <c r="D255" s="38">
        <v>12714.38643</v>
      </c>
      <c r="E255" s="38">
        <v>7720.1090661213357</v>
      </c>
      <c r="F255" s="38">
        <v>142.93555900621118</v>
      </c>
      <c r="G255" s="25">
        <f t="shared" si="3"/>
        <v>12599846.977606609</v>
      </c>
    </row>
    <row r="256" spans="1:7">
      <c r="A256" s="1">
        <v>253</v>
      </c>
      <c r="B256" s="9">
        <v>39329</v>
      </c>
      <c r="C256" s="37">
        <v>13448.86</v>
      </c>
      <c r="D256" s="38">
        <v>12818.643360000002</v>
      </c>
      <c r="E256" s="38">
        <v>7707.5000000000009</v>
      </c>
      <c r="F256" s="38">
        <v>141.31213425129087</v>
      </c>
      <c r="G256" s="25">
        <f t="shared" si="3"/>
        <v>12634683.767791202</v>
      </c>
    </row>
    <row r="257" spans="1:7">
      <c r="A257" s="1">
        <v>254</v>
      </c>
      <c r="B257" s="9">
        <v>39330</v>
      </c>
      <c r="C257" s="37">
        <v>13305.47</v>
      </c>
      <c r="D257" s="38">
        <v>12666.186929999998</v>
      </c>
      <c r="E257" s="38">
        <v>7578.9078498293511</v>
      </c>
      <c r="F257" s="38">
        <v>140.08192457737323</v>
      </c>
      <c r="G257" s="25">
        <f t="shared" si="3"/>
        <v>12492455.873504013</v>
      </c>
    </row>
    <row r="258" spans="1:7">
      <c r="A258" s="1">
        <v>255</v>
      </c>
      <c r="B258" s="9">
        <v>39331</v>
      </c>
      <c r="C258" s="37">
        <v>13363.35</v>
      </c>
      <c r="D258" s="38">
        <v>12763.598610000001</v>
      </c>
      <c r="E258" s="38">
        <v>7635.0219058050379</v>
      </c>
      <c r="F258" s="38">
        <v>141.05856832971801</v>
      </c>
      <c r="G258" s="25">
        <f t="shared" si="3"/>
        <v>12570265.553125463</v>
      </c>
    </row>
    <row r="259" spans="1:7">
      <c r="A259" s="1">
        <v>256</v>
      </c>
      <c r="B259" s="9">
        <v>39332</v>
      </c>
      <c r="C259" s="37">
        <v>13113.38</v>
      </c>
      <c r="D259" s="38">
        <v>12538.418239999999</v>
      </c>
      <c r="E259" s="38">
        <v>7474.3289745354441</v>
      </c>
      <c r="F259" s="38">
        <v>142.10806522697223</v>
      </c>
      <c r="G259" s="25">
        <f t="shared" ref="G259:G322" si="4">C259/$C$503*H$2+D259/$D$503*I$2+E259/$E$503*J$2+F259/$F$503*K$2</f>
        <v>12401867.581855219</v>
      </c>
    </row>
    <row r="260" spans="1:7">
      <c r="A260" s="1">
        <v>257</v>
      </c>
      <c r="B260" s="9">
        <v>39335</v>
      </c>
      <c r="C260" s="37">
        <v>13127.85</v>
      </c>
      <c r="D260" s="38">
        <v>12443.021850000003</v>
      </c>
      <c r="E260" s="38">
        <v>7429.558620689656</v>
      </c>
      <c r="F260" s="38">
        <v>139.15588313178566</v>
      </c>
      <c r="G260" s="25">
        <f t="shared" si="4"/>
        <v>12317753.22621388</v>
      </c>
    </row>
    <row r="261" spans="1:7">
      <c r="A261" s="1">
        <v>258</v>
      </c>
      <c r="B261" s="9">
        <v>39336</v>
      </c>
      <c r="C261" s="37">
        <v>13308.39</v>
      </c>
      <c r="D261" s="38">
        <v>12751.077139999998</v>
      </c>
      <c r="E261" s="38">
        <v>7580.1604869950188</v>
      </c>
      <c r="F261" s="38">
        <v>139.15574057843997</v>
      </c>
      <c r="G261" s="25">
        <f t="shared" si="4"/>
        <v>12503827.580780843</v>
      </c>
    </row>
    <row r="262" spans="1:7">
      <c r="A262" s="1">
        <v>259</v>
      </c>
      <c r="B262" s="9">
        <v>39337</v>
      </c>
      <c r="C262" s="37">
        <v>13291.65</v>
      </c>
      <c r="D262" s="38">
        <v>12806.000339999999</v>
      </c>
      <c r="E262" s="38">
        <v>7648.9515345090967</v>
      </c>
      <c r="F262" s="38">
        <v>138.33274956217164</v>
      </c>
      <c r="G262" s="25">
        <f t="shared" si="4"/>
        <v>12511421.616134711</v>
      </c>
    </row>
    <row r="263" spans="1:7">
      <c r="A263" s="1">
        <v>260</v>
      </c>
      <c r="B263" s="9">
        <v>39338</v>
      </c>
      <c r="C263" s="37">
        <v>13424.88</v>
      </c>
      <c r="D263" s="38">
        <v>12901.534469999999</v>
      </c>
      <c r="E263" s="38">
        <v>7726.2215435868957</v>
      </c>
      <c r="F263" s="38">
        <v>137.08682089940214</v>
      </c>
      <c r="G263" s="25">
        <f t="shared" si="4"/>
        <v>12580002.162099803</v>
      </c>
    </row>
    <row r="264" spans="1:7">
      <c r="A264" s="1">
        <v>261</v>
      </c>
      <c r="B264" s="9">
        <v>39339</v>
      </c>
      <c r="C264" s="37">
        <v>13442.52</v>
      </c>
      <c r="D264" s="38">
        <v>12652.184809999999</v>
      </c>
      <c r="E264" s="38">
        <v>7682.2746185852984</v>
      </c>
      <c r="F264" s="38">
        <v>140.15312418527853</v>
      </c>
      <c r="G264" s="25">
        <f t="shared" si="4"/>
        <v>12555749.93519005</v>
      </c>
    </row>
    <row r="265" spans="1:7">
      <c r="A265" s="1">
        <v>262</v>
      </c>
      <c r="B265" s="9">
        <v>39343</v>
      </c>
      <c r="C265" s="37">
        <v>13739.39</v>
      </c>
      <c r="D265" s="38">
        <v>12546.49344</v>
      </c>
      <c r="E265" s="38">
        <v>7696.7406380027751</v>
      </c>
      <c r="F265" s="38">
        <v>136.44590277178136</v>
      </c>
      <c r="G265" s="25">
        <f t="shared" si="4"/>
        <v>12567072.789759424</v>
      </c>
    </row>
    <row r="266" spans="1:7">
      <c r="A266" s="1">
        <v>263</v>
      </c>
      <c r="B266" s="9">
        <v>39344</v>
      </c>
      <c r="C266" s="37">
        <v>13815.56</v>
      </c>
      <c r="D266" s="38">
        <v>12915.478000000001</v>
      </c>
      <c r="E266" s="38">
        <v>7999.4695700725842</v>
      </c>
      <c r="F266" s="38">
        <v>140.89223359422036</v>
      </c>
      <c r="G266" s="25">
        <f t="shared" si="4"/>
        <v>12837668.755147275</v>
      </c>
    </row>
    <row r="267" spans="1:7">
      <c r="A267" s="1">
        <v>264</v>
      </c>
      <c r="B267" s="9">
        <v>39345</v>
      </c>
      <c r="C267" s="37">
        <v>13766.7</v>
      </c>
      <c r="D267" s="38">
        <v>12947.3631</v>
      </c>
      <c r="E267" s="38">
        <v>8013.466685448655</v>
      </c>
      <c r="F267" s="38">
        <v>143.28930597992144</v>
      </c>
      <c r="G267" s="25">
        <f t="shared" si="4"/>
        <v>12874651.647445163</v>
      </c>
    </row>
    <row r="268" spans="1:7">
      <c r="A268" s="1">
        <v>265</v>
      </c>
      <c r="B268" s="9">
        <v>39346</v>
      </c>
      <c r="C268" s="37">
        <v>13820.19</v>
      </c>
      <c r="D268" s="38">
        <v>13046.408019999999</v>
      </c>
      <c r="E268" s="38">
        <v>8034.7427766032406</v>
      </c>
      <c r="F268" s="38">
        <v>141.3448574646911</v>
      </c>
      <c r="G268" s="25">
        <f t="shared" si="4"/>
        <v>12893977.622035213</v>
      </c>
    </row>
    <row r="269" spans="1:7">
      <c r="A269" s="1">
        <v>266</v>
      </c>
      <c r="B269" s="9">
        <v>39350</v>
      </c>
      <c r="C269" s="37">
        <v>13778.65</v>
      </c>
      <c r="D269" s="38">
        <v>12896.790089999999</v>
      </c>
      <c r="E269" s="38">
        <v>7968.3474576271192</v>
      </c>
      <c r="F269" s="38">
        <v>143.42191325638333</v>
      </c>
      <c r="G269" s="25">
        <f t="shared" si="4"/>
        <v>12858258.073853433</v>
      </c>
    </row>
    <row r="270" spans="1:7">
      <c r="A270" s="1">
        <v>267</v>
      </c>
      <c r="B270" s="9">
        <v>39351</v>
      </c>
      <c r="C270" s="37">
        <v>13878.15</v>
      </c>
      <c r="D270" s="38">
        <v>12964.4249</v>
      </c>
      <c r="E270" s="38">
        <v>8036.675610789438</v>
      </c>
      <c r="F270" s="38">
        <v>142.05479688850477</v>
      </c>
      <c r="G270" s="25">
        <f t="shared" si="4"/>
        <v>12902288.6444853</v>
      </c>
    </row>
    <row r="271" spans="1:7">
      <c r="A271" s="1">
        <v>268</v>
      </c>
      <c r="B271" s="9">
        <v>39352</v>
      </c>
      <c r="C271" s="37">
        <v>13912.94</v>
      </c>
      <c r="D271" s="38">
        <v>13127.824959999998</v>
      </c>
      <c r="E271" s="38">
        <v>8114.0249080101894</v>
      </c>
      <c r="F271" s="38">
        <v>145.51932220973461</v>
      </c>
      <c r="G271" s="25">
        <f t="shared" si="4"/>
        <v>13039867.899275411</v>
      </c>
    </row>
    <row r="272" spans="1:7">
      <c r="A272" s="1">
        <v>269</v>
      </c>
      <c r="B272" s="9">
        <v>39353</v>
      </c>
      <c r="C272" s="37">
        <v>13895.63</v>
      </c>
      <c r="D272" s="38">
        <v>13175.45832</v>
      </c>
      <c r="E272" s="38">
        <v>8130.4267425320058</v>
      </c>
      <c r="F272" s="38">
        <v>145.93714136671883</v>
      </c>
      <c r="G272" s="25">
        <f t="shared" si="4"/>
        <v>13058523.511355545</v>
      </c>
    </row>
    <row r="273" spans="1:7">
      <c r="A273" s="1">
        <v>270</v>
      </c>
      <c r="B273" s="9">
        <v>39356</v>
      </c>
      <c r="C273" s="37">
        <v>14087.55</v>
      </c>
      <c r="D273" s="38">
        <v>13292.1666</v>
      </c>
      <c r="E273" s="38">
        <v>8222.8457484688806</v>
      </c>
      <c r="F273" s="38">
        <v>145.65070032854919</v>
      </c>
      <c r="G273" s="25">
        <f t="shared" si="4"/>
        <v>13174472.240049951</v>
      </c>
    </row>
    <row r="274" spans="1:7">
      <c r="A274" s="1">
        <v>271</v>
      </c>
      <c r="B274" s="9">
        <v>39357</v>
      </c>
      <c r="C274" s="37">
        <v>14047.31</v>
      </c>
      <c r="D274" s="38">
        <v>13266.016319999999</v>
      </c>
      <c r="E274" s="38">
        <v>8207.2884234361736</v>
      </c>
      <c r="F274" s="38">
        <v>147.08179465056082</v>
      </c>
      <c r="G274" s="25">
        <f t="shared" si="4"/>
        <v>13174556.70261205</v>
      </c>
    </row>
    <row r="275" spans="1:7">
      <c r="A275" s="1">
        <v>272</v>
      </c>
      <c r="B275" s="9">
        <v>39358</v>
      </c>
      <c r="C275" s="37">
        <v>13968.05</v>
      </c>
      <c r="D275" s="38">
        <v>13312.202399999998</v>
      </c>
      <c r="E275" s="38">
        <v>8213.5804215589196</v>
      </c>
      <c r="F275" s="38">
        <v>147.3223982869379</v>
      </c>
      <c r="G275" s="25">
        <f t="shared" si="4"/>
        <v>13165505.831450505</v>
      </c>
    </row>
    <row r="276" spans="1:7">
      <c r="A276" s="1">
        <v>273</v>
      </c>
      <c r="B276" s="9">
        <v>39359</v>
      </c>
      <c r="C276" s="37">
        <v>13974.31</v>
      </c>
      <c r="D276" s="38">
        <v>13366.22827</v>
      </c>
      <c r="E276" s="38">
        <v>8204.0848056537106</v>
      </c>
      <c r="F276" s="38">
        <v>146.76704447879104</v>
      </c>
      <c r="G276" s="25">
        <f t="shared" si="4"/>
        <v>13173284.680833552</v>
      </c>
    </row>
    <row r="277" spans="1:7">
      <c r="A277" s="1">
        <v>274</v>
      </c>
      <c r="B277" s="9">
        <v>39360</v>
      </c>
      <c r="C277" s="37">
        <v>14066.01</v>
      </c>
      <c r="D277" s="38">
        <v>13466.64486</v>
      </c>
      <c r="E277" s="38">
        <v>8263.6685051619297</v>
      </c>
      <c r="F277" s="38">
        <v>146.22999143101973</v>
      </c>
      <c r="G277" s="25">
        <f t="shared" si="4"/>
        <v>13238033.222909156</v>
      </c>
    </row>
    <row r="278" spans="1:7">
      <c r="A278" s="1">
        <v>275</v>
      </c>
      <c r="B278" s="9">
        <v>39364</v>
      </c>
      <c r="C278" s="37">
        <v>14164.53</v>
      </c>
      <c r="D278" s="38">
        <v>13453.077439999999</v>
      </c>
      <c r="E278" s="38">
        <v>8258.5657931811784</v>
      </c>
      <c r="F278" s="38">
        <v>146.67834857680145</v>
      </c>
      <c r="G278" s="25">
        <f t="shared" si="4"/>
        <v>13276672.182005508</v>
      </c>
    </row>
    <row r="279" spans="1:7">
      <c r="A279" s="1">
        <v>276</v>
      </c>
      <c r="B279" s="9">
        <v>39365</v>
      </c>
      <c r="C279" s="37">
        <v>14078.69</v>
      </c>
      <c r="D279" s="38">
        <v>13555.862099999998</v>
      </c>
      <c r="E279" s="38">
        <v>8269.8158640226629</v>
      </c>
      <c r="F279" s="38">
        <v>146.71925179364536</v>
      </c>
      <c r="G279" s="25">
        <f t="shared" si="4"/>
        <v>13280180.160605114</v>
      </c>
    </row>
    <row r="280" spans="1:7">
      <c r="A280" s="1">
        <v>277</v>
      </c>
      <c r="B280" s="9">
        <v>39366</v>
      </c>
      <c r="C280" s="37">
        <v>14015.12</v>
      </c>
      <c r="D280" s="38">
        <v>13707.893249999999</v>
      </c>
      <c r="E280" s="38">
        <v>8348.0421472305279</v>
      </c>
      <c r="F280" s="38">
        <v>148.48596700119069</v>
      </c>
      <c r="G280" s="25">
        <f t="shared" si="4"/>
        <v>13348555.232883163</v>
      </c>
    </row>
    <row r="281" spans="1:7">
      <c r="A281" s="1">
        <v>278</v>
      </c>
      <c r="B281" s="9">
        <v>39367</v>
      </c>
      <c r="C281" s="37">
        <v>14093.08</v>
      </c>
      <c r="D281" s="38">
        <v>13694.95529</v>
      </c>
      <c r="E281" s="38">
        <v>8281.0684426810258</v>
      </c>
      <c r="F281" s="38">
        <v>147.5872434641914</v>
      </c>
      <c r="G281" s="25">
        <f t="shared" si="4"/>
        <v>13346071.218782024</v>
      </c>
    </row>
    <row r="282" spans="1:7">
      <c r="A282" s="1">
        <v>279</v>
      </c>
      <c r="B282" s="9">
        <v>39370</v>
      </c>
      <c r="C282" s="37">
        <v>13984.8</v>
      </c>
      <c r="D282" s="38">
        <v>13569.397899999998</v>
      </c>
      <c r="E282" s="38">
        <v>8260.9388335704116</v>
      </c>
      <c r="F282" s="38">
        <v>147.77924399795677</v>
      </c>
      <c r="G282" s="25">
        <f t="shared" si="4"/>
        <v>13267695.473102251</v>
      </c>
    </row>
    <row r="283" spans="1:7">
      <c r="A283" s="1">
        <v>280</v>
      </c>
      <c r="B283" s="9">
        <v>39371</v>
      </c>
      <c r="C283" s="37">
        <v>13912.94</v>
      </c>
      <c r="D283" s="38">
        <v>13439.596169999999</v>
      </c>
      <c r="E283" s="38">
        <v>8174.3488108720267</v>
      </c>
      <c r="F283" s="38">
        <v>147.01827228274857</v>
      </c>
      <c r="G283" s="25">
        <f t="shared" si="4"/>
        <v>13173598.39201346</v>
      </c>
    </row>
    <row r="284" spans="1:7">
      <c r="A284" s="1">
        <v>281</v>
      </c>
      <c r="B284" s="9">
        <v>39372</v>
      </c>
      <c r="C284" s="37">
        <v>13892.54</v>
      </c>
      <c r="D284" s="38">
        <v>13607.149289999999</v>
      </c>
      <c r="E284" s="38">
        <v>8260.6473594548552</v>
      </c>
      <c r="F284" s="38">
        <v>145.31462118615016</v>
      </c>
      <c r="G284" s="25">
        <f t="shared" si="4"/>
        <v>13202273.535588086</v>
      </c>
    </row>
    <row r="285" spans="1:7">
      <c r="A285" s="1">
        <v>282</v>
      </c>
      <c r="B285" s="9">
        <v>39373</v>
      </c>
      <c r="C285" s="37">
        <v>13888.96</v>
      </c>
      <c r="D285" s="38">
        <v>13525.47616</v>
      </c>
      <c r="E285" s="38">
        <v>8236.5609825764059</v>
      </c>
      <c r="F285" s="38">
        <v>147.88700613815163</v>
      </c>
      <c r="G285" s="25">
        <f t="shared" si="4"/>
        <v>13217167.268376609</v>
      </c>
    </row>
    <row r="286" spans="1:7">
      <c r="A286" s="1">
        <v>283</v>
      </c>
      <c r="B286" s="9">
        <v>39374</v>
      </c>
      <c r="C286" s="37">
        <v>13522.02</v>
      </c>
      <c r="D286" s="38">
        <v>13354.777819999998</v>
      </c>
      <c r="E286" s="38">
        <v>8178.4869639549788</v>
      </c>
      <c r="F286" s="38">
        <v>146.2882373412215</v>
      </c>
      <c r="G286" s="25">
        <f t="shared" si="4"/>
        <v>12992950.21735031</v>
      </c>
    </row>
    <row r="287" spans="1:7">
      <c r="A287" s="1">
        <v>284</v>
      </c>
      <c r="B287" s="9">
        <v>39377</v>
      </c>
      <c r="C287" s="37">
        <v>13566.97</v>
      </c>
      <c r="D287" s="38">
        <v>13096.876680000001</v>
      </c>
      <c r="E287" s="38">
        <v>8008.5867873815259</v>
      </c>
      <c r="F287" s="38">
        <v>144.12125197264598</v>
      </c>
      <c r="G287" s="25">
        <f t="shared" si="4"/>
        <v>12862852.300971255</v>
      </c>
    </row>
    <row r="288" spans="1:7">
      <c r="A288" s="1">
        <v>285</v>
      </c>
      <c r="B288" s="9">
        <v>39378</v>
      </c>
      <c r="C288" s="37">
        <v>13676.23</v>
      </c>
      <c r="D288" s="38">
        <v>13343.277599999999</v>
      </c>
      <c r="E288" s="38">
        <v>8126.8518518518522</v>
      </c>
      <c r="F288" s="38">
        <v>143.46019011075262</v>
      </c>
      <c r="G288" s="25">
        <f t="shared" si="4"/>
        <v>12986859.928367877</v>
      </c>
    </row>
    <row r="289" spans="1:7">
      <c r="A289" s="1">
        <v>286</v>
      </c>
      <c r="B289" s="9">
        <v>39379</v>
      </c>
      <c r="C289" s="37">
        <v>13675.25</v>
      </c>
      <c r="D289" s="38">
        <v>13267.357600000001</v>
      </c>
      <c r="E289" s="38">
        <v>8073.2252098449289</v>
      </c>
      <c r="F289" s="38">
        <v>143.39402173913044</v>
      </c>
      <c r="G289" s="25">
        <f t="shared" si="4"/>
        <v>12952957.152940303</v>
      </c>
    </row>
    <row r="290" spans="1:7">
      <c r="A290" s="1">
        <v>287</v>
      </c>
      <c r="B290" s="9">
        <v>39380</v>
      </c>
      <c r="C290" s="37">
        <v>13671.92</v>
      </c>
      <c r="D290" s="38">
        <v>13479.442110000002</v>
      </c>
      <c r="E290" s="38">
        <v>8240.7725321888429</v>
      </c>
      <c r="F290" s="38">
        <v>142.53102844638948</v>
      </c>
      <c r="G290" s="25">
        <f t="shared" si="4"/>
        <v>13029749.514121305</v>
      </c>
    </row>
    <row r="291" spans="1:7">
      <c r="A291" s="1">
        <v>288</v>
      </c>
      <c r="B291" s="9">
        <v>39381</v>
      </c>
      <c r="C291" s="37">
        <v>13806.7</v>
      </c>
      <c r="D291" s="38">
        <v>13670.985989999999</v>
      </c>
      <c r="E291" s="38">
        <v>8337.9424460431655</v>
      </c>
      <c r="F291" s="38">
        <v>144.59597021462989</v>
      </c>
      <c r="G291" s="25">
        <f t="shared" si="4"/>
        <v>13190797.256863611</v>
      </c>
    </row>
    <row r="292" spans="1:7">
      <c r="A292" s="1">
        <v>289</v>
      </c>
      <c r="B292" s="9">
        <v>39384</v>
      </c>
      <c r="C292" s="37">
        <v>13870.26</v>
      </c>
      <c r="D292" s="38">
        <v>13820.395400000001</v>
      </c>
      <c r="E292" s="38">
        <v>8407.0728896571582</v>
      </c>
      <c r="F292" s="38">
        <v>145.58047079337402</v>
      </c>
      <c r="G292" s="25">
        <f t="shared" si="4"/>
        <v>13289156.281119019</v>
      </c>
    </row>
    <row r="293" spans="1:7">
      <c r="A293" s="1">
        <v>290</v>
      </c>
      <c r="B293" s="9">
        <v>39385</v>
      </c>
      <c r="C293" s="37">
        <v>13792.47</v>
      </c>
      <c r="D293" s="38">
        <v>13764.8189</v>
      </c>
      <c r="E293" s="38">
        <v>8371.4553584306941</v>
      </c>
      <c r="F293" s="38">
        <v>145.14478730822873</v>
      </c>
      <c r="G293" s="25">
        <f t="shared" si="4"/>
        <v>13230090.017547354</v>
      </c>
    </row>
    <row r="294" spans="1:7">
      <c r="A294" s="1">
        <v>291</v>
      </c>
      <c r="B294" s="9">
        <v>39386</v>
      </c>
      <c r="C294" s="37">
        <v>13930.01</v>
      </c>
      <c r="D294" s="38">
        <v>13963.45184</v>
      </c>
      <c r="E294" s="38">
        <v>8461.8000289393713</v>
      </c>
      <c r="F294" s="38">
        <v>145.1785063752277</v>
      </c>
      <c r="G294" s="25">
        <f t="shared" si="4"/>
        <v>13357246.441366937</v>
      </c>
    </row>
    <row r="295" spans="1:7">
      <c r="A295" s="1">
        <v>292</v>
      </c>
      <c r="B295" s="9">
        <v>39387</v>
      </c>
      <c r="C295" s="37">
        <v>13567.87</v>
      </c>
      <c r="D295" s="38">
        <v>13710.284370000001</v>
      </c>
      <c r="E295" s="38">
        <v>8273.3073480583225</v>
      </c>
      <c r="F295" s="38">
        <v>146.8523676880223</v>
      </c>
      <c r="G295" s="25">
        <f t="shared" si="4"/>
        <v>13145979.531273823</v>
      </c>
    </row>
    <row r="296" spans="1:7">
      <c r="A296" s="1">
        <v>293</v>
      </c>
      <c r="B296" s="9">
        <v>39388</v>
      </c>
      <c r="C296" s="37">
        <v>13595.1</v>
      </c>
      <c r="D296" s="38">
        <v>13596.709199999999</v>
      </c>
      <c r="E296" s="38">
        <v>8284.4605358435911</v>
      </c>
      <c r="F296" s="38">
        <v>143.93063785291042</v>
      </c>
      <c r="G296" s="25">
        <f t="shared" si="4"/>
        <v>13070374.137799179</v>
      </c>
    </row>
    <row r="297" spans="1:7">
      <c r="A297" s="1">
        <v>294</v>
      </c>
      <c r="B297" s="9">
        <v>39391</v>
      </c>
      <c r="C297" s="37">
        <v>13543.4</v>
      </c>
      <c r="D297" s="38">
        <v>13443.588839999999</v>
      </c>
      <c r="E297" s="38">
        <v>8225.4666473737507</v>
      </c>
      <c r="F297" s="38">
        <v>142.08663755458517</v>
      </c>
      <c r="G297" s="25">
        <f t="shared" si="4"/>
        <v>12961557.979911029</v>
      </c>
    </row>
    <row r="298" spans="1:7">
      <c r="A298" s="1">
        <v>295</v>
      </c>
      <c r="B298" s="9">
        <v>39392</v>
      </c>
      <c r="C298" s="37">
        <v>13660.94</v>
      </c>
      <c r="D298" s="38">
        <v>13517.00124</v>
      </c>
      <c r="E298" s="38">
        <v>8308.2363213038407</v>
      </c>
      <c r="F298" s="38">
        <v>142.15405476336278</v>
      </c>
      <c r="G298" s="25">
        <f t="shared" si="4"/>
        <v>13041700.071538517</v>
      </c>
    </row>
    <row r="299" spans="1:7">
      <c r="A299" s="1">
        <v>296</v>
      </c>
      <c r="B299" s="9">
        <v>39393</v>
      </c>
      <c r="C299" s="37">
        <v>13300.02</v>
      </c>
      <c r="D299" s="38">
        <v>13434.250400000001</v>
      </c>
      <c r="E299" s="38">
        <v>8335.6116163097686</v>
      </c>
      <c r="F299" s="38">
        <v>142.13403973509935</v>
      </c>
      <c r="G299" s="25">
        <f t="shared" si="4"/>
        <v>12888919.481659239</v>
      </c>
    </row>
    <row r="300" spans="1:7">
      <c r="A300" s="1">
        <v>297</v>
      </c>
      <c r="B300" s="9">
        <v>39394</v>
      </c>
      <c r="C300" s="37">
        <v>13266.29</v>
      </c>
      <c r="D300" s="38">
        <v>13453.683389999998</v>
      </c>
      <c r="E300" s="38">
        <v>8272.0769682726204</v>
      </c>
      <c r="F300" s="38">
        <v>139.86848173111031</v>
      </c>
      <c r="G300" s="25">
        <f t="shared" si="4"/>
        <v>12832342.987523681</v>
      </c>
    </row>
    <row r="301" spans="1:7">
      <c r="A301" s="1">
        <v>298</v>
      </c>
      <c r="B301" s="9">
        <v>39395</v>
      </c>
      <c r="C301" s="37">
        <v>13042.74</v>
      </c>
      <c r="D301" s="38">
        <v>13207.50452</v>
      </c>
      <c r="E301" s="38">
        <v>8108.2929693233527</v>
      </c>
      <c r="F301" s="38">
        <v>140.83524627202891</v>
      </c>
      <c r="G301" s="25">
        <f t="shared" si="4"/>
        <v>12665005.834285442</v>
      </c>
    </row>
    <row r="302" spans="1:7">
      <c r="A302" s="1">
        <v>299</v>
      </c>
      <c r="B302" s="9">
        <v>39398</v>
      </c>
      <c r="C302" s="37">
        <v>12987.55</v>
      </c>
      <c r="D302" s="38">
        <v>13051.00368</v>
      </c>
      <c r="E302" s="38">
        <v>8047.0417211804051</v>
      </c>
      <c r="F302" s="38">
        <v>138.9384713841653</v>
      </c>
      <c r="G302" s="25">
        <f t="shared" si="4"/>
        <v>12552567.111090105</v>
      </c>
    </row>
    <row r="303" spans="1:7">
      <c r="A303" s="1">
        <v>300</v>
      </c>
      <c r="B303" s="9">
        <v>39399</v>
      </c>
      <c r="C303" s="37">
        <v>13307.09</v>
      </c>
      <c r="D303" s="38">
        <v>13185.437759999999</v>
      </c>
      <c r="E303" s="38">
        <v>8088.3615654205605</v>
      </c>
      <c r="F303" s="38">
        <v>137.22788714506032</v>
      </c>
      <c r="G303" s="25">
        <f t="shared" si="4"/>
        <v>12686882.513116499</v>
      </c>
    </row>
    <row r="304" spans="1:7">
      <c r="A304" s="1">
        <v>301</v>
      </c>
      <c r="B304" s="9">
        <v>39400</v>
      </c>
      <c r="C304" s="37">
        <v>13231.01</v>
      </c>
      <c r="D304" s="38">
        <v>13284.859340000001</v>
      </c>
      <c r="E304" s="38">
        <v>8248.0164560681751</v>
      </c>
      <c r="F304" s="38">
        <v>139.1342908438061</v>
      </c>
      <c r="G304" s="25">
        <f t="shared" si="4"/>
        <v>12749886.002717096</v>
      </c>
    </row>
    <row r="305" spans="1:7">
      <c r="A305" s="1">
        <v>302</v>
      </c>
      <c r="B305" s="9">
        <v>39401</v>
      </c>
      <c r="C305" s="37">
        <v>13110.05</v>
      </c>
      <c r="D305" s="38">
        <v>13007.289880000002</v>
      </c>
      <c r="E305" s="38">
        <v>8133.8745063624401</v>
      </c>
      <c r="F305" s="38">
        <v>138.79293247994229</v>
      </c>
      <c r="G305" s="25">
        <f t="shared" si="4"/>
        <v>12594787.125678323</v>
      </c>
    </row>
    <row r="306" spans="1:7">
      <c r="A306" s="1">
        <v>303</v>
      </c>
      <c r="B306" s="9">
        <v>39402</v>
      </c>
      <c r="C306" s="37">
        <v>13176.79</v>
      </c>
      <c r="D306" s="38">
        <v>12869.90784</v>
      </c>
      <c r="E306" s="38">
        <v>8082.5724319578576</v>
      </c>
      <c r="F306" s="38">
        <v>137.00940240484587</v>
      </c>
      <c r="G306" s="25">
        <f t="shared" si="4"/>
        <v>12536184.62831087</v>
      </c>
    </row>
    <row r="307" spans="1:7">
      <c r="A307" s="1">
        <v>304</v>
      </c>
      <c r="B307" s="9">
        <v>39405</v>
      </c>
      <c r="C307" s="37">
        <v>12958.44</v>
      </c>
      <c r="D307" s="38">
        <v>12559.26952</v>
      </c>
      <c r="E307" s="38">
        <v>7960.975967174677</v>
      </c>
      <c r="F307" s="38">
        <v>136.52713741150842</v>
      </c>
      <c r="G307" s="25">
        <f t="shared" si="4"/>
        <v>12331707.838805066</v>
      </c>
    </row>
    <row r="308" spans="1:7">
      <c r="A308" s="1">
        <v>305</v>
      </c>
      <c r="B308" s="9">
        <v>39406</v>
      </c>
      <c r="C308" s="37">
        <v>13010.14</v>
      </c>
      <c r="D308" s="38">
        <v>12855.231900000001</v>
      </c>
      <c r="E308" s="38">
        <v>8139.9556541019965</v>
      </c>
      <c r="F308" s="38">
        <v>138.08569353667394</v>
      </c>
      <c r="G308" s="25">
        <f t="shared" si="4"/>
        <v>12499453.837678112</v>
      </c>
    </row>
    <row r="309" spans="1:7">
      <c r="A309" s="1">
        <v>306</v>
      </c>
      <c r="B309" s="9">
        <v>39407</v>
      </c>
      <c r="C309" s="37">
        <v>12799.04</v>
      </c>
      <c r="D309" s="38">
        <v>12476.306589999998</v>
      </c>
      <c r="E309" s="38">
        <v>7978.2060785767235</v>
      </c>
      <c r="F309" s="38">
        <v>136.85353255856853</v>
      </c>
      <c r="G309" s="25">
        <f t="shared" si="4"/>
        <v>12256498.909290073</v>
      </c>
    </row>
    <row r="310" spans="1:7">
      <c r="A310" s="1">
        <v>307</v>
      </c>
      <c r="B310" s="9">
        <v>39412</v>
      </c>
      <c r="C310" s="37">
        <v>12743.44</v>
      </c>
      <c r="D310" s="38">
        <v>12780.037900000001</v>
      </c>
      <c r="E310" s="38">
        <v>8099.7032200623235</v>
      </c>
      <c r="F310" s="38">
        <v>139.80426750415666</v>
      </c>
      <c r="G310" s="25">
        <f t="shared" si="4"/>
        <v>12403141.031272946</v>
      </c>
    </row>
    <row r="311" spans="1:7">
      <c r="A311" s="1">
        <v>308</v>
      </c>
      <c r="B311" s="9">
        <v>39413</v>
      </c>
      <c r="C311" s="37">
        <v>12958.44</v>
      </c>
      <c r="D311" s="38">
        <v>12710.020859999999</v>
      </c>
      <c r="E311" s="38">
        <v>8075.746767721801</v>
      </c>
      <c r="F311" s="38">
        <v>140.21230542507141</v>
      </c>
      <c r="G311" s="25">
        <f t="shared" si="4"/>
        <v>12462655.415975716</v>
      </c>
    </row>
    <row r="312" spans="1:7">
      <c r="A312" s="1">
        <v>309</v>
      </c>
      <c r="B312" s="9">
        <v>39414</v>
      </c>
      <c r="C312" s="37">
        <v>13289.45</v>
      </c>
      <c r="D312" s="38">
        <v>13061.401440000001</v>
      </c>
      <c r="E312" s="38">
        <v>8207.2166469893746</v>
      </c>
      <c r="F312" s="38">
        <v>137.81174972717352</v>
      </c>
      <c r="G312" s="25">
        <f t="shared" si="4"/>
        <v>12671238.139455752</v>
      </c>
    </row>
    <row r="313" spans="1:7">
      <c r="A313" s="1">
        <v>310</v>
      </c>
      <c r="B313" s="9">
        <v>39415</v>
      </c>
      <c r="C313" s="37">
        <v>13311.73</v>
      </c>
      <c r="D313" s="38">
        <v>13095.018750000001</v>
      </c>
      <c r="E313" s="38">
        <v>8268.9955686853755</v>
      </c>
      <c r="F313" s="38">
        <v>141.45837512537614</v>
      </c>
      <c r="G313" s="25">
        <f t="shared" si="4"/>
        <v>12764436.770737927</v>
      </c>
    </row>
    <row r="314" spans="1:7">
      <c r="A314" s="1">
        <v>311</v>
      </c>
      <c r="B314" s="9">
        <v>39416</v>
      </c>
      <c r="C314" s="37">
        <v>13371.72</v>
      </c>
      <c r="D314" s="38">
        <v>13225.863249999999</v>
      </c>
      <c r="E314" s="38">
        <v>8324.383440986494</v>
      </c>
      <c r="F314" s="38">
        <v>141.42018398268399</v>
      </c>
      <c r="G314" s="25">
        <f t="shared" si="4"/>
        <v>12835352.936644331</v>
      </c>
    </row>
    <row r="315" spans="1:7">
      <c r="A315" s="1">
        <v>312</v>
      </c>
      <c r="B315" s="9">
        <v>39419</v>
      </c>
      <c r="C315" s="37">
        <v>13314.57</v>
      </c>
      <c r="D315" s="38">
        <v>13203.018180000001</v>
      </c>
      <c r="E315" s="38">
        <v>8253.1300395836388</v>
      </c>
      <c r="F315" s="38">
        <v>141.47705259346429</v>
      </c>
      <c r="G315" s="25">
        <f t="shared" si="4"/>
        <v>12796989.913141113</v>
      </c>
    </row>
    <row r="316" spans="1:7">
      <c r="A316" s="1">
        <v>313</v>
      </c>
      <c r="B316" s="9">
        <v>39420</v>
      </c>
      <c r="C316" s="37">
        <v>13248.73</v>
      </c>
      <c r="D316" s="38">
        <v>13001.10224</v>
      </c>
      <c r="E316" s="38">
        <v>8184.1398642667455</v>
      </c>
      <c r="F316" s="38">
        <v>141.21683999270206</v>
      </c>
      <c r="G316" s="25">
        <f t="shared" si="4"/>
        <v>12694257.083171252</v>
      </c>
    </row>
    <row r="317" spans="1:7">
      <c r="A317" s="1">
        <v>314</v>
      </c>
      <c r="B317" s="9">
        <v>39421</v>
      </c>
      <c r="C317" s="37">
        <v>13444.96</v>
      </c>
      <c r="D317" s="38">
        <v>13166.828880000001</v>
      </c>
      <c r="E317" s="38">
        <v>8294.1081635644132</v>
      </c>
      <c r="F317" s="38">
        <v>140.70927612007571</v>
      </c>
      <c r="G317" s="25">
        <f t="shared" si="4"/>
        <v>12825998.848831819</v>
      </c>
    </row>
    <row r="318" spans="1:7">
      <c r="A318" s="1">
        <v>315</v>
      </c>
      <c r="B318" s="9">
        <v>39422</v>
      </c>
      <c r="C318" s="37">
        <v>13619.89</v>
      </c>
      <c r="D318" s="38">
        <v>13135.934240000001</v>
      </c>
      <c r="E318" s="38">
        <v>8296.1836525807867</v>
      </c>
      <c r="F318" s="38">
        <v>142.54741379310346</v>
      </c>
      <c r="G318" s="25">
        <f t="shared" si="4"/>
        <v>12912747.205872416</v>
      </c>
    </row>
    <row r="319" spans="1:7">
      <c r="A319" s="1">
        <v>316</v>
      </c>
      <c r="B319" s="9">
        <v>39423</v>
      </c>
      <c r="C319" s="37">
        <v>13625.58</v>
      </c>
      <c r="D319" s="38">
        <v>13303.169550000001</v>
      </c>
      <c r="E319" s="38">
        <v>8379.1208791208792</v>
      </c>
      <c r="F319" s="38">
        <v>142.88860034028835</v>
      </c>
      <c r="G319" s="25">
        <f t="shared" si="4"/>
        <v>12986498.081442771</v>
      </c>
    </row>
    <row r="320" spans="1:7">
      <c r="A320" s="1">
        <v>317</v>
      </c>
      <c r="B320" s="9">
        <v>39426</v>
      </c>
      <c r="C320" s="37">
        <v>13727.03</v>
      </c>
      <c r="D320" s="38">
        <v>13434.121479999998</v>
      </c>
      <c r="E320" s="38">
        <v>8462.213066509712</v>
      </c>
      <c r="F320" s="38">
        <v>142.55115925163369</v>
      </c>
      <c r="G320" s="25">
        <f t="shared" si="4"/>
        <v>13071657.351409156</v>
      </c>
    </row>
    <row r="321" spans="1:7">
      <c r="A321" s="1">
        <v>318</v>
      </c>
      <c r="B321" s="9">
        <v>39427</v>
      </c>
      <c r="C321" s="37">
        <v>13432.77</v>
      </c>
      <c r="D321" s="38">
        <v>13328.739100000001</v>
      </c>
      <c r="E321" s="38">
        <v>8411.3429327064368</v>
      </c>
      <c r="F321" s="38">
        <v>143.75701102051787</v>
      </c>
      <c r="G321" s="25">
        <f t="shared" si="4"/>
        <v>12945107.356699441</v>
      </c>
    </row>
    <row r="322" spans="1:7">
      <c r="A322" s="1">
        <v>319</v>
      </c>
      <c r="B322" s="9">
        <v>39428</v>
      </c>
      <c r="C322" s="37">
        <v>13473.9</v>
      </c>
      <c r="D322" s="38">
        <v>13418.72688</v>
      </c>
      <c r="E322" s="38">
        <v>8431.1802701115666</v>
      </c>
      <c r="F322" s="38">
        <v>141.94814682822525</v>
      </c>
      <c r="G322" s="25">
        <f t="shared" si="4"/>
        <v>12959288.858996708</v>
      </c>
    </row>
    <row r="323" spans="1:7">
      <c r="A323" s="1">
        <v>320</v>
      </c>
      <c r="B323" s="9">
        <v>39429</v>
      </c>
      <c r="C323" s="37">
        <v>13517.96</v>
      </c>
      <c r="D323" s="38">
        <v>12968.33034</v>
      </c>
      <c r="E323" s="38">
        <v>8165.4885351248722</v>
      </c>
      <c r="F323" s="38">
        <v>138.54574638844301</v>
      </c>
      <c r="G323" s="25">
        <f t="shared" ref="G323:G386" si="5">C323/$C$503*H$2+D323/$D$503*I$2+E323/$E$503*J$2+F323/$F$503*K$2</f>
        <v>12731363.012482481</v>
      </c>
    </row>
    <row r="324" spans="1:7">
      <c r="A324" s="1">
        <v>321</v>
      </c>
      <c r="B324" s="9">
        <v>39430</v>
      </c>
      <c r="C324" s="37">
        <v>13339.85</v>
      </c>
      <c r="D324" s="38">
        <v>12919.3812</v>
      </c>
      <c r="E324" s="38">
        <v>8092.0456185939074</v>
      </c>
      <c r="F324" s="38">
        <v>136.86053281580806</v>
      </c>
      <c r="G324" s="25">
        <f t="shared" si="5"/>
        <v>12609709.909383764</v>
      </c>
    </row>
    <row r="325" spans="1:7">
      <c r="A325" s="1">
        <v>322</v>
      </c>
      <c r="B325" s="9">
        <v>39433</v>
      </c>
      <c r="C325" s="37">
        <v>13167.2</v>
      </c>
      <c r="D325" s="38">
        <v>12650.394780000001</v>
      </c>
      <c r="E325" s="38">
        <v>7928.2346175963203</v>
      </c>
      <c r="F325" s="38">
        <v>134.6678735429177</v>
      </c>
      <c r="G325" s="25">
        <f t="shared" si="5"/>
        <v>12397705.842698622</v>
      </c>
    </row>
    <row r="326" spans="1:7">
      <c r="A326" s="1">
        <v>323</v>
      </c>
      <c r="B326" s="9">
        <v>39434</v>
      </c>
      <c r="C326" s="37">
        <v>13232.47</v>
      </c>
      <c r="D326" s="38">
        <v>12671.627399999999</v>
      </c>
      <c r="E326" s="38">
        <v>7935.1433098084399</v>
      </c>
      <c r="F326" s="38">
        <v>134.33318611430087</v>
      </c>
      <c r="G326" s="25">
        <f t="shared" si="5"/>
        <v>12423209.372043768</v>
      </c>
    </row>
    <row r="327" spans="1:7">
      <c r="A327" s="1">
        <v>324</v>
      </c>
      <c r="B327" s="9">
        <v>39435</v>
      </c>
      <c r="C327" s="37">
        <v>13207.27</v>
      </c>
      <c r="D327" s="38">
        <v>12590.3673</v>
      </c>
      <c r="E327" s="38">
        <v>7909.9568345323751</v>
      </c>
      <c r="F327" s="38">
        <v>132.57925377083885</v>
      </c>
      <c r="G327" s="25">
        <f t="shared" si="5"/>
        <v>12353515.956818277</v>
      </c>
    </row>
    <row r="328" spans="1:7">
      <c r="A328" s="1">
        <v>325</v>
      </c>
      <c r="B328" s="9">
        <v>39436</v>
      </c>
      <c r="C328" s="37">
        <v>13245.64</v>
      </c>
      <c r="D328" s="38">
        <v>12572.53728</v>
      </c>
      <c r="E328" s="38">
        <v>7905.12048192771</v>
      </c>
      <c r="F328" s="38">
        <v>133.12904082897884</v>
      </c>
      <c r="G328" s="25">
        <f t="shared" si="5"/>
        <v>12370834.897563715</v>
      </c>
    </row>
    <row r="329" spans="1:7">
      <c r="A329" s="1">
        <v>326</v>
      </c>
      <c r="B329" s="9">
        <v>39437</v>
      </c>
      <c r="C329" s="37">
        <v>13450.65</v>
      </c>
      <c r="D329" s="38">
        <v>12765.89781</v>
      </c>
      <c r="E329" s="38">
        <v>8052.2707674619151</v>
      </c>
      <c r="F329" s="38">
        <v>133.92731741573033</v>
      </c>
      <c r="G329" s="25">
        <f t="shared" si="5"/>
        <v>12543544.054152533</v>
      </c>
    </row>
    <row r="330" spans="1:7">
      <c r="A330" s="1">
        <v>327</v>
      </c>
      <c r="B330" s="9">
        <v>39443</v>
      </c>
      <c r="C330" s="37">
        <v>13359.61</v>
      </c>
      <c r="D330" s="38">
        <v>12918.92596</v>
      </c>
      <c r="E330" s="38">
        <v>8198.5431235431224</v>
      </c>
      <c r="F330" s="38">
        <v>136.34101261387528</v>
      </c>
      <c r="G330" s="25">
        <f t="shared" si="5"/>
        <v>12624705.093235761</v>
      </c>
    </row>
    <row r="331" spans="1:7">
      <c r="A331" s="1">
        <v>328</v>
      </c>
      <c r="B331" s="9">
        <v>39444</v>
      </c>
      <c r="C331" s="37">
        <v>13365.87</v>
      </c>
      <c r="D331" s="38">
        <v>12907.814009999998</v>
      </c>
      <c r="E331" s="38">
        <v>8274.1508601676214</v>
      </c>
      <c r="F331" s="38">
        <v>135.3114116503138</v>
      </c>
      <c r="G331" s="25">
        <f t="shared" si="5"/>
        <v>12617446.639897838</v>
      </c>
    </row>
    <row r="332" spans="1:7">
      <c r="A332" s="1">
        <v>329</v>
      </c>
      <c r="B332" s="9">
        <v>39451</v>
      </c>
      <c r="C332" s="37">
        <v>12800.18</v>
      </c>
      <c r="D332" s="38">
        <v>12534.4784</v>
      </c>
      <c r="E332" s="38">
        <v>8047.857565011821</v>
      </c>
      <c r="F332" s="38">
        <v>135.74249283932366</v>
      </c>
      <c r="G332" s="25">
        <f t="shared" si="5"/>
        <v>12266629.477617212</v>
      </c>
    </row>
    <row r="333" spans="1:7">
      <c r="A333" s="1">
        <v>330</v>
      </c>
      <c r="B333" s="9">
        <v>39454</v>
      </c>
      <c r="C333" s="37">
        <v>12827.49</v>
      </c>
      <c r="D333" s="38">
        <v>12516.17535</v>
      </c>
      <c r="E333" s="38">
        <v>8025.9493670886077</v>
      </c>
      <c r="F333" s="38">
        <v>133.41199742386604</v>
      </c>
      <c r="G333" s="25">
        <f t="shared" si="5"/>
        <v>12225974.65299404</v>
      </c>
    </row>
    <row r="334" spans="1:7">
      <c r="A334" s="1">
        <v>331</v>
      </c>
      <c r="B334" s="9">
        <v>39455</v>
      </c>
      <c r="C334" s="37">
        <v>12589.07</v>
      </c>
      <c r="D334" s="38">
        <v>12544.552750000001</v>
      </c>
      <c r="E334" s="38">
        <v>8086.6244849911718</v>
      </c>
      <c r="F334" s="38">
        <v>132.42794640415642</v>
      </c>
      <c r="G334" s="25">
        <f t="shared" si="5"/>
        <v>12140659.41569544</v>
      </c>
    </row>
    <row r="335" spans="1:7">
      <c r="A335" s="1">
        <v>332</v>
      </c>
      <c r="B335" s="9">
        <v>39456</v>
      </c>
      <c r="C335" s="37">
        <v>12735.31</v>
      </c>
      <c r="D335" s="38">
        <v>12283.82841</v>
      </c>
      <c r="E335" s="38">
        <v>7973.3313774387561</v>
      </c>
      <c r="F335" s="38">
        <v>133.27697644695999</v>
      </c>
      <c r="G335" s="25">
        <f t="shared" si="5"/>
        <v>12109032.80409738</v>
      </c>
    </row>
    <row r="336" spans="1:7">
      <c r="A336" s="1">
        <v>333</v>
      </c>
      <c r="B336" s="9">
        <v>39457</v>
      </c>
      <c r="C336" s="37">
        <v>12853.09</v>
      </c>
      <c r="D336" s="38">
        <v>12180.93525</v>
      </c>
      <c r="E336" s="38">
        <v>7958.1933392278224</v>
      </c>
      <c r="F336" s="38">
        <v>131.42226890756302</v>
      </c>
      <c r="G336" s="25">
        <f t="shared" si="5"/>
        <v>12084301.82117644</v>
      </c>
    </row>
    <row r="337" spans="1:7">
      <c r="A337" s="1">
        <v>334</v>
      </c>
      <c r="B337" s="9">
        <v>39458</v>
      </c>
      <c r="C337" s="37">
        <v>12606.3</v>
      </c>
      <c r="D337" s="38">
        <v>12145.3766</v>
      </c>
      <c r="E337" s="38">
        <v>7945.872781065088</v>
      </c>
      <c r="F337" s="38">
        <v>129.43303980920933</v>
      </c>
      <c r="G337" s="25">
        <f t="shared" si="5"/>
        <v>11946377.255899031</v>
      </c>
    </row>
    <row r="338" spans="1:7">
      <c r="A338" s="1">
        <v>335</v>
      </c>
      <c r="B338" s="9">
        <v>39462</v>
      </c>
      <c r="C338" s="37">
        <v>12501.11</v>
      </c>
      <c r="D338" s="38">
        <v>11878.867840000001</v>
      </c>
      <c r="E338" s="38">
        <v>7799.7920380273317</v>
      </c>
      <c r="F338" s="38">
        <v>130.805373525557</v>
      </c>
      <c r="G338" s="25">
        <f t="shared" si="5"/>
        <v>11825685.517220998</v>
      </c>
    </row>
    <row r="339" spans="1:7">
      <c r="A339" s="1">
        <v>336</v>
      </c>
      <c r="B339" s="9">
        <v>39463</v>
      </c>
      <c r="C339" s="37">
        <v>12466.16</v>
      </c>
      <c r="D339" s="38">
        <v>11677.20421</v>
      </c>
      <c r="E339" s="38">
        <v>7673.1130690161526</v>
      </c>
      <c r="F339" s="38">
        <v>126.39938225383752</v>
      </c>
      <c r="G339" s="25">
        <f t="shared" si="5"/>
        <v>11651445.428513341</v>
      </c>
    </row>
    <row r="340" spans="1:7">
      <c r="A340" s="1">
        <v>337</v>
      </c>
      <c r="B340" s="9">
        <v>39464</v>
      </c>
      <c r="C340" s="37">
        <v>12159.21</v>
      </c>
      <c r="D340" s="38">
        <v>11668.45456</v>
      </c>
      <c r="E340" s="38">
        <v>7575.0440658049356</v>
      </c>
      <c r="F340" s="38">
        <v>128.66097265005135</v>
      </c>
      <c r="G340" s="25">
        <f t="shared" si="5"/>
        <v>11561591.037208712</v>
      </c>
    </row>
    <row r="341" spans="1:7">
      <c r="A341" s="1">
        <v>338</v>
      </c>
      <c r="B341" s="9">
        <v>39465</v>
      </c>
      <c r="C341" s="37">
        <v>12099.3</v>
      </c>
      <c r="D341" s="38">
        <v>11530.741459999999</v>
      </c>
      <c r="E341" s="38">
        <v>7448.2960362732192</v>
      </c>
      <c r="F341" s="38">
        <v>129.46007284953771</v>
      </c>
      <c r="G341" s="25">
        <f t="shared" si="5"/>
        <v>11490537.126438342</v>
      </c>
    </row>
    <row r="342" spans="1:7">
      <c r="A342" s="1">
        <v>339</v>
      </c>
      <c r="B342" s="9">
        <v>39469</v>
      </c>
      <c r="C342" s="37">
        <v>11971.19</v>
      </c>
      <c r="D342" s="38">
        <v>11255.188080000002</v>
      </c>
      <c r="E342" s="38">
        <v>7077.6673487284415</v>
      </c>
      <c r="F342" s="38">
        <v>117.70314547837484</v>
      </c>
      <c r="G342" s="25">
        <f t="shared" si="5"/>
        <v>11089743.276148815</v>
      </c>
    </row>
    <row r="343" spans="1:7">
      <c r="A343" s="1">
        <v>340</v>
      </c>
      <c r="B343" s="9">
        <v>39470</v>
      </c>
      <c r="C343" s="37">
        <v>12270.17</v>
      </c>
      <c r="D343" s="38">
        <v>10935.33035</v>
      </c>
      <c r="E343" s="38">
        <v>6749.286754002911</v>
      </c>
      <c r="F343" s="38">
        <v>121.33793625271917</v>
      </c>
      <c r="G343" s="25">
        <f t="shared" si="5"/>
        <v>11109761.8617581</v>
      </c>
    </row>
    <row r="344" spans="1:7">
      <c r="A344" s="1">
        <v>341</v>
      </c>
      <c r="B344" s="9">
        <v>39471</v>
      </c>
      <c r="C344" s="37">
        <v>12378.61</v>
      </c>
      <c r="D344" s="38">
        <v>11584.727280000001</v>
      </c>
      <c r="E344" s="38">
        <v>7230.4942630185351</v>
      </c>
      <c r="F344" s="38">
        <v>122.74097684447361</v>
      </c>
      <c r="G344" s="25">
        <f t="shared" si="5"/>
        <v>11454535.240612475</v>
      </c>
    </row>
    <row r="345" spans="1:7">
      <c r="A345" s="1">
        <v>342</v>
      </c>
      <c r="B345" s="9">
        <v>39472</v>
      </c>
      <c r="C345" s="37">
        <v>12207.17</v>
      </c>
      <c r="D345" s="38">
        <v>11639.400800000001</v>
      </c>
      <c r="E345" s="38">
        <v>7169.4885361552024</v>
      </c>
      <c r="F345" s="38">
        <v>127.01919850885368</v>
      </c>
      <c r="G345" s="25">
        <f t="shared" si="5"/>
        <v>11475404.96880053</v>
      </c>
    </row>
    <row r="346" spans="1:7">
      <c r="A346" s="1">
        <v>343</v>
      </c>
      <c r="B346" s="9">
        <v>39475</v>
      </c>
      <c r="C346" s="37">
        <v>12383.89</v>
      </c>
      <c r="D346" s="38">
        <v>11504.85986</v>
      </c>
      <c r="E346" s="38">
        <v>7173.1025299600542</v>
      </c>
      <c r="F346" s="38">
        <v>122.55744919936323</v>
      </c>
      <c r="G346" s="25">
        <f t="shared" si="5"/>
        <v>11418983.026836682</v>
      </c>
    </row>
    <row r="347" spans="1:7">
      <c r="A347" s="1">
        <v>344</v>
      </c>
      <c r="B347" s="9">
        <v>39476</v>
      </c>
      <c r="C347" s="37">
        <v>12480.3</v>
      </c>
      <c r="D347" s="38">
        <v>11696.24648</v>
      </c>
      <c r="E347" s="38">
        <v>7296.8842291789715</v>
      </c>
      <c r="F347" s="38">
        <v>126.06490834268612</v>
      </c>
      <c r="G347" s="25">
        <f t="shared" si="5"/>
        <v>11595920.307526406</v>
      </c>
    </row>
    <row r="348" spans="1:7">
      <c r="A348" s="1">
        <v>345</v>
      </c>
      <c r="B348" s="9">
        <v>39477</v>
      </c>
      <c r="C348" s="37">
        <v>12442.83</v>
      </c>
      <c r="D348" s="38">
        <v>11607.47105</v>
      </c>
      <c r="E348" s="38">
        <v>7206.2250480555958</v>
      </c>
      <c r="F348" s="38">
        <v>124.3132743362832</v>
      </c>
      <c r="G348" s="25">
        <f t="shared" si="5"/>
        <v>11508906.742082849</v>
      </c>
    </row>
    <row r="349" spans="1:7">
      <c r="A349" s="1">
        <v>346</v>
      </c>
      <c r="B349" s="9">
        <v>39478</v>
      </c>
      <c r="C349" s="37">
        <v>12650.36</v>
      </c>
      <c r="D349" s="38">
        <v>11690.218360000001</v>
      </c>
      <c r="E349" s="38">
        <v>7210.2309742374891</v>
      </c>
      <c r="F349" s="38">
        <v>127.8449021820918</v>
      </c>
      <c r="G349" s="25">
        <f t="shared" si="5"/>
        <v>11673331.27910147</v>
      </c>
    </row>
    <row r="350" spans="1:7">
      <c r="A350" s="1">
        <v>347</v>
      </c>
      <c r="B350" s="9">
        <v>39479</v>
      </c>
      <c r="C350" s="37">
        <v>12743.19</v>
      </c>
      <c r="D350" s="38">
        <v>11869.083119999999</v>
      </c>
      <c r="E350" s="38">
        <v>7379.2766083605111</v>
      </c>
      <c r="F350" s="38">
        <v>127.03209411764706</v>
      </c>
      <c r="G350" s="25">
        <f t="shared" si="5"/>
        <v>11775770.92865137</v>
      </c>
    </row>
    <row r="351" spans="1:7">
      <c r="A351" s="1">
        <v>348</v>
      </c>
      <c r="B351" s="9">
        <v>39482</v>
      </c>
      <c r="C351" s="37">
        <v>12635.16</v>
      </c>
      <c r="D351" s="38">
        <v>11905.96334</v>
      </c>
      <c r="E351" s="38">
        <v>7369.447325529708</v>
      </c>
      <c r="F351" s="38">
        <v>129.79677842292566</v>
      </c>
      <c r="G351" s="25">
        <f t="shared" si="5"/>
        <v>11795515.454517446</v>
      </c>
    </row>
    <row r="352" spans="1:7">
      <c r="A352" s="1">
        <v>349</v>
      </c>
      <c r="B352" s="9">
        <v>39483</v>
      </c>
      <c r="C352" s="37">
        <v>12265.13</v>
      </c>
      <c r="D352" s="38">
        <v>11528.272799999999</v>
      </c>
      <c r="E352" s="38">
        <v>6994.9626592473278</v>
      </c>
      <c r="F352" s="38">
        <v>128.55873550317995</v>
      </c>
      <c r="G352" s="25">
        <f t="shared" si="5"/>
        <v>11460855.148361605</v>
      </c>
    </row>
    <row r="353" spans="1:7">
      <c r="A353" s="1">
        <v>350</v>
      </c>
      <c r="B353" s="9">
        <v>39484</v>
      </c>
      <c r="C353" s="37">
        <v>12200.1</v>
      </c>
      <c r="D353" s="38">
        <v>11516.959079999999</v>
      </c>
      <c r="E353" s="38">
        <v>7060.1436528877166</v>
      </c>
      <c r="F353" s="38">
        <v>122.72100430953719</v>
      </c>
      <c r="G353" s="25">
        <f t="shared" si="5"/>
        <v>11340746.442399953</v>
      </c>
    </row>
    <row r="354" spans="1:7">
      <c r="A354" s="1">
        <v>351</v>
      </c>
      <c r="B354" s="9">
        <v>39485</v>
      </c>
      <c r="C354" s="37">
        <v>12247</v>
      </c>
      <c r="D354" s="38">
        <v>11113.912560000001</v>
      </c>
      <c r="E354" s="38">
        <v>6851.0514865844816</v>
      </c>
      <c r="F354" s="38">
        <v>123.8712249108985</v>
      </c>
      <c r="G354" s="25">
        <f t="shared" si="5"/>
        <v>11218481.078838604</v>
      </c>
    </row>
    <row r="355" spans="1:7">
      <c r="A355" s="1">
        <v>352</v>
      </c>
      <c r="B355" s="9">
        <v>39486</v>
      </c>
      <c r="C355" s="37">
        <v>12182.13</v>
      </c>
      <c r="D355" s="38">
        <v>11257.9776</v>
      </c>
      <c r="E355" s="38">
        <v>6827.5587126703394</v>
      </c>
      <c r="F355" s="38">
        <v>121.14695207073056</v>
      </c>
      <c r="G355" s="25">
        <f t="shared" si="5"/>
        <v>11187877.846824247</v>
      </c>
    </row>
    <row r="356" spans="1:7">
      <c r="A356" s="1">
        <v>353</v>
      </c>
      <c r="B356" s="9">
        <v>39490</v>
      </c>
      <c r="C356" s="37">
        <v>12373.41</v>
      </c>
      <c r="D356" s="38">
        <v>11585.964</v>
      </c>
      <c r="E356" s="38">
        <v>7063.6363636363631</v>
      </c>
      <c r="F356" s="38">
        <v>121.21344131062085</v>
      </c>
      <c r="G356" s="25">
        <f t="shared" si="5"/>
        <v>11399045.096572602</v>
      </c>
    </row>
    <row r="357" spans="1:7">
      <c r="A357" s="1">
        <v>354</v>
      </c>
      <c r="B357" s="9">
        <v>39491</v>
      </c>
      <c r="C357" s="37">
        <v>12552.24</v>
      </c>
      <c r="D357" s="38">
        <v>11540.87227</v>
      </c>
      <c r="E357" s="38">
        <v>7071.6574424701421</v>
      </c>
      <c r="F357" s="38">
        <v>120.73447893569845</v>
      </c>
      <c r="G357" s="25">
        <f t="shared" si="5"/>
        <v>11442655.784901926</v>
      </c>
    </row>
    <row r="358" spans="1:7">
      <c r="A358" s="1">
        <v>355</v>
      </c>
      <c r="B358" s="9">
        <v>39492</v>
      </c>
      <c r="C358" s="37">
        <v>12376.98</v>
      </c>
      <c r="D358" s="38">
        <v>11592.803740000001</v>
      </c>
      <c r="E358" s="38">
        <v>7104.3281181459279</v>
      </c>
      <c r="F358" s="38">
        <v>125.97254321900712</v>
      </c>
      <c r="G358" s="25">
        <f t="shared" si="5"/>
        <v>11493405.58422281</v>
      </c>
    </row>
    <row r="359" spans="1:7">
      <c r="A359" s="1">
        <v>356</v>
      </c>
      <c r="B359" s="9">
        <v>39493</v>
      </c>
      <c r="C359" s="37">
        <v>12348.21</v>
      </c>
      <c r="D359" s="38">
        <v>11359.901280000002</v>
      </c>
      <c r="E359" s="38">
        <v>7010.1219333039517</v>
      </c>
      <c r="F359" s="38">
        <v>126.58018955584463</v>
      </c>
      <c r="G359" s="25">
        <f t="shared" si="5"/>
        <v>11405760.099265592</v>
      </c>
    </row>
    <row r="360" spans="1:7">
      <c r="A360" s="1">
        <v>357</v>
      </c>
      <c r="B360" s="9">
        <v>39497</v>
      </c>
      <c r="C360" s="37">
        <v>12337.22</v>
      </c>
      <c r="D360" s="38">
        <v>11643.21197</v>
      </c>
      <c r="E360" s="38">
        <v>7204.1138307283982</v>
      </c>
      <c r="F360" s="38">
        <v>127.9329551794681</v>
      </c>
      <c r="G360" s="25">
        <f t="shared" si="5"/>
        <v>11545574.782329028</v>
      </c>
    </row>
    <row r="361" spans="1:7">
      <c r="A361" s="1">
        <v>358</v>
      </c>
      <c r="B361" s="9">
        <v>39498</v>
      </c>
      <c r="C361" s="37">
        <v>12427.26</v>
      </c>
      <c r="D361" s="38">
        <v>11437.120160000002</v>
      </c>
      <c r="E361" s="38">
        <v>7049.6704262487192</v>
      </c>
      <c r="F361" s="38">
        <v>123.20994168286587</v>
      </c>
      <c r="G361" s="25">
        <f t="shared" si="5"/>
        <v>11405213.10642801</v>
      </c>
    </row>
    <row r="362" spans="1:7">
      <c r="A362" s="1">
        <v>359</v>
      </c>
      <c r="B362" s="9">
        <v>39499</v>
      </c>
      <c r="C362" s="37">
        <v>12284.3</v>
      </c>
      <c r="D362" s="38">
        <v>11627.111999999999</v>
      </c>
      <c r="E362" s="38">
        <v>7186.5848247300701</v>
      </c>
      <c r="F362" s="38">
        <v>127.32099339596317</v>
      </c>
      <c r="G362" s="25">
        <f t="shared" si="5"/>
        <v>11507663.029752141</v>
      </c>
    </row>
    <row r="363" spans="1:7">
      <c r="A363" s="1">
        <v>360</v>
      </c>
      <c r="B363" s="9">
        <v>39500</v>
      </c>
      <c r="C363" s="37">
        <v>12381.02</v>
      </c>
      <c r="D363" s="38">
        <v>11581.5018</v>
      </c>
      <c r="E363" s="38">
        <v>7147.4814814814808</v>
      </c>
      <c r="F363" s="38">
        <v>126.21970830216904</v>
      </c>
      <c r="G363" s="25">
        <f t="shared" si="5"/>
        <v>11502681.116917672</v>
      </c>
    </row>
    <row r="364" spans="1:7">
      <c r="A364" s="1">
        <v>361</v>
      </c>
      <c r="B364" s="9">
        <v>39503</v>
      </c>
      <c r="C364" s="37">
        <v>12570.22</v>
      </c>
      <c r="D364" s="38">
        <v>11806.41605</v>
      </c>
      <c r="E364" s="38">
        <v>7295.3581491917548</v>
      </c>
      <c r="F364" s="38">
        <v>128.73133499861225</v>
      </c>
      <c r="G364" s="25">
        <f t="shared" si="5"/>
        <v>11710003.073879052</v>
      </c>
    </row>
    <row r="365" spans="1:7">
      <c r="A365" s="1">
        <v>362</v>
      </c>
      <c r="B365" s="9">
        <v>39504</v>
      </c>
      <c r="C365" s="37">
        <v>12684.92</v>
      </c>
      <c r="D365" s="38">
        <v>12005.570279999998</v>
      </c>
      <c r="E365" s="38">
        <v>7400.4017857142844</v>
      </c>
      <c r="F365" s="38">
        <v>128.42285183464932</v>
      </c>
      <c r="G365" s="25">
        <f t="shared" si="5"/>
        <v>11825337.994540198</v>
      </c>
    </row>
    <row r="366" spans="1:7">
      <c r="A366" s="1">
        <v>363</v>
      </c>
      <c r="B366" s="9">
        <v>39505</v>
      </c>
      <c r="C366" s="37">
        <v>12694.28</v>
      </c>
      <c r="D366" s="38">
        <v>12083.12025</v>
      </c>
      <c r="E366" s="38">
        <v>7501.2379227053134</v>
      </c>
      <c r="F366" s="38">
        <v>131.72455876830642</v>
      </c>
      <c r="G366" s="25">
        <f t="shared" si="5"/>
        <v>11927761.720545068</v>
      </c>
    </row>
    <row r="367" spans="1:7">
      <c r="A367" s="1">
        <v>364</v>
      </c>
      <c r="B367" s="9">
        <v>39506</v>
      </c>
      <c r="C367" s="37">
        <v>12582.18</v>
      </c>
      <c r="D367" s="38">
        <v>11869.35672</v>
      </c>
      <c r="E367" s="38">
        <v>7384.9878567091673</v>
      </c>
      <c r="F367" s="38">
        <v>131.65840975701997</v>
      </c>
      <c r="G367" s="25">
        <f t="shared" si="5"/>
        <v>11800356.422281155</v>
      </c>
    </row>
    <row r="368" spans="1:7">
      <c r="A368" s="1">
        <v>365</v>
      </c>
      <c r="B368" s="9">
        <v>39507</v>
      </c>
      <c r="C368" s="37">
        <v>12266.39</v>
      </c>
      <c r="D368" s="38">
        <v>11705.049560000001</v>
      </c>
      <c r="E368" s="38">
        <v>7271.7972070431078</v>
      </c>
      <c r="F368" s="38">
        <v>130.67262247838619</v>
      </c>
      <c r="G368" s="25">
        <f t="shared" si="5"/>
        <v>11598676.533770034</v>
      </c>
    </row>
    <row r="369" spans="1:7">
      <c r="A369" s="1">
        <v>366</v>
      </c>
      <c r="B369" s="9">
        <v>39510</v>
      </c>
      <c r="C369" s="37">
        <v>12258.9</v>
      </c>
      <c r="D369" s="38">
        <v>11535.3745</v>
      </c>
      <c r="E369" s="38">
        <v>7208.7855297157612</v>
      </c>
      <c r="F369" s="38">
        <v>125.66186284940517</v>
      </c>
      <c r="G369" s="25">
        <f t="shared" si="5"/>
        <v>11443945.969396407</v>
      </c>
    </row>
    <row r="370" spans="1:7">
      <c r="A370" s="1">
        <v>367</v>
      </c>
      <c r="B370" s="9">
        <v>39511</v>
      </c>
      <c r="C370" s="37">
        <v>12213.8</v>
      </c>
      <c r="D370" s="38">
        <v>11455.22897</v>
      </c>
      <c r="E370" s="38">
        <v>7123.5679463741617</v>
      </c>
      <c r="F370" s="38">
        <v>126.3963420566203</v>
      </c>
      <c r="G370" s="25">
        <f t="shared" si="5"/>
        <v>11401809.284065917</v>
      </c>
    </row>
    <row r="371" spans="1:7">
      <c r="A371" s="1">
        <v>368</v>
      </c>
      <c r="B371" s="9">
        <v>39512</v>
      </c>
      <c r="C371" s="37">
        <v>12254.99</v>
      </c>
      <c r="D371" s="38">
        <v>11646.70895</v>
      </c>
      <c r="E371" s="38">
        <v>7262.8187509543441</v>
      </c>
      <c r="F371" s="38">
        <v>124.7793382070027</v>
      </c>
      <c r="G371" s="25">
        <f t="shared" si="5"/>
        <v>11470389.327554282</v>
      </c>
    </row>
    <row r="372" spans="1:7">
      <c r="A372" s="1">
        <v>369</v>
      </c>
      <c r="B372" s="9">
        <v>39513</v>
      </c>
      <c r="C372" s="37">
        <v>12040.39</v>
      </c>
      <c r="D372" s="38">
        <v>11587.004159999999</v>
      </c>
      <c r="E372" s="38">
        <v>7184.8410382429738</v>
      </c>
      <c r="F372" s="38">
        <v>128.19303521195073</v>
      </c>
      <c r="G372" s="25">
        <f t="shared" si="5"/>
        <v>11421789.633504953</v>
      </c>
    </row>
    <row r="373" spans="1:7">
      <c r="A373" s="1">
        <v>370</v>
      </c>
      <c r="B373" s="9">
        <v>39514</v>
      </c>
      <c r="C373" s="37">
        <v>11893.69</v>
      </c>
      <c r="D373" s="38">
        <v>11480.168589999999</v>
      </c>
      <c r="E373" s="38">
        <v>7092.997542997543</v>
      </c>
      <c r="F373" s="38">
        <v>124.12895707904447</v>
      </c>
      <c r="G373" s="25">
        <f t="shared" si="5"/>
        <v>11248307.961829824</v>
      </c>
    </row>
    <row r="374" spans="1:7">
      <c r="A374" s="1">
        <v>371</v>
      </c>
      <c r="B374" s="9">
        <v>39517</v>
      </c>
      <c r="C374" s="37">
        <v>11740.15</v>
      </c>
      <c r="D374" s="38">
        <v>11351.64306</v>
      </c>
      <c r="E374" s="38">
        <v>7019.6587765139875</v>
      </c>
      <c r="F374" s="38">
        <v>123.08122176389708</v>
      </c>
      <c r="G374" s="25">
        <f t="shared" si="5"/>
        <v>11122021.024439838</v>
      </c>
    </row>
    <row r="375" spans="1:7">
      <c r="A375" s="1">
        <v>372</v>
      </c>
      <c r="B375" s="9">
        <v>39518</v>
      </c>
      <c r="C375" s="37">
        <v>12156.81</v>
      </c>
      <c r="D375" s="38">
        <v>11401.854479999998</v>
      </c>
      <c r="E375" s="38">
        <v>7093.3323114653585</v>
      </c>
      <c r="F375" s="38">
        <v>123.03926905132194</v>
      </c>
      <c r="G375" s="25">
        <f t="shared" si="5"/>
        <v>11300060.115365401</v>
      </c>
    </row>
    <row r="376" spans="1:7">
      <c r="A376" s="1">
        <v>373</v>
      </c>
      <c r="B376" s="9">
        <v>39519</v>
      </c>
      <c r="C376" s="37">
        <v>12110.24</v>
      </c>
      <c r="D376" s="38">
        <v>11674.104399999998</v>
      </c>
      <c r="E376" s="38">
        <v>7277.8122094824921</v>
      </c>
      <c r="F376" s="38">
        <v>125.59697265624999</v>
      </c>
      <c r="G376" s="25">
        <f t="shared" si="5"/>
        <v>11443331.848906914</v>
      </c>
    </row>
    <row r="377" spans="1:7">
      <c r="A377" s="1">
        <v>374</v>
      </c>
      <c r="B377" s="9">
        <v>39520</v>
      </c>
      <c r="C377" s="37">
        <v>12145.74</v>
      </c>
      <c r="D377" s="38">
        <v>11561.2644</v>
      </c>
      <c r="E377" s="38">
        <v>7215.5056880162056</v>
      </c>
      <c r="F377" s="38">
        <v>123.60512973456606</v>
      </c>
      <c r="G377" s="25">
        <f t="shared" si="5"/>
        <v>11375593.993094049</v>
      </c>
    </row>
    <row r="378" spans="1:7">
      <c r="A378" s="1">
        <v>375</v>
      </c>
      <c r="B378" s="9">
        <v>39521</v>
      </c>
      <c r="C378" s="37">
        <v>11951.09</v>
      </c>
      <c r="D378" s="38">
        <v>11427.28247</v>
      </c>
      <c r="E378" s="38">
        <v>7165.1583710407231</v>
      </c>
      <c r="F378" s="38">
        <v>122.1594651232412</v>
      </c>
      <c r="G378" s="25">
        <f t="shared" si="5"/>
        <v>11229336.702221027</v>
      </c>
    </row>
    <row r="379" spans="1:7">
      <c r="A379" s="1">
        <v>376</v>
      </c>
      <c r="B379" s="9">
        <v>39524</v>
      </c>
      <c r="C379" s="37">
        <v>11972.25</v>
      </c>
      <c r="D379" s="38">
        <v>10833.131519999999</v>
      </c>
      <c r="E379" s="38">
        <v>6984.6153846153848</v>
      </c>
      <c r="F379" s="38">
        <v>121.63357754617687</v>
      </c>
      <c r="G379" s="25">
        <f t="shared" si="5"/>
        <v>11012901.314459549</v>
      </c>
    </row>
    <row r="380" spans="1:7">
      <c r="A380" s="1">
        <v>377</v>
      </c>
      <c r="B380" s="9">
        <v>39525</v>
      </c>
      <c r="C380" s="37">
        <v>12392.66</v>
      </c>
      <c r="D380" s="38">
        <v>11331.564119999999</v>
      </c>
      <c r="E380" s="38">
        <v>7232.623106060606</v>
      </c>
      <c r="F380" s="38">
        <v>121.78501628664496</v>
      </c>
      <c r="G380" s="25">
        <f t="shared" si="5"/>
        <v>11363916.788901679</v>
      </c>
    </row>
    <row r="381" spans="1:7">
      <c r="A381" s="1">
        <v>378</v>
      </c>
      <c r="B381" s="9">
        <v>39526</v>
      </c>
      <c r="C381" s="37">
        <v>12099.66</v>
      </c>
      <c r="D381" s="38">
        <v>11012.45248</v>
      </c>
      <c r="E381" s="38">
        <v>7126.4664476771468</v>
      </c>
      <c r="F381" s="38">
        <v>123.40654252642176</v>
      </c>
      <c r="G381" s="25">
        <f t="shared" si="5"/>
        <v>11169485.016338971</v>
      </c>
    </row>
    <row r="382" spans="1:7">
      <c r="A382" s="1">
        <v>379</v>
      </c>
      <c r="B382" s="9">
        <v>39532</v>
      </c>
      <c r="C382" s="37">
        <v>12532.6</v>
      </c>
      <c r="D382" s="38">
        <v>11376.493270000001</v>
      </c>
      <c r="E382" s="38">
        <v>7317.5296319401123</v>
      </c>
      <c r="F382" s="38">
        <v>127.35031974420463</v>
      </c>
      <c r="G382" s="25">
        <f t="shared" si="5"/>
        <v>11541092.694787895</v>
      </c>
    </row>
    <row r="383" spans="1:7">
      <c r="A383" s="1">
        <v>380</v>
      </c>
      <c r="B383" s="9">
        <v>39533</v>
      </c>
      <c r="C383" s="37">
        <v>12422.86</v>
      </c>
      <c r="D383" s="38">
        <v>11331.554759999999</v>
      </c>
      <c r="E383" s="38">
        <v>7370.6540583136339</v>
      </c>
      <c r="F383" s="38">
        <v>128.18147886613536</v>
      </c>
      <c r="G383" s="25">
        <f t="shared" si="5"/>
        <v>11510525.558729906</v>
      </c>
    </row>
    <row r="384" spans="1:7">
      <c r="A384" s="1">
        <v>381</v>
      </c>
      <c r="B384" s="9">
        <v>39534</v>
      </c>
      <c r="C384" s="37">
        <v>12302.46</v>
      </c>
      <c r="D384" s="38">
        <v>11489.887999999999</v>
      </c>
      <c r="E384" s="38">
        <v>7455.8135860979455</v>
      </c>
      <c r="F384" s="38">
        <v>126.19723668402084</v>
      </c>
      <c r="G384" s="25">
        <f t="shared" si="5"/>
        <v>11494870.857469879</v>
      </c>
    </row>
    <row r="385" spans="1:7">
      <c r="A385" s="1">
        <v>382</v>
      </c>
      <c r="B385" s="9">
        <v>39535</v>
      </c>
      <c r="C385" s="37">
        <v>12216.4</v>
      </c>
      <c r="D385" s="38">
        <v>11322.608809999998</v>
      </c>
      <c r="E385" s="38">
        <v>7399.8109045067758</v>
      </c>
      <c r="F385" s="38">
        <v>128.56468110709989</v>
      </c>
      <c r="G385" s="25">
        <f t="shared" si="5"/>
        <v>11444299.267623939</v>
      </c>
    </row>
    <row r="386" spans="1:7">
      <c r="A386" s="1">
        <v>383</v>
      </c>
      <c r="B386" s="9">
        <v>39538</v>
      </c>
      <c r="C386" s="37">
        <v>12262.89</v>
      </c>
      <c r="D386" s="38">
        <v>11332.923750000002</v>
      </c>
      <c r="E386" s="38">
        <v>7458.5168752971003</v>
      </c>
      <c r="F386" s="38">
        <v>125.85952572347269</v>
      </c>
      <c r="G386" s="25">
        <f t="shared" si="5"/>
        <v>11425908.095728002</v>
      </c>
    </row>
    <row r="387" spans="1:7">
      <c r="A387" s="1">
        <v>384</v>
      </c>
      <c r="B387" s="9">
        <v>39539</v>
      </c>
      <c r="C387" s="37">
        <v>12654.36</v>
      </c>
      <c r="D387" s="38">
        <v>11561.811300000001</v>
      </c>
      <c r="E387" s="38">
        <v>7588.8958203368684</v>
      </c>
      <c r="F387" s="38">
        <v>124.25309247987434</v>
      </c>
      <c r="G387" s="25">
        <f t="shared" ref="G387:G450" si="6">C387/$C$503*H$2+D387/$D$503*I$2+E387/$E$503*J$2+F387/$F$503*K$2</f>
        <v>11632054.273074824</v>
      </c>
    </row>
    <row r="388" spans="1:7">
      <c r="A388" s="1">
        <v>385</v>
      </c>
      <c r="B388" s="9">
        <v>39540</v>
      </c>
      <c r="C388" s="37">
        <v>12608.92</v>
      </c>
      <c r="D388" s="38">
        <v>11721.17267</v>
      </c>
      <c r="E388" s="38">
        <v>7667.7645956915403</v>
      </c>
      <c r="F388" s="38">
        <v>128.43860161651574</v>
      </c>
      <c r="G388" s="25">
        <f t="shared" si="6"/>
        <v>11752281.225684684</v>
      </c>
    </row>
    <row r="389" spans="1:7">
      <c r="A389" s="1">
        <v>386</v>
      </c>
      <c r="B389" s="9">
        <v>39541</v>
      </c>
      <c r="C389" s="37">
        <v>12626.03</v>
      </c>
      <c r="D389" s="38">
        <v>11754.321760000001</v>
      </c>
      <c r="E389" s="38">
        <v>7642.0731707317082</v>
      </c>
      <c r="F389" s="38">
        <v>130.92695805221473</v>
      </c>
      <c r="G389" s="25">
        <f t="shared" si="6"/>
        <v>11808817.422835914</v>
      </c>
    </row>
    <row r="390" spans="1:7">
      <c r="A390" s="1">
        <v>387</v>
      </c>
      <c r="B390" s="9">
        <v>39542</v>
      </c>
      <c r="C390" s="37">
        <v>12609.42</v>
      </c>
      <c r="D390" s="38">
        <v>11860.301530000001</v>
      </c>
      <c r="E390" s="38">
        <v>7715.4911838790931</v>
      </c>
      <c r="F390" s="38">
        <v>130.87742443634932</v>
      </c>
      <c r="G390" s="25">
        <f t="shared" si="6"/>
        <v>11846871.31536863</v>
      </c>
    </row>
    <row r="391" spans="1:7">
      <c r="A391" s="1">
        <v>388</v>
      </c>
      <c r="B391" s="9">
        <v>39545</v>
      </c>
      <c r="C391" s="37">
        <v>12612.43</v>
      </c>
      <c r="D391" s="38">
        <v>11967.04608</v>
      </c>
      <c r="E391" s="38">
        <v>7768.4210526315801</v>
      </c>
      <c r="F391" s="38">
        <v>131.18336096752171</v>
      </c>
      <c r="G391" s="25">
        <f t="shared" si="6"/>
        <v>11895281.568415707</v>
      </c>
    </row>
    <row r="392" spans="1:7">
      <c r="A392" s="1">
        <v>389</v>
      </c>
      <c r="B392" s="9">
        <v>39546</v>
      </c>
      <c r="C392" s="37">
        <v>12576.44</v>
      </c>
      <c r="D392" s="38">
        <v>11789.911639999998</v>
      </c>
      <c r="E392" s="38">
        <v>7717.0750863964804</v>
      </c>
      <c r="F392" s="38">
        <v>129.1716708910119</v>
      </c>
      <c r="G392" s="25">
        <f t="shared" si="6"/>
        <v>11782923.041653877</v>
      </c>
    </row>
    <row r="393" spans="1:7">
      <c r="A393" s="1">
        <v>390</v>
      </c>
      <c r="B393" s="9">
        <v>39547</v>
      </c>
      <c r="C393" s="37">
        <v>12527.26</v>
      </c>
      <c r="D393" s="38">
        <v>11812.816989999999</v>
      </c>
      <c r="E393" s="38">
        <v>7691.6535184600825</v>
      </c>
      <c r="F393" s="38">
        <v>128.18349789813274</v>
      </c>
      <c r="G393" s="25">
        <f t="shared" si="6"/>
        <v>11750615.842363188</v>
      </c>
    </row>
    <row r="394" spans="1:7">
      <c r="A394" s="1">
        <v>391</v>
      </c>
      <c r="B394" s="9">
        <v>39548</v>
      </c>
      <c r="C394" s="37">
        <v>12581.98</v>
      </c>
      <c r="D394" s="38">
        <v>11803.14337</v>
      </c>
      <c r="E394" s="38">
        <v>7673.1722722248542</v>
      </c>
      <c r="F394" s="38">
        <v>128.18397861174373</v>
      </c>
      <c r="G394" s="25">
        <f t="shared" si="6"/>
        <v>11764479.026768964</v>
      </c>
    </row>
    <row r="395" spans="1:7">
      <c r="A395" s="1">
        <v>392</v>
      </c>
      <c r="B395" s="9">
        <v>39549</v>
      </c>
      <c r="C395" s="37">
        <v>12325.42</v>
      </c>
      <c r="D395" s="38">
        <v>11622.97825</v>
      </c>
      <c r="E395" s="38">
        <v>7590.4603701945898</v>
      </c>
      <c r="F395" s="38">
        <v>131.78763600395649</v>
      </c>
      <c r="G395" s="25">
        <f t="shared" si="6"/>
        <v>11665611.339199813</v>
      </c>
    </row>
    <row r="396" spans="1:7">
      <c r="A396" s="1">
        <v>393</v>
      </c>
      <c r="B396" s="9">
        <v>39552</v>
      </c>
      <c r="C396" s="37">
        <v>12302.06</v>
      </c>
      <c r="D396" s="38">
        <v>11568.728080000001</v>
      </c>
      <c r="E396" s="38">
        <v>7550.2772057658804</v>
      </c>
      <c r="F396" s="38">
        <v>128.251687847498</v>
      </c>
      <c r="G396" s="25">
        <f t="shared" si="6"/>
        <v>11571017.871534359</v>
      </c>
    </row>
    <row r="397" spans="1:7">
      <c r="A397" s="1">
        <v>394</v>
      </c>
      <c r="B397" s="9">
        <v>39553</v>
      </c>
      <c r="C397" s="37">
        <v>12362.47</v>
      </c>
      <c r="D397" s="38">
        <v>11591.700559999999</v>
      </c>
      <c r="E397" s="38">
        <v>7554.8040455120099</v>
      </c>
      <c r="F397" s="38">
        <v>128.17543167242229</v>
      </c>
      <c r="G397" s="25">
        <f t="shared" si="6"/>
        <v>11599498.448090803</v>
      </c>
    </row>
    <row r="398" spans="1:7">
      <c r="A398" s="1">
        <v>395</v>
      </c>
      <c r="B398" s="9">
        <v>39554</v>
      </c>
      <c r="C398" s="37">
        <v>12619.27</v>
      </c>
      <c r="D398" s="38">
        <v>11946.08196</v>
      </c>
      <c r="E398" s="38">
        <v>7743.3811802232858</v>
      </c>
      <c r="F398" s="38">
        <v>129.76142532820057</v>
      </c>
      <c r="G398" s="25">
        <f t="shared" si="6"/>
        <v>11861967.39324384</v>
      </c>
    </row>
    <row r="399" spans="1:7">
      <c r="A399" s="1">
        <v>396</v>
      </c>
      <c r="B399" s="9">
        <v>39555</v>
      </c>
      <c r="C399" s="37">
        <v>12620.49</v>
      </c>
      <c r="D399" s="38">
        <v>11874.084199999999</v>
      </c>
      <c r="E399" s="38">
        <v>7732.4109414758268</v>
      </c>
      <c r="F399" s="38">
        <v>130.88111751489694</v>
      </c>
      <c r="G399" s="25">
        <f t="shared" si="6"/>
        <v>11857990.129280435</v>
      </c>
    </row>
    <row r="400" spans="1:7">
      <c r="A400" s="1">
        <v>397</v>
      </c>
      <c r="B400" s="9">
        <v>39556</v>
      </c>
      <c r="C400" s="37">
        <v>12849.36</v>
      </c>
      <c r="D400" s="38">
        <v>12096.041800000001</v>
      </c>
      <c r="E400" s="38">
        <v>7806.3089993706717</v>
      </c>
      <c r="F400" s="38">
        <v>129.01062607696727</v>
      </c>
      <c r="G400" s="25">
        <f t="shared" si="6"/>
        <v>11989171.537799407</v>
      </c>
    </row>
    <row r="401" spans="1:7">
      <c r="A401" s="1">
        <v>398</v>
      </c>
      <c r="B401" s="9">
        <v>39559</v>
      </c>
      <c r="C401" s="37">
        <v>12825.02</v>
      </c>
      <c r="D401" s="38">
        <v>11989.7824</v>
      </c>
      <c r="E401" s="38">
        <v>7816.5393186883166</v>
      </c>
      <c r="F401" s="38">
        <v>132.80859109861339</v>
      </c>
      <c r="G401" s="25">
        <f t="shared" si="6"/>
        <v>12016108.478152599</v>
      </c>
    </row>
    <row r="402" spans="1:7">
      <c r="A402" s="1">
        <v>399</v>
      </c>
      <c r="B402" s="9">
        <v>39560</v>
      </c>
      <c r="C402" s="37">
        <v>12720.23</v>
      </c>
      <c r="D402" s="38">
        <v>12036.209149999999</v>
      </c>
      <c r="E402" s="38">
        <v>7783.7699680511187</v>
      </c>
      <c r="F402" s="38">
        <v>131.29004748522144</v>
      </c>
      <c r="G402" s="25">
        <f t="shared" si="6"/>
        <v>11960383.507495012</v>
      </c>
    </row>
    <row r="403" spans="1:7">
      <c r="A403" s="1">
        <v>400</v>
      </c>
      <c r="B403" s="9">
        <v>39561</v>
      </c>
      <c r="C403" s="37">
        <v>12763.22</v>
      </c>
      <c r="D403" s="38">
        <v>12047.353080000001</v>
      </c>
      <c r="E403" s="38">
        <v>7851.1432200698628</v>
      </c>
      <c r="F403" s="38">
        <v>131.04767419417101</v>
      </c>
      <c r="G403" s="25">
        <f t="shared" si="6"/>
        <v>11986036.864954175</v>
      </c>
    </row>
    <row r="404" spans="1:7">
      <c r="A404" s="1">
        <v>401</v>
      </c>
      <c r="B404" s="9">
        <v>39562</v>
      </c>
      <c r="C404" s="37">
        <v>12848.95</v>
      </c>
      <c r="D404" s="38">
        <v>11936.820960000001</v>
      </c>
      <c r="E404" s="38">
        <v>7739.9120741089655</v>
      </c>
      <c r="F404" s="38">
        <v>130.17563930013461</v>
      </c>
      <c r="G404" s="25">
        <f t="shared" si="6"/>
        <v>11949209.421734145</v>
      </c>
    </row>
    <row r="405" spans="1:7">
      <c r="A405" s="1">
        <v>402</v>
      </c>
      <c r="B405" s="9">
        <v>39563</v>
      </c>
      <c r="C405" s="37">
        <v>12891.86</v>
      </c>
      <c r="D405" s="38">
        <v>12113.358039999999</v>
      </c>
      <c r="E405" s="38">
        <v>7795.5057939242097</v>
      </c>
      <c r="F405" s="38">
        <v>133.13617593392874</v>
      </c>
      <c r="G405" s="25">
        <f t="shared" si="6"/>
        <v>12081397.898685146</v>
      </c>
    </row>
    <row r="406" spans="1:7">
      <c r="A406" s="1">
        <v>403</v>
      </c>
      <c r="B406" s="9">
        <v>39566</v>
      </c>
      <c r="C406" s="37">
        <v>12871.75</v>
      </c>
      <c r="D406" s="38">
        <v>12149.129919999999</v>
      </c>
      <c r="E406" s="38">
        <v>7840.9979665258879</v>
      </c>
      <c r="F406" s="38">
        <v>132.97320317733755</v>
      </c>
      <c r="G406" s="25">
        <f t="shared" si="6"/>
        <v>12089726.595354423</v>
      </c>
    </row>
    <row r="407" spans="1:7">
      <c r="A407" s="1">
        <v>404</v>
      </c>
      <c r="B407" s="9">
        <v>39568</v>
      </c>
      <c r="C407" s="37">
        <v>12820.13</v>
      </c>
      <c r="D407" s="38">
        <v>12054.680190000001</v>
      </c>
      <c r="E407" s="38">
        <v>7780.348800996574</v>
      </c>
      <c r="F407" s="38">
        <v>132.52310783657066</v>
      </c>
      <c r="G407" s="25">
        <f t="shared" si="6"/>
        <v>12023717.054310709</v>
      </c>
    </row>
    <row r="408" spans="1:7">
      <c r="A408" s="1">
        <v>405</v>
      </c>
      <c r="B408" s="9">
        <v>39570</v>
      </c>
      <c r="C408" s="37">
        <v>13058.2</v>
      </c>
      <c r="D408" s="38">
        <v>12275.612500000001</v>
      </c>
      <c r="E408" s="38">
        <v>7810.3682021260202</v>
      </c>
      <c r="F408" s="38">
        <v>133.395936194455</v>
      </c>
      <c r="G408" s="25">
        <f t="shared" si="6"/>
        <v>12199470.949974876</v>
      </c>
    </row>
    <row r="409" spans="1:7">
      <c r="A409" s="1">
        <v>406</v>
      </c>
      <c r="B409" s="9">
        <v>39575</v>
      </c>
      <c r="C409" s="37">
        <v>12814.35</v>
      </c>
      <c r="D409" s="38">
        <v>12217.715400000001</v>
      </c>
      <c r="E409" s="38">
        <v>7814.1801385681301</v>
      </c>
      <c r="F409" s="38">
        <v>133.87583064363014</v>
      </c>
      <c r="G409" s="25">
        <f t="shared" si="6"/>
        <v>12102004.548462169</v>
      </c>
    </row>
    <row r="410" spans="1:7">
      <c r="A410" s="1">
        <v>407</v>
      </c>
      <c r="B410" s="9">
        <v>39576</v>
      </c>
      <c r="C410" s="37">
        <v>12866.78</v>
      </c>
      <c r="D410" s="38">
        <v>12267.56604</v>
      </c>
      <c r="E410" s="38">
        <v>7795.8057054741712</v>
      </c>
      <c r="F410" s="38">
        <v>134.56147461879945</v>
      </c>
      <c r="G410" s="25">
        <f t="shared" si="6"/>
        <v>12145801.330178179</v>
      </c>
    </row>
    <row r="411" spans="1:7">
      <c r="A411" s="1">
        <v>408</v>
      </c>
      <c r="B411" s="9">
        <v>39577</v>
      </c>
      <c r="C411" s="37">
        <v>12745.88</v>
      </c>
      <c r="D411" s="38">
        <v>12074.96667</v>
      </c>
      <c r="E411" s="38">
        <v>7655.1851851851852</v>
      </c>
      <c r="F411" s="38">
        <v>132.28073234524848</v>
      </c>
      <c r="G411" s="25">
        <f t="shared" si="6"/>
        <v>11978627.699649286</v>
      </c>
    </row>
    <row r="412" spans="1:7">
      <c r="A412" s="1">
        <v>409</v>
      </c>
      <c r="B412" s="9">
        <v>39580</v>
      </c>
      <c r="C412" s="37">
        <v>12876.05</v>
      </c>
      <c r="D412" s="38">
        <v>12199.84072</v>
      </c>
      <c r="E412" s="38">
        <v>7713.8583165400714</v>
      </c>
      <c r="F412" s="38">
        <v>132.56834185395968</v>
      </c>
      <c r="G412" s="25">
        <f t="shared" si="6"/>
        <v>12079452.324794343</v>
      </c>
    </row>
    <row r="413" spans="1:7">
      <c r="A413" s="1">
        <v>410</v>
      </c>
      <c r="B413" s="9">
        <v>39581</v>
      </c>
      <c r="C413" s="37">
        <v>12832.18</v>
      </c>
      <c r="D413" s="38">
        <v>12091.463349999998</v>
      </c>
      <c r="E413" s="38">
        <v>7741.474368901966</v>
      </c>
      <c r="F413" s="38">
        <v>133.59243657252273</v>
      </c>
      <c r="G413" s="25">
        <f t="shared" si="6"/>
        <v>12052271.304640323</v>
      </c>
    </row>
    <row r="414" spans="1:7">
      <c r="A414" s="1">
        <v>411</v>
      </c>
      <c r="B414" s="9">
        <v>39582</v>
      </c>
      <c r="C414" s="37">
        <v>12898.38</v>
      </c>
      <c r="D414" s="38">
        <v>12069.6072</v>
      </c>
      <c r="E414" s="38">
        <v>7813.3539412673872</v>
      </c>
      <c r="F414" s="38">
        <v>134.13024890746721</v>
      </c>
      <c r="G414" s="25">
        <f t="shared" si="6"/>
        <v>12090592.281593783</v>
      </c>
    </row>
    <row r="415" spans="1:7">
      <c r="A415" s="1">
        <v>412</v>
      </c>
      <c r="B415" s="9">
        <v>39583</v>
      </c>
      <c r="C415" s="37">
        <v>12992.66</v>
      </c>
      <c r="D415" s="38">
        <v>12168.50352</v>
      </c>
      <c r="E415" s="38">
        <v>7827.7511221173199</v>
      </c>
      <c r="F415" s="38">
        <v>135.97691060013358</v>
      </c>
      <c r="G415" s="25">
        <f t="shared" si="6"/>
        <v>12190770.51513673</v>
      </c>
    </row>
    <row r="416" spans="1:7">
      <c r="A416" s="1">
        <v>413</v>
      </c>
      <c r="B416" s="9">
        <v>39584</v>
      </c>
      <c r="C416" s="37">
        <v>12986.8</v>
      </c>
      <c r="D416" s="38">
        <v>12316.71091</v>
      </c>
      <c r="E416" s="38">
        <v>7897.4183514774495</v>
      </c>
      <c r="F416" s="38">
        <v>136.62067640276709</v>
      </c>
      <c r="G416" s="25">
        <f t="shared" si="6"/>
        <v>12257607.151997708</v>
      </c>
    </row>
    <row r="417" spans="1:7">
      <c r="A417" s="1">
        <v>414</v>
      </c>
      <c r="B417" s="9">
        <v>39587</v>
      </c>
      <c r="C417" s="37">
        <v>13028.16</v>
      </c>
      <c r="D417" s="38">
        <v>12426.523200000001</v>
      </c>
      <c r="E417" s="38">
        <v>7977.1951597890175</v>
      </c>
      <c r="F417" s="38">
        <v>136.57743108728943</v>
      </c>
      <c r="G417" s="25">
        <f t="shared" si="6"/>
        <v>12319033.548772201</v>
      </c>
    </row>
    <row r="418" spans="1:7">
      <c r="A418" s="1">
        <v>415</v>
      </c>
      <c r="B418" s="9">
        <v>39588</v>
      </c>
      <c r="C418" s="37">
        <v>12828.68</v>
      </c>
      <c r="D418" s="38">
        <v>12188.1646</v>
      </c>
      <c r="E418" s="38">
        <v>7904.4253322908526</v>
      </c>
      <c r="F418" s="38">
        <v>136.36450308166408</v>
      </c>
      <c r="G418" s="25">
        <f t="shared" si="6"/>
        <v>12156641.798726104</v>
      </c>
    </row>
    <row r="419" spans="1:7">
      <c r="A419" s="1">
        <v>416</v>
      </c>
      <c r="B419" s="9">
        <v>39589</v>
      </c>
      <c r="C419" s="37">
        <v>12601.19</v>
      </c>
      <c r="D419" s="38">
        <v>12174.30802</v>
      </c>
      <c r="E419" s="38">
        <v>7927.3888363292344</v>
      </c>
      <c r="F419" s="38">
        <v>134.8532971821439</v>
      </c>
      <c r="G419" s="25">
        <f t="shared" si="6"/>
        <v>12046667.878597056</v>
      </c>
    </row>
    <row r="420" spans="1:7">
      <c r="A420" s="1">
        <v>417</v>
      </c>
      <c r="B420" s="9">
        <v>39590</v>
      </c>
      <c r="C420" s="37">
        <v>12625.62</v>
      </c>
      <c r="D420" s="38">
        <v>12246.985920000001</v>
      </c>
      <c r="E420" s="38">
        <v>7903.0960238881034</v>
      </c>
      <c r="F420" s="38">
        <v>134.47291967291966</v>
      </c>
      <c r="G420" s="25">
        <f t="shared" si="6"/>
        <v>12067584.913945118</v>
      </c>
    </row>
    <row r="421" spans="1:7">
      <c r="A421" s="1">
        <v>418</v>
      </c>
      <c r="B421" s="9">
        <v>39591</v>
      </c>
      <c r="C421" s="37">
        <v>12479.63</v>
      </c>
      <c r="D421" s="38">
        <v>12064.41987</v>
      </c>
      <c r="E421" s="38">
        <v>7779.5175023651855</v>
      </c>
      <c r="F421" s="38">
        <v>135.55383573570668</v>
      </c>
      <c r="G421" s="25">
        <f t="shared" si="6"/>
        <v>11956782.072328102</v>
      </c>
    </row>
    <row r="422" spans="1:7">
      <c r="A422" s="1">
        <v>419</v>
      </c>
      <c r="B422" s="9">
        <v>39595</v>
      </c>
      <c r="C422" s="37">
        <v>12548.35</v>
      </c>
      <c r="D422" s="38">
        <v>11963.719949999999</v>
      </c>
      <c r="E422" s="38">
        <v>7713.504166011634</v>
      </c>
      <c r="F422" s="38">
        <v>133.46119116234391</v>
      </c>
      <c r="G422" s="25">
        <f t="shared" si="6"/>
        <v>11902509.10616741</v>
      </c>
    </row>
    <row r="423" spans="1:7">
      <c r="A423" s="1">
        <v>420</v>
      </c>
      <c r="B423" s="9">
        <v>39596</v>
      </c>
      <c r="C423" s="37">
        <v>12594.03</v>
      </c>
      <c r="D423" s="38">
        <v>12022.05672</v>
      </c>
      <c r="E423" s="38">
        <v>7768.5732145647753</v>
      </c>
      <c r="F423" s="38">
        <v>130.87770883054893</v>
      </c>
      <c r="G423" s="25">
        <f t="shared" si="6"/>
        <v>11900401.296790309</v>
      </c>
    </row>
    <row r="424" spans="1:7">
      <c r="A424" s="1">
        <v>421</v>
      </c>
      <c r="B424" s="9">
        <v>39597</v>
      </c>
      <c r="C424" s="37">
        <v>12646.22</v>
      </c>
      <c r="D424" s="38">
        <v>11996.026890000001</v>
      </c>
      <c r="E424" s="38">
        <v>7728.9530910220556</v>
      </c>
      <c r="F424" s="38">
        <v>133.9955412199981</v>
      </c>
      <c r="G424" s="25">
        <f t="shared" si="6"/>
        <v>11960087.030422129</v>
      </c>
    </row>
    <row r="425" spans="1:7">
      <c r="A425" s="1">
        <v>422</v>
      </c>
      <c r="B425" s="9">
        <v>39598</v>
      </c>
      <c r="C425" s="37">
        <v>12638.32</v>
      </c>
      <c r="D425" s="38">
        <v>11962.9267</v>
      </c>
      <c r="E425" s="38">
        <v>7792.1989121989127</v>
      </c>
      <c r="F425" s="38">
        <v>135.82021407596858</v>
      </c>
      <c r="G425" s="25">
        <f t="shared" si="6"/>
        <v>11989422.433779215</v>
      </c>
    </row>
    <row r="426" spans="1:7">
      <c r="A426" s="1">
        <v>423</v>
      </c>
      <c r="B426" s="9">
        <v>39601</v>
      </c>
      <c r="C426" s="37">
        <v>12503.82</v>
      </c>
      <c r="D426" s="38">
        <v>11797.12412</v>
      </c>
      <c r="E426" s="38">
        <v>7663.369565217391</v>
      </c>
      <c r="F426" s="38">
        <v>138.11707317073171</v>
      </c>
      <c r="G426" s="25">
        <f t="shared" si="6"/>
        <v>11908736.244886894</v>
      </c>
    </row>
    <row r="427" spans="1:7">
      <c r="A427" s="1">
        <v>424</v>
      </c>
      <c r="B427" s="9">
        <v>39602</v>
      </c>
      <c r="C427" s="37">
        <v>12402.85</v>
      </c>
      <c r="D427" s="38">
        <v>11912.467049999999</v>
      </c>
      <c r="E427" s="38">
        <v>7705.1793444650584</v>
      </c>
      <c r="F427" s="38">
        <v>134.99116473494203</v>
      </c>
      <c r="G427" s="25">
        <f t="shared" si="6"/>
        <v>11859468.453972833</v>
      </c>
    </row>
    <row r="428" spans="1:7">
      <c r="A428" s="1">
        <v>425</v>
      </c>
      <c r="B428" s="9">
        <v>39603</v>
      </c>
      <c r="C428" s="37">
        <v>12390.48</v>
      </c>
      <c r="D428" s="38">
        <v>11663.784370000001</v>
      </c>
      <c r="E428" s="38">
        <v>7593.1870848138415</v>
      </c>
      <c r="F428" s="38">
        <v>137.44234980481767</v>
      </c>
      <c r="G428" s="25">
        <f t="shared" si="6"/>
        <v>11802655.208463078</v>
      </c>
    </row>
    <row r="429" spans="1:7">
      <c r="A429" s="1">
        <v>426</v>
      </c>
      <c r="B429" s="9">
        <v>39604</v>
      </c>
      <c r="C429" s="37">
        <v>12604.45</v>
      </c>
      <c r="D429" s="38">
        <v>11719.012910000001</v>
      </c>
      <c r="E429" s="38">
        <v>7623.2095696753149</v>
      </c>
      <c r="F429" s="38">
        <v>135.15333144849686</v>
      </c>
      <c r="G429" s="25">
        <f t="shared" si="6"/>
        <v>11861830.408231732</v>
      </c>
    </row>
    <row r="430" spans="1:7">
      <c r="A430" s="1">
        <v>427</v>
      </c>
      <c r="B430" s="9">
        <v>39605</v>
      </c>
      <c r="C430" s="37">
        <v>12209.81</v>
      </c>
      <c r="D430" s="38">
        <v>11635.21464</v>
      </c>
      <c r="E430" s="38">
        <v>7545.7435090479939</v>
      </c>
      <c r="F430" s="38">
        <v>137.57538928978354</v>
      </c>
      <c r="G430" s="25">
        <f t="shared" si="6"/>
        <v>11722867.075354312</v>
      </c>
    </row>
    <row r="431" spans="1:7">
      <c r="A431" s="1">
        <v>428</v>
      </c>
      <c r="B431" s="9">
        <v>39608</v>
      </c>
      <c r="C431" s="37">
        <v>12280.32</v>
      </c>
      <c r="D431" s="38">
        <v>11617.66416</v>
      </c>
      <c r="E431" s="38">
        <v>7548.5687323057564</v>
      </c>
      <c r="F431" s="38">
        <v>133.69831243518431</v>
      </c>
      <c r="G431" s="25">
        <f t="shared" si="6"/>
        <v>11674697.807661526</v>
      </c>
    </row>
    <row r="432" spans="1:7">
      <c r="A432" s="1">
        <v>429</v>
      </c>
      <c r="B432" s="9">
        <v>39609</v>
      </c>
      <c r="C432" s="37">
        <v>12289.76</v>
      </c>
      <c r="D432" s="38">
        <v>11378.968710000001</v>
      </c>
      <c r="E432" s="38">
        <v>7370.0928792569657</v>
      </c>
      <c r="F432" s="38">
        <v>130.80669838604348</v>
      </c>
      <c r="G432" s="25">
        <f t="shared" si="6"/>
        <v>11523486.257174589</v>
      </c>
    </row>
    <row r="433" spans="1:7">
      <c r="A433" s="1">
        <v>430</v>
      </c>
      <c r="B433" s="9">
        <v>39610</v>
      </c>
      <c r="C433" s="37">
        <v>12083.77</v>
      </c>
      <c r="D433" s="38">
        <v>11237.699550000001</v>
      </c>
      <c r="E433" s="38">
        <v>7241.9359850839037</v>
      </c>
      <c r="F433" s="38">
        <v>132.84143485997939</v>
      </c>
      <c r="G433" s="25">
        <f t="shared" si="6"/>
        <v>11419984.30992185</v>
      </c>
    </row>
    <row r="434" spans="1:7">
      <c r="A434" s="1">
        <v>431</v>
      </c>
      <c r="B434" s="9">
        <v>39611</v>
      </c>
      <c r="C434" s="37">
        <v>12141.58</v>
      </c>
      <c r="D434" s="38">
        <v>11267.1549</v>
      </c>
      <c r="E434" s="38">
        <v>7203.6694418748084</v>
      </c>
      <c r="F434" s="38">
        <v>128.56243636027031</v>
      </c>
      <c r="G434" s="25">
        <f t="shared" si="6"/>
        <v>11368143.426735191</v>
      </c>
    </row>
    <row r="435" spans="1:7">
      <c r="A435" s="1">
        <v>432</v>
      </c>
      <c r="B435" s="9">
        <v>39612</v>
      </c>
      <c r="C435" s="37">
        <v>12307.35</v>
      </c>
      <c r="D435" s="38">
        <v>11284.124880000001</v>
      </c>
      <c r="E435" s="38">
        <v>7184.7475832438249</v>
      </c>
      <c r="F435" s="38">
        <v>129.36243288279948</v>
      </c>
      <c r="G435" s="25">
        <f t="shared" si="6"/>
        <v>11444735.791555109</v>
      </c>
    </row>
    <row r="436" spans="1:7">
      <c r="A436" s="1">
        <v>433</v>
      </c>
      <c r="B436" s="9">
        <v>39615</v>
      </c>
      <c r="C436" s="37">
        <v>12269.08</v>
      </c>
      <c r="D436" s="38">
        <v>11378.27656</v>
      </c>
      <c r="E436" s="38">
        <v>7201.2059369202216</v>
      </c>
      <c r="F436" s="38">
        <v>132.56714074621354</v>
      </c>
      <c r="G436" s="25">
        <f t="shared" si="6"/>
        <v>11519734.316763269</v>
      </c>
    </row>
    <row r="437" spans="1:7">
      <c r="A437" s="1">
        <v>434</v>
      </c>
      <c r="B437" s="9">
        <v>39616</v>
      </c>
      <c r="C437" s="37">
        <v>12160.3</v>
      </c>
      <c r="D437" s="38">
        <v>11445.945939999998</v>
      </c>
      <c r="E437" s="38">
        <v>7265.6279069767443</v>
      </c>
      <c r="F437" s="38">
        <v>132.68328093212503</v>
      </c>
      <c r="G437" s="25">
        <f t="shared" si="6"/>
        <v>11513852.823921639</v>
      </c>
    </row>
    <row r="438" spans="1:7">
      <c r="A438" s="1">
        <v>435</v>
      </c>
      <c r="B438" s="9">
        <v>39617</v>
      </c>
      <c r="C438" s="37">
        <v>12029.06</v>
      </c>
      <c r="D438" s="38">
        <v>11274.312959999999</v>
      </c>
      <c r="E438" s="38">
        <v>7166.4080682699769</v>
      </c>
      <c r="F438" s="38">
        <v>133.94643188137164</v>
      </c>
      <c r="G438" s="25">
        <f t="shared" si="6"/>
        <v>11418978.554562002</v>
      </c>
    </row>
    <row r="439" spans="1:7">
      <c r="A439" s="1">
        <v>436</v>
      </c>
      <c r="B439" s="9">
        <v>39618</v>
      </c>
      <c r="C439" s="37">
        <v>12063.09</v>
      </c>
      <c r="D439" s="38">
        <v>11251.827240000001</v>
      </c>
      <c r="E439" s="38">
        <v>7111.8184634448589</v>
      </c>
      <c r="F439" s="38">
        <v>130.85914058158917</v>
      </c>
      <c r="G439" s="25">
        <f t="shared" si="6"/>
        <v>11360768.78341352</v>
      </c>
    </row>
    <row r="440" spans="1:7">
      <c r="A440" s="1">
        <v>437</v>
      </c>
      <c r="B440" s="9">
        <v>39619</v>
      </c>
      <c r="C440" s="37">
        <v>11842.69</v>
      </c>
      <c r="D440" s="38">
        <v>11104.45248</v>
      </c>
      <c r="E440" s="38">
        <v>7049.0386118493043</v>
      </c>
      <c r="F440" s="38">
        <v>129.82661327870377</v>
      </c>
      <c r="G440" s="25">
        <f t="shared" si="6"/>
        <v>11206299.867260028</v>
      </c>
    </row>
    <row r="441" spans="1:7">
      <c r="A441" s="1">
        <v>438</v>
      </c>
      <c r="B441" s="9">
        <v>39622</v>
      </c>
      <c r="C441" s="37">
        <v>11842.36</v>
      </c>
      <c r="D441" s="38">
        <v>11104.311680000001</v>
      </c>
      <c r="E441" s="38">
        <v>6985.7076494270668</v>
      </c>
      <c r="F441" s="38">
        <v>128.40502223869532</v>
      </c>
      <c r="G441" s="25">
        <f t="shared" si="6"/>
        <v>11170721.515000101</v>
      </c>
    </row>
    <row r="442" spans="1:7">
      <c r="A442" s="1">
        <v>439</v>
      </c>
      <c r="B442" s="9">
        <v>39623</v>
      </c>
      <c r="C442" s="37">
        <v>11807.43</v>
      </c>
      <c r="D442" s="38">
        <v>11106.55717</v>
      </c>
      <c r="E442" s="38">
        <v>6976.0798378294094</v>
      </c>
      <c r="F442" s="38">
        <v>128.58193296815523</v>
      </c>
      <c r="G442" s="25">
        <f t="shared" si="6"/>
        <v>11160330.1682394</v>
      </c>
    </row>
    <row r="443" spans="1:7">
      <c r="A443" s="1">
        <v>440</v>
      </c>
      <c r="B443" s="9">
        <v>39624</v>
      </c>
      <c r="C443" s="37">
        <v>11811.83</v>
      </c>
      <c r="D443" s="38">
        <v>11150.8848</v>
      </c>
      <c r="E443" s="38">
        <v>7060.3735408560315</v>
      </c>
      <c r="F443" s="38">
        <v>127.85356383470463</v>
      </c>
      <c r="G443" s="25">
        <f t="shared" si="6"/>
        <v>11176462.572647193</v>
      </c>
    </row>
    <row r="444" spans="1:7">
      <c r="A444" s="1">
        <v>441</v>
      </c>
      <c r="B444" s="9">
        <v>39625</v>
      </c>
      <c r="C444" s="37">
        <v>11453.42</v>
      </c>
      <c r="D444" s="38">
        <v>10975.6998</v>
      </c>
      <c r="E444" s="38">
        <v>6970.3779527559045</v>
      </c>
      <c r="F444" s="38">
        <v>128.95158130422615</v>
      </c>
      <c r="G444" s="25">
        <f t="shared" si="6"/>
        <v>10996596.708910681</v>
      </c>
    </row>
    <row r="445" spans="1:7">
      <c r="A445" s="1">
        <v>442</v>
      </c>
      <c r="B445" s="9">
        <v>39626</v>
      </c>
      <c r="C445" s="37">
        <v>11346.51</v>
      </c>
      <c r="D445" s="38">
        <v>11012.24286</v>
      </c>
      <c r="E445" s="38">
        <v>6926.0040951330911</v>
      </c>
      <c r="F445" s="38">
        <v>127.60844168079895</v>
      </c>
      <c r="G445" s="25">
        <f t="shared" si="6"/>
        <v>10938251.501237974</v>
      </c>
    </row>
    <row r="446" spans="1:7">
      <c r="A446" s="1">
        <v>443</v>
      </c>
      <c r="B446" s="9">
        <v>39629</v>
      </c>
      <c r="C446" s="37">
        <v>11350.01</v>
      </c>
      <c r="D446" s="38">
        <v>11196.103589999999</v>
      </c>
      <c r="E446" s="38">
        <v>6987.3168426028042</v>
      </c>
      <c r="F446" s="38">
        <v>127.17083294028863</v>
      </c>
      <c r="G446" s="25">
        <f t="shared" si="6"/>
        <v>10999109.789565274</v>
      </c>
    </row>
    <row r="447" spans="1:7">
      <c r="A447" s="1">
        <v>444</v>
      </c>
      <c r="B447" s="9">
        <v>39630</v>
      </c>
      <c r="C447" s="37">
        <v>11382.26</v>
      </c>
      <c r="D447" s="38">
        <v>10912.672859999999</v>
      </c>
      <c r="E447" s="38">
        <v>6838.7051039697544</v>
      </c>
      <c r="F447" s="38">
        <v>126.99933968493538</v>
      </c>
      <c r="G447" s="25">
        <f t="shared" si="6"/>
        <v>10895232.381791987</v>
      </c>
    </row>
    <row r="448" spans="1:7">
      <c r="A448" s="1">
        <v>445</v>
      </c>
      <c r="B448" s="9">
        <v>39631</v>
      </c>
      <c r="C448" s="37">
        <v>11215.51</v>
      </c>
      <c r="D448" s="38">
        <v>10810.27486</v>
      </c>
      <c r="E448" s="38">
        <v>6816.5635411708708</v>
      </c>
      <c r="F448" s="38">
        <v>125.21317500706814</v>
      </c>
      <c r="G448" s="25">
        <f t="shared" si="6"/>
        <v>10767483.295548286</v>
      </c>
    </row>
    <row r="449" spans="1:7">
      <c r="A449" s="1">
        <v>446</v>
      </c>
      <c r="B449" s="9">
        <v>39632</v>
      </c>
      <c r="C449" s="37">
        <v>11288.53</v>
      </c>
      <c r="D449" s="38">
        <v>10858.454820000001</v>
      </c>
      <c r="E449" s="38">
        <v>6825.8799497171594</v>
      </c>
      <c r="F449" s="38">
        <v>124.34758155230595</v>
      </c>
      <c r="G449" s="25">
        <f t="shared" si="6"/>
        <v>10795197.433842346</v>
      </c>
    </row>
    <row r="450" spans="1:7">
      <c r="A450" s="1">
        <v>447</v>
      </c>
      <c r="B450" s="9">
        <v>39636</v>
      </c>
      <c r="C450" s="37">
        <v>11231.96</v>
      </c>
      <c r="D450" s="38">
        <v>10857.262650000001</v>
      </c>
      <c r="E450" s="38">
        <v>6802.3026315789475</v>
      </c>
      <c r="F450" s="38">
        <v>124.25632440476191</v>
      </c>
      <c r="G450" s="25">
        <f t="shared" si="6"/>
        <v>10768874.871506665</v>
      </c>
    </row>
    <row r="451" spans="1:7">
      <c r="A451" s="1">
        <v>448</v>
      </c>
      <c r="B451" s="9">
        <v>39637</v>
      </c>
      <c r="C451" s="37">
        <v>11384.21</v>
      </c>
      <c r="D451" s="38">
        <v>10727.5779</v>
      </c>
      <c r="E451" s="38">
        <v>6703.6845406083403</v>
      </c>
      <c r="F451" s="38">
        <v>121.56608525324131</v>
      </c>
      <c r="G451" s="25">
        <f t="shared" ref="G451:G494" si="7">C451/$C$503*H$2+D451/$D$503*I$2+E451/$E$503*J$2+F451/$F$503*K$2</f>
        <v>10720005.736077562</v>
      </c>
    </row>
    <row r="452" spans="1:7">
      <c r="A452" s="1">
        <v>449</v>
      </c>
      <c r="B452" s="9">
        <v>39638</v>
      </c>
      <c r="C452" s="37">
        <v>11147.44</v>
      </c>
      <c r="D452" s="38">
        <v>10940.86656</v>
      </c>
      <c r="E452" s="38">
        <v>6827.6589049716795</v>
      </c>
      <c r="F452" s="38">
        <v>121.84587378640775</v>
      </c>
      <c r="G452" s="25">
        <f t="shared" si="7"/>
        <v>10725687.691241657</v>
      </c>
    </row>
    <row r="453" spans="1:7">
      <c r="A453" s="1">
        <v>450</v>
      </c>
      <c r="B453" s="9">
        <v>39639</v>
      </c>
      <c r="C453" s="37">
        <v>11229.02</v>
      </c>
      <c r="D453" s="38">
        <v>10694.6504</v>
      </c>
      <c r="E453" s="38">
        <v>6682.8174352495271</v>
      </c>
      <c r="F453" s="38">
        <v>122.24913462438019</v>
      </c>
      <c r="G453" s="25">
        <f t="shared" si="7"/>
        <v>10662138.98575842</v>
      </c>
    </row>
    <row r="454" spans="1:7">
      <c r="A454" s="1">
        <v>451</v>
      </c>
      <c r="B454" s="9">
        <v>39640</v>
      </c>
      <c r="C454" s="37">
        <v>11100.54</v>
      </c>
      <c r="D454" s="38">
        <v>10462.165440000001</v>
      </c>
      <c r="E454" s="38">
        <v>6523.4489341393573</v>
      </c>
      <c r="F454" s="38">
        <v>122.96953979630328</v>
      </c>
      <c r="G454" s="25">
        <f t="shared" si="7"/>
        <v>10529927.856214728</v>
      </c>
    </row>
    <row r="455" spans="1:7">
      <c r="A455" s="1">
        <v>452</v>
      </c>
      <c r="B455" s="9">
        <v>39643</v>
      </c>
      <c r="C455" s="37">
        <v>11055.19</v>
      </c>
      <c r="D455" s="38">
        <v>10557.336719999999</v>
      </c>
      <c r="E455" s="38">
        <v>6584.8513749801305</v>
      </c>
      <c r="F455" s="38">
        <v>122.21850634100517</v>
      </c>
      <c r="G455" s="25">
        <f t="shared" si="7"/>
        <v>10539800.694088342</v>
      </c>
    </row>
    <row r="456" spans="1:7">
      <c r="A456" s="1">
        <v>453</v>
      </c>
      <c r="B456" s="9">
        <v>39644</v>
      </c>
      <c r="C456" s="37">
        <v>10962.54</v>
      </c>
      <c r="D456" s="38">
        <v>10369.142309999999</v>
      </c>
      <c r="E456" s="38">
        <v>6486.4238939466541</v>
      </c>
      <c r="F456" s="38">
        <v>122.20523138832996</v>
      </c>
      <c r="G456" s="25">
        <f t="shared" si="7"/>
        <v>10431256.128377385</v>
      </c>
    </row>
    <row r="457" spans="1:7">
      <c r="A457" s="1">
        <v>454</v>
      </c>
      <c r="B457" s="9">
        <v>39645</v>
      </c>
      <c r="C457" s="37">
        <v>11239.28</v>
      </c>
      <c r="D457" s="38">
        <v>10282.14278</v>
      </c>
      <c r="E457" s="38">
        <v>6506.0117070083843</v>
      </c>
      <c r="F457" s="38">
        <v>121.7517412460643</v>
      </c>
      <c r="G457" s="25">
        <f t="shared" si="7"/>
        <v>10499619.898306144</v>
      </c>
    </row>
    <row r="458" spans="1:7">
      <c r="A458" s="1">
        <v>455</v>
      </c>
      <c r="B458" s="9">
        <v>39646</v>
      </c>
      <c r="C458" s="37">
        <v>11446.66</v>
      </c>
      <c r="D458" s="38">
        <v>10609.07547</v>
      </c>
      <c r="E458" s="38">
        <v>6712.1823379923753</v>
      </c>
      <c r="F458" s="38">
        <v>122.03342486506961</v>
      </c>
      <c r="G458" s="25">
        <f t="shared" si="7"/>
        <v>10715292.038460193</v>
      </c>
    </row>
    <row r="459" spans="1:7">
      <c r="A459" s="1">
        <v>456</v>
      </c>
      <c r="B459" s="9">
        <v>39647</v>
      </c>
      <c r="C459" s="37">
        <v>11496.57</v>
      </c>
      <c r="D459" s="38">
        <v>10732.907319999998</v>
      </c>
      <c r="E459" s="38">
        <v>6815.7260621433097</v>
      </c>
      <c r="F459" s="38">
        <v>119.96345919610232</v>
      </c>
      <c r="G459" s="25">
        <f t="shared" si="7"/>
        <v>10752107.878331456</v>
      </c>
    </row>
    <row r="460" spans="1:7">
      <c r="A460" s="1">
        <v>457</v>
      </c>
      <c r="B460" s="9">
        <v>39651</v>
      </c>
      <c r="C460" s="37">
        <v>11602.5</v>
      </c>
      <c r="D460" s="38">
        <v>10709.96206</v>
      </c>
      <c r="E460" s="38">
        <v>6852.3515439429939</v>
      </c>
      <c r="F460" s="38">
        <v>123.35073439985031</v>
      </c>
      <c r="G460" s="25">
        <f t="shared" si="7"/>
        <v>10849333.567626398</v>
      </c>
    </row>
    <row r="461" spans="1:7">
      <c r="A461" s="1">
        <v>458</v>
      </c>
      <c r="B461" s="9">
        <v>39652</v>
      </c>
      <c r="C461" s="37">
        <v>11632.38</v>
      </c>
      <c r="D461" s="38">
        <v>10881.815329999999</v>
      </c>
      <c r="E461" s="38">
        <v>6920.0125568984458</v>
      </c>
      <c r="F461" s="38">
        <v>123.46220903273672</v>
      </c>
      <c r="G461" s="25">
        <f t="shared" si="7"/>
        <v>10926770.473430013</v>
      </c>
    </row>
    <row r="462" spans="1:7">
      <c r="A462" s="1">
        <v>459</v>
      </c>
      <c r="B462" s="9">
        <v>39653</v>
      </c>
      <c r="C462" s="37">
        <v>11349.28</v>
      </c>
      <c r="D462" s="38">
        <v>10632.904670000002</v>
      </c>
      <c r="E462" s="38">
        <v>6813.9633286318758</v>
      </c>
      <c r="F462" s="38">
        <v>126.38957539719409</v>
      </c>
      <c r="G462" s="25">
        <f t="shared" si="7"/>
        <v>10781035.514724933</v>
      </c>
    </row>
    <row r="463" spans="1:7">
      <c r="A463" s="1">
        <v>460</v>
      </c>
      <c r="B463" s="9">
        <v>39654</v>
      </c>
      <c r="C463" s="37">
        <v>11370.69</v>
      </c>
      <c r="D463" s="38">
        <v>10637.757240000001</v>
      </c>
      <c r="E463" s="38">
        <v>6859.7085096379878</v>
      </c>
      <c r="F463" s="38">
        <v>123.58443002780352</v>
      </c>
      <c r="G463" s="25">
        <f t="shared" si="7"/>
        <v>10747972.746347507</v>
      </c>
    </row>
    <row r="464" spans="1:7">
      <c r="A464" s="1">
        <v>461</v>
      </c>
      <c r="B464" s="9">
        <v>39657</v>
      </c>
      <c r="C464" s="37">
        <v>11131.08</v>
      </c>
      <c r="D464" s="38">
        <v>10578.449120000001</v>
      </c>
      <c r="E464" s="38">
        <v>6805.8703179099784</v>
      </c>
      <c r="F464" s="38">
        <v>124.08269838320015</v>
      </c>
      <c r="G464" s="25">
        <f t="shared" si="7"/>
        <v>10642632.029543109</v>
      </c>
    </row>
    <row r="465" spans="1:7">
      <c r="A465" s="1">
        <v>462</v>
      </c>
      <c r="B465" s="9">
        <v>39658</v>
      </c>
      <c r="C465" s="37">
        <v>11397.56</v>
      </c>
      <c r="D465" s="38">
        <v>10536.271359999999</v>
      </c>
      <c r="E465" s="38">
        <v>6738.1316281971303</v>
      </c>
      <c r="F465" s="38">
        <v>121.63277567242814</v>
      </c>
      <c r="G465" s="25">
        <f t="shared" si="7"/>
        <v>10671804.488357129</v>
      </c>
    </row>
    <row r="466" spans="1:7">
      <c r="A466" s="1">
        <v>463</v>
      </c>
      <c r="B466" s="9">
        <v>39659</v>
      </c>
      <c r="C466" s="37">
        <v>11583.69</v>
      </c>
      <c r="D466" s="38">
        <v>10729.191510000001</v>
      </c>
      <c r="E466" s="38">
        <v>6846.973704683367</v>
      </c>
      <c r="F466" s="38">
        <v>123.54704251386322</v>
      </c>
      <c r="G466" s="25">
        <f t="shared" si="7"/>
        <v>10851129.144087646</v>
      </c>
    </row>
    <row r="467" spans="1:7">
      <c r="A467" s="1">
        <v>464</v>
      </c>
      <c r="B467" s="9">
        <v>39660</v>
      </c>
      <c r="C467" s="37">
        <v>11378.02</v>
      </c>
      <c r="D467" s="38">
        <v>10720.973899999999</v>
      </c>
      <c r="E467" s="38">
        <v>6853.4248712747694</v>
      </c>
      <c r="F467" s="38">
        <v>123.77912464143611</v>
      </c>
      <c r="G467" s="25">
        <f t="shared" si="7"/>
        <v>10779076.277650656</v>
      </c>
    </row>
    <row r="468" spans="1:7">
      <c r="A468" s="1">
        <v>465</v>
      </c>
      <c r="B468" s="9">
        <v>39661</v>
      </c>
      <c r="C468" s="37">
        <v>11326.32</v>
      </c>
      <c r="D468" s="38">
        <v>10569.642329999999</v>
      </c>
      <c r="E468" s="38">
        <v>6714.9260700389113</v>
      </c>
      <c r="F468" s="38">
        <v>121.77615549149074</v>
      </c>
      <c r="G468" s="25">
        <f t="shared" si="7"/>
        <v>10655178.52461182</v>
      </c>
    </row>
    <row r="469" spans="1:7">
      <c r="A469" s="1">
        <v>466</v>
      </c>
      <c r="B469" s="9">
        <v>39664</v>
      </c>
      <c r="C469" s="37">
        <v>11284.15</v>
      </c>
      <c r="D469" s="38">
        <v>10457.91714</v>
      </c>
      <c r="E469" s="38">
        <v>6682.219793943179</v>
      </c>
      <c r="F469" s="38">
        <v>119.77384700870532</v>
      </c>
      <c r="G469" s="25">
        <f t="shared" si="7"/>
        <v>10564190.347154843</v>
      </c>
    </row>
    <row r="470" spans="1:7">
      <c r="A470" s="1">
        <v>467</v>
      </c>
      <c r="B470" s="9">
        <v>39665</v>
      </c>
      <c r="C470" s="37">
        <v>11615.77</v>
      </c>
      <c r="D470" s="38">
        <v>10663.547500000001</v>
      </c>
      <c r="E470" s="38">
        <v>6793.1702028805948</v>
      </c>
      <c r="F470" s="38">
        <v>119.52484960666358</v>
      </c>
      <c r="G470" s="25">
        <f t="shared" si="7"/>
        <v>10762278.355888857</v>
      </c>
    </row>
    <row r="471" spans="1:7">
      <c r="A471" s="1">
        <v>468</v>
      </c>
      <c r="B471" s="9">
        <v>39666</v>
      </c>
      <c r="C471" s="37">
        <v>11656.07</v>
      </c>
      <c r="D471" s="38">
        <v>10702.283880000001</v>
      </c>
      <c r="E471" s="38">
        <v>6859.4140323824213</v>
      </c>
      <c r="F471" s="38">
        <v>121.44850650540589</v>
      </c>
      <c r="G471" s="25">
        <f t="shared" si="7"/>
        <v>10833793.328856058</v>
      </c>
    </row>
    <row r="472" spans="1:7">
      <c r="A472" s="1">
        <v>469</v>
      </c>
      <c r="B472" s="9">
        <v>39667</v>
      </c>
      <c r="C472" s="37">
        <v>11431.43</v>
      </c>
      <c r="D472" s="38">
        <v>10650.450999999999</v>
      </c>
      <c r="E472" s="38">
        <v>6853.3671586715873</v>
      </c>
      <c r="F472" s="38">
        <v>119.76448581074915</v>
      </c>
      <c r="G472" s="25">
        <f t="shared" si="7"/>
        <v>10705243.693131985</v>
      </c>
    </row>
    <row r="473" spans="1:7">
      <c r="A473" s="1">
        <v>470</v>
      </c>
      <c r="B473" s="9">
        <v>39668</v>
      </c>
      <c r="C473" s="37">
        <v>11734.32</v>
      </c>
      <c r="D473" s="38">
        <v>10516.75828</v>
      </c>
      <c r="E473" s="38">
        <v>6751.6158124154526</v>
      </c>
      <c r="F473" s="38">
        <v>119.51724450898529</v>
      </c>
      <c r="G473" s="25">
        <f t="shared" si="7"/>
        <v>10752592.341144498</v>
      </c>
    </row>
    <row r="474" spans="1:7">
      <c r="A474" s="1">
        <v>471</v>
      </c>
      <c r="B474" s="9">
        <v>39671</v>
      </c>
      <c r="C474" s="37">
        <v>11782.35</v>
      </c>
      <c r="D474" s="38">
        <v>10626.955680000001</v>
      </c>
      <c r="E474" s="38">
        <v>6807.3946302684863</v>
      </c>
      <c r="F474" s="38">
        <v>122.21028207461327</v>
      </c>
      <c r="G474" s="25">
        <f t="shared" si="7"/>
        <v>10861195.431778347</v>
      </c>
    </row>
    <row r="475" spans="1:7">
      <c r="A475" s="1">
        <v>472</v>
      </c>
      <c r="B475" s="9">
        <v>39672</v>
      </c>
      <c r="C475" s="37">
        <v>11642.47</v>
      </c>
      <c r="D475" s="38">
        <v>10522.744849999999</v>
      </c>
      <c r="E475" s="38">
        <v>6736.9613836290437</v>
      </c>
      <c r="F475" s="38">
        <v>121.23940581427139</v>
      </c>
      <c r="G475" s="25">
        <f t="shared" si="7"/>
        <v>10749295.333896006</v>
      </c>
    </row>
    <row r="476" spans="1:7">
      <c r="A476" s="1">
        <v>473</v>
      </c>
      <c r="B476" s="9">
        <v>39673</v>
      </c>
      <c r="C476" s="37">
        <v>11532.96</v>
      </c>
      <c r="D476" s="38">
        <v>10162.183860000001</v>
      </c>
      <c r="E476" s="38">
        <v>6546.1938745168009</v>
      </c>
      <c r="F476" s="38">
        <v>119.8734351988218</v>
      </c>
      <c r="G476" s="25">
        <f t="shared" si="7"/>
        <v>10541895.138520403</v>
      </c>
    </row>
    <row r="477" spans="1:7">
      <c r="A477" s="1">
        <v>474</v>
      </c>
      <c r="B477" s="9">
        <v>39674</v>
      </c>
      <c r="C477" s="37">
        <v>11615.93</v>
      </c>
      <c r="D477" s="38">
        <v>10308.724479999999</v>
      </c>
      <c r="E477" s="38">
        <v>6585.595113957992</v>
      </c>
      <c r="F477" s="38">
        <v>118.24055484577477</v>
      </c>
      <c r="G477" s="25">
        <f t="shared" si="7"/>
        <v>10595208.620380679</v>
      </c>
    </row>
    <row r="478" spans="1:7">
      <c r="A478" s="1">
        <v>475</v>
      </c>
      <c r="B478" s="9">
        <v>39675</v>
      </c>
      <c r="C478" s="37">
        <v>11659.9</v>
      </c>
      <c r="D478" s="38">
        <v>10163.38336</v>
      </c>
      <c r="E478" s="38">
        <v>6540.7842561315911</v>
      </c>
      <c r="F478" s="38">
        <v>117.87605251244906</v>
      </c>
      <c r="G478" s="25">
        <f t="shared" si="7"/>
        <v>10552057.493118251</v>
      </c>
    </row>
    <row r="479" spans="1:7">
      <c r="A479" s="1">
        <v>476</v>
      </c>
      <c r="B479" s="9">
        <v>39678</v>
      </c>
      <c r="C479" s="37">
        <v>11479.39</v>
      </c>
      <c r="D479" s="38">
        <v>10168.98316</v>
      </c>
      <c r="E479" s="38">
        <v>6541.449786796059</v>
      </c>
      <c r="F479" s="38">
        <v>119.39285390405369</v>
      </c>
      <c r="G479" s="25">
        <f t="shared" si="7"/>
        <v>10515294.529436257</v>
      </c>
    </row>
    <row r="480" spans="1:7">
      <c r="A480" s="1">
        <v>477</v>
      </c>
      <c r="B480" s="9">
        <v>39679</v>
      </c>
      <c r="C480" s="37">
        <v>11348.55</v>
      </c>
      <c r="D480" s="38">
        <v>9907.1168400000006</v>
      </c>
      <c r="E480" s="38">
        <v>6370.8131157182761</v>
      </c>
      <c r="F480" s="38">
        <v>117.23209404045927</v>
      </c>
      <c r="G480" s="25">
        <f t="shared" si="7"/>
        <v>10320153.362004414</v>
      </c>
    </row>
    <row r="481" spans="1:7">
      <c r="A481" s="1">
        <v>478</v>
      </c>
      <c r="B481" s="9">
        <v>39680</v>
      </c>
      <c r="C481" s="37">
        <v>11417.43</v>
      </c>
      <c r="D481" s="38">
        <v>9984.0274800000007</v>
      </c>
      <c r="E481" s="38">
        <v>6429.8527245949917</v>
      </c>
      <c r="F481" s="38">
        <v>116.93985441310282</v>
      </c>
      <c r="G481" s="25">
        <f t="shared" si="7"/>
        <v>10373526.704968587</v>
      </c>
    </row>
    <row r="482" spans="1:7">
      <c r="A482" s="1">
        <v>479</v>
      </c>
      <c r="B482" s="9">
        <v>39681</v>
      </c>
      <c r="C482" s="37">
        <v>11430.21</v>
      </c>
      <c r="D482" s="38">
        <v>10075.032220000001</v>
      </c>
      <c r="E482" s="38">
        <v>6405.6696428571422</v>
      </c>
      <c r="F482" s="38">
        <v>117.79244411601698</v>
      </c>
      <c r="G482" s="25">
        <f t="shared" si="7"/>
        <v>10417817.585685667</v>
      </c>
    </row>
    <row r="483" spans="1:7">
      <c r="A483" s="1">
        <v>480</v>
      </c>
      <c r="B483" s="9">
        <v>39682</v>
      </c>
      <c r="C483" s="37">
        <v>11628.06</v>
      </c>
      <c r="D483" s="38">
        <v>10230.505920000001</v>
      </c>
      <c r="E483" s="38">
        <v>6519.1851851851843</v>
      </c>
      <c r="F483" s="38">
        <v>115.21913945237878</v>
      </c>
      <c r="G483" s="25">
        <f t="shared" si="7"/>
        <v>10510895.856233286</v>
      </c>
    </row>
    <row r="484" spans="1:7">
      <c r="A484" s="1">
        <v>481</v>
      </c>
      <c r="B484" s="9">
        <v>39686</v>
      </c>
      <c r="C484" s="37">
        <v>11412.87</v>
      </c>
      <c r="D484" s="38">
        <v>10058.42902</v>
      </c>
      <c r="E484" s="38">
        <v>6399.8681511866398</v>
      </c>
      <c r="F484" s="38">
        <v>116.33931172614712</v>
      </c>
      <c r="G484" s="25">
        <f t="shared" si="7"/>
        <v>10379640.824283214</v>
      </c>
    </row>
    <row r="485" spans="1:7">
      <c r="A485" s="1">
        <v>482</v>
      </c>
      <c r="B485" s="9">
        <v>39687</v>
      </c>
      <c r="C485" s="37">
        <v>11502.51</v>
      </c>
      <c r="D485" s="38">
        <v>10162.30623</v>
      </c>
      <c r="E485" s="38">
        <v>6431.9458743932937</v>
      </c>
      <c r="F485" s="38">
        <v>116.22127039095962</v>
      </c>
      <c r="G485" s="25">
        <f t="shared" si="7"/>
        <v>10447714.894605385</v>
      </c>
    </row>
    <row r="486" spans="1:7">
      <c r="A486" s="1">
        <v>483</v>
      </c>
      <c r="B486" s="9">
        <v>39688</v>
      </c>
      <c r="C486" s="37">
        <v>11715.18</v>
      </c>
      <c r="D486" s="38">
        <v>10245.715039999999</v>
      </c>
      <c r="E486" s="38">
        <v>6567.7756514058583</v>
      </c>
      <c r="F486" s="38">
        <v>116.70094141303355</v>
      </c>
      <c r="G486" s="25">
        <f t="shared" si="7"/>
        <v>10581369.955548905</v>
      </c>
    </row>
    <row r="487" spans="1:7">
      <c r="A487" s="1">
        <v>484</v>
      </c>
      <c r="B487" s="9">
        <v>39689</v>
      </c>
      <c r="C487" s="37">
        <v>11543.55</v>
      </c>
      <c r="D487" s="38">
        <v>10279.467420000001</v>
      </c>
      <c r="E487" s="38">
        <v>6598.8517591638456</v>
      </c>
      <c r="F487" s="38">
        <v>120.46507556210838</v>
      </c>
      <c r="G487" s="25">
        <f t="shared" si="7"/>
        <v>10601370.525991283</v>
      </c>
    </row>
    <row r="488" spans="1:7">
      <c r="A488" s="1">
        <v>485</v>
      </c>
      <c r="B488" s="9">
        <v>39693</v>
      </c>
      <c r="C488" s="37">
        <v>11516.92</v>
      </c>
      <c r="D488" s="38">
        <v>10040.25641</v>
      </c>
      <c r="E488" s="38">
        <v>6590.7797299259473</v>
      </c>
      <c r="F488" s="38">
        <v>115.85327085630281</v>
      </c>
      <c r="G488" s="25">
        <f t="shared" si="7"/>
        <v>10433896.626804721</v>
      </c>
    </row>
    <row r="489" spans="1:7">
      <c r="A489" s="1">
        <v>486</v>
      </c>
      <c r="B489" s="9">
        <v>39694</v>
      </c>
      <c r="C489" s="37">
        <v>11532.88</v>
      </c>
      <c r="D489" s="38">
        <v>9769.6670799999993</v>
      </c>
      <c r="E489" s="38">
        <v>6430.2053209947953</v>
      </c>
      <c r="F489" s="38">
        <v>117.03024993083095</v>
      </c>
      <c r="G489" s="25">
        <f t="shared" si="7"/>
        <v>10350095.47499324</v>
      </c>
    </row>
    <row r="490" spans="1:7">
      <c r="A490" s="1">
        <v>487</v>
      </c>
      <c r="B490" s="9">
        <v>39695</v>
      </c>
      <c r="C490" s="37">
        <v>11188.23</v>
      </c>
      <c r="D490" s="38">
        <v>9503.2498300000007</v>
      </c>
      <c r="E490" s="38">
        <v>6189.2579810181196</v>
      </c>
      <c r="F490" s="38">
        <v>116.17781478397632</v>
      </c>
      <c r="G490" s="25">
        <f t="shared" si="7"/>
        <v>10087791.638809521</v>
      </c>
    </row>
    <row r="491" spans="1:7">
      <c r="A491" s="1">
        <v>488</v>
      </c>
      <c r="B491" s="9">
        <v>39696</v>
      </c>
      <c r="C491" s="37">
        <v>11220.96</v>
      </c>
      <c r="D491" s="38">
        <v>9259.268759999999</v>
      </c>
      <c r="E491" s="38">
        <v>5986.676176890157</v>
      </c>
      <c r="F491" s="38">
        <v>114.72268670737435</v>
      </c>
      <c r="G491" s="25">
        <f t="shared" si="7"/>
        <v>9964957.2627233416</v>
      </c>
    </row>
    <row r="492" spans="1:7">
      <c r="A492" s="1">
        <v>489</v>
      </c>
      <c r="B492" s="9">
        <v>39699</v>
      </c>
      <c r="C492" s="37">
        <v>11510.74</v>
      </c>
      <c r="D492" s="38">
        <v>9608.9070900000006</v>
      </c>
      <c r="E492" s="38">
        <v>6165.9042477624671</v>
      </c>
      <c r="F492" s="38">
        <v>116.92562748911735</v>
      </c>
      <c r="G492" s="25">
        <f t="shared" si="7"/>
        <v>10247341.52432665</v>
      </c>
    </row>
    <row r="493" spans="1:7">
      <c r="A493" s="1">
        <v>490</v>
      </c>
      <c r="B493" s="9">
        <v>39700</v>
      </c>
      <c r="C493" s="37">
        <v>11230.73</v>
      </c>
      <c r="D493" s="38">
        <v>9553.6599600000009</v>
      </c>
      <c r="E493" s="38">
        <v>6068.3250883392229</v>
      </c>
      <c r="F493" s="38">
        <v>115.39782244556115</v>
      </c>
      <c r="G493" s="25">
        <f t="shared" si="7"/>
        <v>10085637.585993951</v>
      </c>
    </row>
    <row r="494" spans="1:7">
      <c r="A494" s="1">
        <v>491</v>
      </c>
      <c r="B494" s="9">
        <v>39701</v>
      </c>
      <c r="C494" s="37">
        <v>11268.92</v>
      </c>
      <c r="D494" s="38">
        <v>9418.7542400000002</v>
      </c>
      <c r="E494" s="38">
        <v>6021.4506606691029</v>
      </c>
      <c r="F494" s="38">
        <v>114.78830420230568</v>
      </c>
      <c r="G494" s="25">
        <f t="shared" si="7"/>
        <v>10038973.729654647</v>
      </c>
    </row>
    <row r="495" spans="1:7">
      <c r="A495" s="1">
        <v>492</v>
      </c>
      <c r="B495" s="9">
        <v>39702</v>
      </c>
      <c r="C495" s="37">
        <v>11433.71</v>
      </c>
      <c r="D495" s="38">
        <v>9310.9228799999983</v>
      </c>
      <c r="E495" s="38">
        <v>5916.276803118908</v>
      </c>
      <c r="F495" s="38">
        <v>113.6171610965077</v>
      </c>
      <c r="G495" s="25">
        <f t="shared" ref="G495:G500" si="8">C495/$C$503*H$2+D495/$D$503*I$2+E495/$E$503*J$2+F495/$F$503*K$2</f>
        <v>10027356.456452304</v>
      </c>
    </row>
    <row r="496" spans="1:7">
      <c r="A496" s="1">
        <v>493</v>
      </c>
      <c r="B496" s="9">
        <v>39703</v>
      </c>
      <c r="C496" s="37">
        <v>11421.99</v>
      </c>
      <c r="D496" s="38">
        <v>9673.6845300000004</v>
      </c>
      <c r="E496" s="38">
        <v>6142.1321236178046</v>
      </c>
      <c r="F496" s="38">
        <v>113.84807530990773</v>
      </c>
      <c r="G496" s="25">
        <f t="shared" si="8"/>
        <v>10176986.754907552</v>
      </c>
    </row>
    <row r="497" spans="1:7">
      <c r="A497" s="1">
        <v>494</v>
      </c>
      <c r="B497" s="9">
        <v>39707</v>
      </c>
      <c r="C497" s="37">
        <v>11059.02</v>
      </c>
      <c r="D497" s="38">
        <v>8916.9220800000003</v>
      </c>
      <c r="E497" s="38">
        <v>5770.7186220528019</v>
      </c>
      <c r="F497" s="38">
        <v>110.68471732290971</v>
      </c>
      <c r="G497" s="25">
        <f t="shared" si="8"/>
        <v>9692792.5760372765</v>
      </c>
    </row>
    <row r="498" spans="1:7">
      <c r="A498" s="1">
        <v>495</v>
      </c>
      <c r="B498" s="9">
        <v>39708</v>
      </c>
      <c r="C498" s="37">
        <v>10609.66</v>
      </c>
      <c r="D498" s="38">
        <v>8820.2142000000003</v>
      </c>
      <c r="E498" s="38">
        <v>5677.1359636673287</v>
      </c>
      <c r="F498" s="38">
        <v>112.16983293556086</v>
      </c>
      <c r="G498" s="25">
        <f t="shared" si="8"/>
        <v>9510728.1115229968</v>
      </c>
    </row>
    <row r="499" spans="1:7">
      <c r="A499" s="1">
        <v>496</v>
      </c>
      <c r="B499" s="9">
        <v>39709</v>
      </c>
      <c r="C499" s="37">
        <v>11019.69</v>
      </c>
      <c r="D499" s="38">
        <v>8878.1839999999993</v>
      </c>
      <c r="E499" s="38">
        <v>5689.8504887866593</v>
      </c>
      <c r="F499" s="38">
        <v>109.54710144927536</v>
      </c>
      <c r="G499" s="25">
        <f t="shared" si="8"/>
        <v>9633204.6502659395</v>
      </c>
    </row>
    <row r="500" spans="1:7">
      <c r="A500" s="1">
        <v>497</v>
      </c>
      <c r="B500" s="9">
        <v>39710</v>
      </c>
      <c r="C500" s="37">
        <v>11388.44</v>
      </c>
      <c r="D500" s="38">
        <v>9734.0195100000001</v>
      </c>
      <c r="E500" s="38">
        <v>6230.0057620282332</v>
      </c>
      <c r="F500" s="38">
        <v>111.6185393258427</v>
      </c>
      <c r="G500" s="25">
        <f t="shared" si="8"/>
        <v>10158315.285959179</v>
      </c>
    </row>
    <row r="501" spans="1:7">
      <c r="A501" s="1">
        <v>498</v>
      </c>
      <c r="B501" s="9">
        <v>39713</v>
      </c>
      <c r="C501" s="37">
        <v>11015.69</v>
      </c>
      <c r="D501" s="38">
        <v>9656.2608300000011</v>
      </c>
      <c r="E501" s="38">
        <v>6181.9525761124123</v>
      </c>
      <c r="F501" s="38">
        <v>113.22897546356995</v>
      </c>
      <c r="G501" s="25">
        <f t="shared" ref="G501:G502" si="9">C501/$C$503*H$2+D501/$D$503*I$2+E501/$E$503*J$2+F501/$F$503*K$2</f>
        <v>10019539.488131296</v>
      </c>
    </row>
    <row r="502" spans="1:7" ht="15" thickBot="1">
      <c r="A502" s="1">
        <v>499</v>
      </c>
      <c r="B502" s="9">
        <v>39715</v>
      </c>
      <c r="C502" s="37">
        <v>10825.17</v>
      </c>
      <c r="D502" s="38">
        <v>9438.5798800000011</v>
      </c>
      <c r="E502" s="38">
        <v>6033.9345945153254</v>
      </c>
      <c r="F502" s="38">
        <v>114.26039800056589</v>
      </c>
      <c r="G502" s="25">
        <f t="shared" si="9"/>
        <v>9876783.8363053352</v>
      </c>
    </row>
    <row r="503" spans="1:7" ht="15" thickBot="1">
      <c r="A503" s="39">
        <v>500</v>
      </c>
      <c r="B503" s="40">
        <v>39716</v>
      </c>
      <c r="C503" s="41">
        <v>11022.06</v>
      </c>
      <c r="D503" s="42">
        <v>9599.8984</v>
      </c>
      <c r="E503" s="42">
        <v>6200.3960686519004</v>
      </c>
      <c r="F503" s="43">
        <v>112.82211990227401</v>
      </c>
      <c r="G503" s="25">
        <f>C503/$C$503*H$2+D503/$D$503*I$2+E503/$E$503*J$2+F503/$F$503*K$2</f>
        <v>10000000</v>
      </c>
    </row>
    <row r="504" spans="1:7">
      <c r="A504" s="1">
        <v>501</v>
      </c>
      <c r="B504" s="9">
        <v>39717</v>
      </c>
      <c r="C504" s="27">
        <f ca="1">C503*EXP(('VaR 2 Sim MC'!I$1-'VaR 2 Sim MC'!I$2/2)*1+'VaR 2 Sim MC'!I$3*_xlfn.NORM.S.INV(RAND())*SQRT(1))</f>
        <v>11071.987946973792</v>
      </c>
      <c r="D504" s="27">
        <f ca="1">D503*EXP(('VaR 2 Sim MC'!J$1-'VaR 2 Sim MC'!J$2/2)*1+'VaR 2 Sim MC'!J$3*_xlfn.NORM.S.INV(RAND())*SQRT(1))</f>
        <v>9325.8879372211595</v>
      </c>
      <c r="E504" s="27">
        <f ca="1">E503*EXP(('VaR 2 Sim MC'!K$1-'VaR 2 Sim MC'!K$2/2)*1+'VaR 2 Sim MC'!K$3*_xlfn.NORM.S.INV(RAND())*SQRT(1))</f>
        <v>6216.0064489936276</v>
      </c>
      <c r="F504" s="27">
        <f ca="1">F503*EXP(('VaR 2 Sim MC'!L$1-'VaR 2 Sim MC'!L$2/2)*1+'VaR 2 Sim MC'!L$3*_xlfn.NORM.S.INV(RAND())*SQRT(1))</f>
        <v>112.82142175906294</v>
      </c>
      <c r="G504" s="25">
        <f ca="1">C504/$C$503*H$2+D504/$D$503*I$2+E504/$E$503*J$2+F504/$F$503*K$2</f>
        <v>9934995.3702790402</v>
      </c>
    </row>
    <row r="505" spans="1:7">
      <c r="A505" s="1">
        <v>502</v>
      </c>
      <c r="B505" s="9">
        <v>39718</v>
      </c>
      <c r="C505" s="27">
        <f ca="1">C504*EXP(('VaR 2 Sim MC'!I$1-'VaR 2 Sim MC'!I$2/2)*1+'VaR 2 Sim MC'!I$3*_xlfn.NORM.S.INV(RAND())*SQRT(1))</f>
        <v>11158.781638821109</v>
      </c>
      <c r="D505" s="27">
        <f ca="1">D504*EXP(('VaR 2 Sim MC'!J$1-'VaR 2 Sim MC'!J$2/2)*1+'VaR 2 Sim MC'!J$3*_xlfn.NORM.S.INV(RAND())*SQRT(1))</f>
        <v>9333.1761581363335</v>
      </c>
      <c r="E505" s="27">
        <f ca="1">E504*EXP(('VaR 2 Sim MC'!K$1-'VaR 2 Sim MC'!K$2/2)*1+'VaR 2 Sim MC'!K$3*_xlfn.NORM.S.INV(RAND())*SQRT(1))</f>
        <v>6127.5736153641683</v>
      </c>
      <c r="F505" s="27">
        <f ca="1">F504*EXP(('VaR 2 Sim MC'!L$1-'VaR 2 Sim MC'!L$2/2)*1+'VaR 2 Sim MC'!L$3*_xlfn.NORM.S.INV(RAND())*SQRT(1))</f>
        <v>112.49965247599012</v>
      </c>
      <c r="G505" s="25">
        <f t="shared" ref="G505:G568" ca="1" si="10">C505/$C$503*H$2+D505/$D$503*I$2+E505/$E$503*J$2+F505/$F$503*K$2</f>
        <v>9948804.6780191343</v>
      </c>
    </row>
    <row r="506" spans="1:7">
      <c r="A506" s="1">
        <v>503</v>
      </c>
      <c r="B506" s="9">
        <v>39719</v>
      </c>
      <c r="C506" s="27">
        <f ca="1">C505*EXP(('VaR 2 Sim MC'!I$1-'VaR 2 Sim MC'!I$2/2)*1+'VaR 2 Sim MC'!I$3*_xlfn.NORM.S.INV(RAND())*SQRT(1))</f>
        <v>11136.628110096464</v>
      </c>
      <c r="D506" s="27">
        <f ca="1">D505*EXP(('VaR 2 Sim MC'!J$1-'VaR 2 Sim MC'!J$2/2)*1+'VaR 2 Sim MC'!J$3*_xlfn.NORM.S.INV(RAND())*SQRT(1))</f>
        <v>9370.9610683589126</v>
      </c>
      <c r="E506" s="27">
        <f ca="1">E505*EXP(('VaR 2 Sim MC'!K$1-'VaR 2 Sim MC'!K$2/2)*1+'VaR 2 Sim MC'!K$3*_xlfn.NORM.S.INV(RAND())*SQRT(1))</f>
        <v>6144.9263418412957</v>
      </c>
      <c r="F506" s="27">
        <f ca="1">F505*EXP(('VaR 2 Sim MC'!L$1-'VaR 2 Sim MC'!L$2/2)*1+'VaR 2 Sim MC'!L$3*_xlfn.NORM.S.INV(RAND())*SQRT(1))</f>
        <v>112.78983065215543</v>
      </c>
      <c r="G506" s="25">
        <f t="shared" ca="1" si="10"/>
        <v>9960515.5245293546</v>
      </c>
    </row>
    <row r="507" spans="1:7">
      <c r="A507" s="1">
        <v>504</v>
      </c>
      <c r="B507" s="9">
        <v>39720</v>
      </c>
      <c r="C507" s="27">
        <f ca="1">C506*EXP(('VaR 2 Sim MC'!I$1-'VaR 2 Sim MC'!I$2/2)*1+'VaR 2 Sim MC'!I$3*_xlfn.NORM.S.INV(RAND())*SQRT(1))</f>
        <v>11008.882062546551</v>
      </c>
      <c r="D507" s="27">
        <f ca="1">D506*EXP(('VaR 2 Sim MC'!J$1-'VaR 2 Sim MC'!J$2/2)*1+'VaR 2 Sim MC'!J$3*_xlfn.NORM.S.INV(RAND())*SQRT(1))</f>
        <v>9236.8120622950773</v>
      </c>
      <c r="E507" s="27">
        <f ca="1">E506*EXP(('VaR 2 Sim MC'!K$1-'VaR 2 Sim MC'!K$2/2)*1+'VaR 2 Sim MC'!K$3*_xlfn.NORM.S.INV(RAND())*SQRT(1))</f>
        <v>6111.5719768487907</v>
      </c>
      <c r="F507" s="27">
        <f ca="1">F506*EXP(('VaR 2 Sim MC'!L$1-'VaR 2 Sim MC'!L$2/2)*1+'VaR 2 Sim MC'!L$3*_xlfn.NORM.S.INV(RAND())*SQRT(1))</f>
        <v>112.51278829238379</v>
      </c>
      <c r="G507" s="25">
        <f t="shared" ca="1" si="10"/>
        <v>9861942.8532493189</v>
      </c>
    </row>
    <row r="508" spans="1:7">
      <c r="A508" s="1">
        <v>505</v>
      </c>
      <c r="B508" s="9">
        <v>39721</v>
      </c>
      <c r="C508" s="27">
        <f ca="1">C507*EXP(('VaR 2 Sim MC'!I$1-'VaR 2 Sim MC'!I$2/2)*1+'VaR 2 Sim MC'!I$3*_xlfn.NORM.S.INV(RAND())*SQRT(1))</f>
        <v>11045.812812831035</v>
      </c>
      <c r="D508" s="27">
        <f ca="1">D507*EXP(('VaR 2 Sim MC'!J$1-'VaR 2 Sim MC'!J$2/2)*1+'VaR 2 Sim MC'!J$3*_xlfn.NORM.S.INV(RAND())*SQRT(1))</f>
        <v>9017.8045078036703</v>
      </c>
      <c r="E508" s="27">
        <f ca="1">E507*EXP(('VaR 2 Sim MC'!K$1-'VaR 2 Sim MC'!K$2/2)*1+'VaR 2 Sim MC'!K$3*_xlfn.NORM.S.INV(RAND())*SQRT(1))</f>
        <v>6146.9314664837739</v>
      </c>
      <c r="F508" s="27">
        <f ca="1">F507*EXP(('VaR 2 Sim MC'!L$1-'VaR 2 Sim MC'!L$2/2)*1+'VaR 2 Sim MC'!L$3*_xlfn.NORM.S.INV(RAND())*SQRT(1))</f>
        <v>113.50930580121698</v>
      </c>
      <c r="G508" s="25">
        <f t="shared" ca="1" si="10"/>
        <v>9830272.8190114498</v>
      </c>
    </row>
    <row r="509" spans="1:7">
      <c r="A509" s="1">
        <v>506</v>
      </c>
      <c r="B509" s="9">
        <v>39722</v>
      </c>
      <c r="C509" s="27">
        <f ca="1">C508*EXP(('VaR 2 Sim MC'!I$1-'VaR 2 Sim MC'!I$2/2)*1+'VaR 2 Sim MC'!I$3*_xlfn.NORM.S.INV(RAND())*SQRT(1))</f>
        <v>11083.738143671391</v>
      </c>
      <c r="D509" s="27">
        <f ca="1">D508*EXP(('VaR 2 Sim MC'!J$1-'VaR 2 Sim MC'!J$2/2)*1+'VaR 2 Sim MC'!J$3*_xlfn.NORM.S.INV(RAND())*SQRT(1))</f>
        <v>9155.1780819183132</v>
      </c>
      <c r="E509" s="27">
        <f ca="1">E508*EXP(('VaR 2 Sim MC'!K$1-'VaR 2 Sim MC'!K$2/2)*1+'VaR 2 Sim MC'!K$3*_xlfn.NORM.S.INV(RAND())*SQRT(1))</f>
        <v>6100.464552976192</v>
      </c>
      <c r="F509" s="27">
        <f ca="1">F508*EXP(('VaR 2 Sim MC'!L$1-'VaR 2 Sim MC'!L$2/2)*1+'VaR 2 Sim MC'!L$3*_xlfn.NORM.S.INV(RAND())*SQRT(1))</f>
        <v>110.88157955741706</v>
      </c>
      <c r="G509" s="25">
        <f t="shared" ca="1" si="10"/>
        <v>9832890.0017662123</v>
      </c>
    </row>
    <row r="510" spans="1:7">
      <c r="A510" s="1">
        <v>507</v>
      </c>
      <c r="B510" s="9">
        <v>39723</v>
      </c>
      <c r="C510" s="27">
        <f ca="1">C509*EXP(('VaR 2 Sim MC'!I$1-'VaR 2 Sim MC'!I$2/2)*1+'VaR 2 Sim MC'!I$3*_xlfn.NORM.S.INV(RAND())*SQRT(1))</f>
        <v>11140.818389682323</v>
      </c>
      <c r="D510" s="27">
        <f ca="1">D509*EXP(('VaR 2 Sim MC'!J$1-'VaR 2 Sim MC'!J$2/2)*1+'VaR 2 Sim MC'!J$3*_xlfn.NORM.S.INV(RAND())*SQRT(1))</f>
        <v>8866.8762825696031</v>
      </c>
      <c r="E510" s="27">
        <f ca="1">E509*EXP(('VaR 2 Sim MC'!K$1-'VaR 2 Sim MC'!K$2/2)*1+'VaR 2 Sim MC'!K$3*_xlfn.NORM.S.INV(RAND())*SQRT(1))</f>
        <v>6040.7574378186537</v>
      </c>
      <c r="F510" s="27">
        <f ca="1">F509*EXP(('VaR 2 Sim MC'!L$1-'VaR 2 Sim MC'!L$2/2)*1+'VaR 2 Sim MC'!L$3*_xlfn.NORM.S.INV(RAND())*SQRT(1))</f>
        <v>110.74354848834507</v>
      </c>
      <c r="G510" s="25">
        <f t="shared" ca="1" si="10"/>
        <v>9751433.2019860502</v>
      </c>
    </row>
    <row r="511" spans="1:7">
      <c r="A511" s="1">
        <v>508</v>
      </c>
      <c r="B511" s="9">
        <v>39724</v>
      </c>
      <c r="C511" s="27">
        <f ca="1">C510*EXP(('VaR 2 Sim MC'!I$1-'VaR 2 Sim MC'!I$2/2)*1+'VaR 2 Sim MC'!I$3*_xlfn.NORM.S.INV(RAND())*SQRT(1))</f>
        <v>11148.124979724973</v>
      </c>
      <c r="D511" s="27">
        <f ca="1">D510*EXP(('VaR 2 Sim MC'!J$1-'VaR 2 Sim MC'!J$2/2)*1+'VaR 2 Sim MC'!J$3*_xlfn.NORM.S.INV(RAND())*SQRT(1))</f>
        <v>9136.050237235233</v>
      </c>
      <c r="E511" s="27">
        <f ca="1">E510*EXP(('VaR 2 Sim MC'!K$1-'VaR 2 Sim MC'!K$2/2)*1+'VaR 2 Sim MC'!K$3*_xlfn.NORM.S.INV(RAND())*SQRT(1))</f>
        <v>5983.3824251916012</v>
      </c>
      <c r="F511" s="27">
        <f ca="1">F510*EXP(('VaR 2 Sim MC'!L$1-'VaR 2 Sim MC'!L$2/2)*1+'VaR 2 Sim MC'!L$3*_xlfn.NORM.S.INV(RAND())*SQRT(1))</f>
        <v>109.9573074417019</v>
      </c>
      <c r="G511" s="25">
        <f t="shared" ca="1" si="10"/>
        <v>9815011.4230951797</v>
      </c>
    </row>
    <row r="512" spans="1:7">
      <c r="A512" s="1">
        <v>509</v>
      </c>
      <c r="B512" s="9">
        <v>39725</v>
      </c>
      <c r="C512" s="27">
        <f ca="1">C511*EXP(('VaR 2 Sim MC'!I$1-'VaR 2 Sim MC'!I$2/2)*1+'VaR 2 Sim MC'!I$3*_xlfn.NORM.S.INV(RAND())*SQRT(1))</f>
        <v>11237.281360889678</v>
      </c>
      <c r="D512" s="27">
        <f ca="1">D511*EXP(('VaR 2 Sim MC'!J$1-'VaR 2 Sim MC'!J$2/2)*1+'VaR 2 Sim MC'!J$3*_xlfn.NORM.S.INV(RAND())*SQRT(1))</f>
        <v>9386.9723633408339</v>
      </c>
      <c r="E512" s="27">
        <f ca="1">E511*EXP(('VaR 2 Sim MC'!K$1-'VaR 2 Sim MC'!K$2/2)*1+'VaR 2 Sim MC'!K$3*_xlfn.NORM.S.INV(RAND())*SQRT(1))</f>
        <v>5946.9617203753287</v>
      </c>
      <c r="F512" s="27">
        <f ca="1">F511*EXP(('VaR 2 Sim MC'!L$1-'VaR 2 Sim MC'!L$2/2)*1+'VaR 2 Sim MC'!L$3*_xlfn.NORM.S.INV(RAND())*SQRT(1))</f>
        <v>112.66911538298048</v>
      </c>
      <c r="G512" s="25">
        <f t="shared" ca="1" si="10"/>
        <v>9967979.3741117101</v>
      </c>
    </row>
    <row r="513" spans="1:7">
      <c r="A513" s="1">
        <v>510</v>
      </c>
      <c r="B513" s="9">
        <v>39726</v>
      </c>
      <c r="C513" s="27">
        <f ca="1">C512*EXP(('VaR 2 Sim MC'!I$1-'VaR 2 Sim MC'!I$2/2)*1+'VaR 2 Sim MC'!I$3*_xlfn.NORM.S.INV(RAND())*SQRT(1))</f>
        <v>11375.384176379615</v>
      </c>
      <c r="D513" s="27">
        <f ca="1">D512*EXP(('VaR 2 Sim MC'!J$1-'VaR 2 Sim MC'!J$2/2)*1+'VaR 2 Sim MC'!J$3*_xlfn.NORM.S.INV(RAND())*SQRT(1))</f>
        <v>9299.2082532105724</v>
      </c>
      <c r="E513" s="27">
        <f ca="1">E512*EXP(('VaR 2 Sim MC'!K$1-'VaR 2 Sim MC'!K$2/2)*1+'VaR 2 Sim MC'!K$3*_xlfn.NORM.S.INV(RAND())*SQRT(1))</f>
        <v>6006.0614956551099</v>
      </c>
      <c r="F513" s="27">
        <f ca="1">F512*EXP(('VaR 2 Sim MC'!L$1-'VaR 2 Sim MC'!L$2/2)*1+'VaR 2 Sim MC'!L$3*_xlfn.NORM.S.INV(RAND())*SQRT(1))</f>
        <v>113.23501151704036</v>
      </c>
      <c r="G513" s="25">
        <f t="shared" ca="1" si="10"/>
        <v>10010234.759427158</v>
      </c>
    </row>
    <row r="514" spans="1:7">
      <c r="A514" s="1">
        <v>511</v>
      </c>
      <c r="B514" s="9">
        <v>39727</v>
      </c>
      <c r="C514" s="27">
        <f ca="1">C513*EXP(('VaR 2 Sim MC'!I$1-'VaR 2 Sim MC'!I$2/2)*1+'VaR 2 Sim MC'!I$3*_xlfn.NORM.S.INV(RAND())*SQRT(1))</f>
        <v>11627.595495854008</v>
      </c>
      <c r="D514" s="27">
        <f ca="1">D513*EXP(('VaR 2 Sim MC'!J$1-'VaR 2 Sim MC'!J$2/2)*1+'VaR 2 Sim MC'!J$3*_xlfn.NORM.S.INV(RAND())*SQRT(1))</f>
        <v>9322.8515434966012</v>
      </c>
      <c r="E514" s="27">
        <f ca="1">E513*EXP(('VaR 2 Sim MC'!K$1-'VaR 2 Sim MC'!K$2/2)*1+'VaR 2 Sim MC'!K$3*_xlfn.NORM.S.INV(RAND())*SQRT(1))</f>
        <v>6118.3381382482503</v>
      </c>
      <c r="F514" s="27">
        <f ca="1">F513*EXP(('VaR 2 Sim MC'!L$1-'VaR 2 Sim MC'!L$2/2)*1+'VaR 2 Sim MC'!L$3*_xlfn.NORM.S.INV(RAND())*SQRT(1))</f>
        <v>114.52498460173697</v>
      </c>
      <c r="G514" s="25">
        <f t="shared" ca="1" si="10"/>
        <v>10150128.372443853</v>
      </c>
    </row>
    <row r="515" spans="1:7">
      <c r="A515" s="1">
        <v>512</v>
      </c>
      <c r="B515" s="9">
        <v>39728</v>
      </c>
      <c r="C515" s="27">
        <f ca="1">C514*EXP(('VaR 2 Sim MC'!I$1-'VaR 2 Sim MC'!I$2/2)*1+'VaR 2 Sim MC'!I$3*_xlfn.NORM.S.INV(RAND())*SQRT(1))</f>
        <v>11565.785691020446</v>
      </c>
      <c r="D515" s="27">
        <f ca="1">D514*EXP(('VaR 2 Sim MC'!J$1-'VaR 2 Sim MC'!J$2/2)*1+'VaR 2 Sim MC'!J$3*_xlfn.NORM.S.INV(RAND())*SQRT(1))</f>
        <v>9202.6320039475104</v>
      </c>
      <c r="E515" s="27">
        <f ca="1">E514*EXP(('VaR 2 Sim MC'!K$1-'VaR 2 Sim MC'!K$2/2)*1+'VaR 2 Sim MC'!K$3*_xlfn.NORM.S.INV(RAND())*SQRT(1))</f>
        <v>6107.8783979013788</v>
      </c>
      <c r="F515" s="27">
        <f ca="1">F514*EXP(('VaR 2 Sim MC'!L$1-'VaR 2 Sim MC'!L$2/2)*1+'VaR 2 Sim MC'!L$3*_xlfn.NORM.S.INV(RAND())*SQRT(1))</f>
        <v>112.32117458395494</v>
      </c>
      <c r="G515" s="25">
        <f t="shared" ca="1" si="10"/>
        <v>10049374.129170472</v>
      </c>
    </row>
    <row r="516" spans="1:7">
      <c r="A516" s="1">
        <v>513</v>
      </c>
      <c r="B516" s="9">
        <v>39729</v>
      </c>
      <c r="C516" s="27">
        <f ca="1">C515*EXP(('VaR 2 Sim MC'!I$1-'VaR 2 Sim MC'!I$2/2)*1+'VaR 2 Sim MC'!I$3*_xlfn.NORM.S.INV(RAND())*SQRT(1))</f>
        <v>11530.744131468873</v>
      </c>
      <c r="D516" s="27">
        <f ca="1">D515*EXP(('VaR 2 Sim MC'!J$1-'VaR 2 Sim MC'!J$2/2)*1+'VaR 2 Sim MC'!J$3*_xlfn.NORM.S.INV(RAND())*SQRT(1))</f>
        <v>9288.9791934482328</v>
      </c>
      <c r="E516" s="27">
        <f ca="1">E515*EXP(('VaR 2 Sim MC'!K$1-'VaR 2 Sim MC'!K$2/2)*1+'VaR 2 Sim MC'!K$3*_xlfn.NORM.S.INV(RAND())*SQRT(1))</f>
        <v>6030.9157009623805</v>
      </c>
      <c r="F516" s="27">
        <f ca="1">F515*EXP(('VaR 2 Sim MC'!L$1-'VaR 2 Sim MC'!L$2/2)*1+'VaR 2 Sim MC'!L$3*_xlfn.NORM.S.INV(RAND())*SQRT(1))</f>
        <v>114.31201704400442</v>
      </c>
      <c r="G516" s="25">
        <f t="shared" ca="1" si="10"/>
        <v>10086520.18855875</v>
      </c>
    </row>
    <row r="517" spans="1:7">
      <c r="A517" s="1">
        <v>514</v>
      </c>
      <c r="B517" s="9">
        <v>39730</v>
      </c>
      <c r="C517" s="27">
        <f ca="1">C516*EXP(('VaR 2 Sim MC'!I$1-'VaR 2 Sim MC'!I$2/2)*1+'VaR 2 Sim MC'!I$3*_xlfn.NORM.S.INV(RAND())*SQRT(1))</f>
        <v>11236.985829430709</v>
      </c>
      <c r="D517" s="27">
        <f ca="1">D516*EXP(('VaR 2 Sim MC'!J$1-'VaR 2 Sim MC'!J$2/2)*1+'VaR 2 Sim MC'!J$3*_xlfn.NORM.S.INV(RAND())*SQRT(1))</f>
        <v>9301.0144461468553</v>
      </c>
      <c r="E517" s="27">
        <f ca="1">E516*EXP(('VaR 2 Sim MC'!K$1-'VaR 2 Sim MC'!K$2/2)*1+'VaR 2 Sim MC'!K$3*_xlfn.NORM.S.INV(RAND())*SQRT(1))</f>
        <v>6083.6186315008781</v>
      </c>
      <c r="F517" s="27">
        <f ca="1">F516*EXP(('VaR 2 Sim MC'!L$1-'VaR 2 Sim MC'!L$2/2)*1+'VaR 2 Sim MC'!L$3*_xlfn.NORM.S.INV(RAND())*SQRT(1))</f>
        <v>114.56566789055221</v>
      </c>
      <c r="G517" s="25">
        <f t="shared" ca="1" si="10"/>
        <v>9996670.2437527254</v>
      </c>
    </row>
    <row r="518" spans="1:7">
      <c r="A518" s="1">
        <v>515</v>
      </c>
      <c r="B518" s="9">
        <v>39731</v>
      </c>
      <c r="C518" s="27">
        <f ca="1">C517*EXP(('VaR 2 Sim MC'!I$1-'VaR 2 Sim MC'!I$2/2)*1+'VaR 2 Sim MC'!I$3*_xlfn.NORM.S.INV(RAND())*SQRT(1))</f>
        <v>11244.24062452822</v>
      </c>
      <c r="D518" s="27">
        <f ca="1">D517*EXP(('VaR 2 Sim MC'!J$1-'VaR 2 Sim MC'!J$2/2)*1+'VaR 2 Sim MC'!J$3*_xlfn.NORM.S.INV(RAND())*SQRT(1))</f>
        <v>9333.3226064411738</v>
      </c>
      <c r="E518" s="27">
        <f ca="1">E517*EXP(('VaR 2 Sim MC'!K$1-'VaR 2 Sim MC'!K$2/2)*1+'VaR 2 Sim MC'!K$3*_xlfn.NORM.S.INV(RAND())*SQRT(1))</f>
        <v>6096.6529670098553</v>
      </c>
      <c r="F518" s="27">
        <f ca="1">F517*EXP(('VaR 2 Sim MC'!L$1-'VaR 2 Sim MC'!L$2/2)*1+'VaR 2 Sim MC'!L$3*_xlfn.NORM.S.INV(RAND())*SQRT(1))</f>
        <v>116.34644330614</v>
      </c>
      <c r="G518" s="25">
        <f t="shared" ca="1" si="10"/>
        <v>10043069.497665754</v>
      </c>
    </row>
    <row r="519" spans="1:7">
      <c r="A519" s="1">
        <v>516</v>
      </c>
      <c r="B519" s="9">
        <v>39732</v>
      </c>
      <c r="C519" s="27">
        <f ca="1">C518*EXP(('VaR 2 Sim MC'!I$1-'VaR 2 Sim MC'!I$2/2)*1+'VaR 2 Sim MC'!I$3*_xlfn.NORM.S.INV(RAND())*SQRT(1))</f>
        <v>11118.517741599437</v>
      </c>
      <c r="D519" s="27">
        <f ca="1">D518*EXP(('VaR 2 Sim MC'!J$1-'VaR 2 Sim MC'!J$2/2)*1+'VaR 2 Sim MC'!J$3*_xlfn.NORM.S.INV(RAND())*SQRT(1))</f>
        <v>9523.5859305831764</v>
      </c>
      <c r="E519" s="27">
        <f ca="1">E518*EXP(('VaR 2 Sim MC'!K$1-'VaR 2 Sim MC'!K$2/2)*1+'VaR 2 Sim MC'!K$3*_xlfn.NORM.S.INV(RAND())*SQRT(1))</f>
        <v>6206.3998849767067</v>
      </c>
      <c r="F519" s="27">
        <f ca="1">F518*EXP(('VaR 2 Sim MC'!L$1-'VaR 2 Sim MC'!L$2/2)*1+'VaR 2 Sim MC'!L$3*_xlfn.NORM.S.INV(RAND())*SQRT(1))</f>
        <v>115.41570315020994</v>
      </c>
      <c r="G519" s="25">
        <f t="shared" ca="1" si="10"/>
        <v>10058102.239972726</v>
      </c>
    </row>
    <row r="520" spans="1:7">
      <c r="A520" s="1">
        <v>517</v>
      </c>
      <c r="B520" s="9">
        <v>39733</v>
      </c>
      <c r="C520" s="27">
        <f ca="1">C519*EXP(('VaR 2 Sim MC'!I$1-'VaR 2 Sim MC'!I$2/2)*1+'VaR 2 Sim MC'!I$3*_xlfn.NORM.S.INV(RAND())*SQRT(1))</f>
        <v>11238.516649250028</v>
      </c>
      <c r="D520" s="27">
        <f ca="1">D519*EXP(('VaR 2 Sim MC'!J$1-'VaR 2 Sim MC'!J$2/2)*1+'VaR 2 Sim MC'!J$3*_xlfn.NORM.S.INV(RAND())*SQRT(1))</f>
        <v>9553.1399702825747</v>
      </c>
      <c r="E520" s="27">
        <f ca="1">E519*EXP(('VaR 2 Sim MC'!K$1-'VaR 2 Sim MC'!K$2/2)*1+'VaR 2 Sim MC'!K$3*_xlfn.NORM.S.INV(RAND())*SQRT(1))</f>
        <v>6249.4184440109611</v>
      </c>
      <c r="F520" s="27">
        <f ca="1">F519*EXP(('VaR 2 Sim MC'!L$1-'VaR 2 Sim MC'!L$2/2)*1+'VaR 2 Sim MC'!L$3*_xlfn.NORM.S.INV(RAND())*SQRT(1))</f>
        <v>116.21526873968892</v>
      </c>
      <c r="G520" s="25">
        <f t="shared" ca="1" si="10"/>
        <v>10131998.556155086</v>
      </c>
    </row>
    <row r="521" spans="1:7">
      <c r="A521" s="1">
        <v>518</v>
      </c>
      <c r="B521" s="9">
        <v>39734</v>
      </c>
      <c r="C521" s="27">
        <f ca="1">C520*EXP(('VaR 2 Sim MC'!I$1-'VaR 2 Sim MC'!I$2/2)*1+'VaR 2 Sim MC'!I$3*_xlfn.NORM.S.INV(RAND())*SQRT(1))</f>
        <v>11153.555469888503</v>
      </c>
      <c r="D521" s="27">
        <f ca="1">D520*EXP(('VaR 2 Sim MC'!J$1-'VaR 2 Sim MC'!J$2/2)*1+'VaR 2 Sim MC'!J$3*_xlfn.NORM.S.INV(RAND())*SQRT(1))</f>
        <v>9468.5282379812033</v>
      </c>
      <c r="E521" s="27">
        <f ca="1">E520*EXP(('VaR 2 Sim MC'!K$1-'VaR 2 Sim MC'!K$2/2)*1+'VaR 2 Sim MC'!K$3*_xlfn.NORM.S.INV(RAND())*SQRT(1))</f>
        <v>6355.1945021682523</v>
      </c>
      <c r="F521" s="27">
        <f ca="1">F520*EXP(('VaR 2 Sim MC'!L$1-'VaR 2 Sim MC'!L$2/2)*1+'VaR 2 Sim MC'!L$3*_xlfn.NORM.S.INV(RAND())*SQRT(1))</f>
        <v>116.50684133868172</v>
      </c>
      <c r="G521" s="25">
        <f t="shared" ca="1" si="10"/>
        <v>10096952.248217097</v>
      </c>
    </row>
    <row r="522" spans="1:7">
      <c r="A522" s="1">
        <v>519</v>
      </c>
      <c r="B522" s="9">
        <v>39735</v>
      </c>
      <c r="C522" s="27">
        <f ca="1">C521*EXP(('VaR 2 Sim MC'!I$1-'VaR 2 Sim MC'!I$2/2)*1+'VaR 2 Sim MC'!I$3*_xlfn.NORM.S.INV(RAND())*SQRT(1))</f>
        <v>11022.855890744719</v>
      </c>
      <c r="D522" s="27">
        <f ca="1">D521*EXP(('VaR 2 Sim MC'!J$1-'VaR 2 Sim MC'!J$2/2)*1+'VaR 2 Sim MC'!J$3*_xlfn.NORM.S.INV(RAND())*SQRT(1))</f>
        <v>9329.2206058334468</v>
      </c>
      <c r="E522" s="27">
        <f ca="1">E521*EXP(('VaR 2 Sim MC'!K$1-'VaR 2 Sim MC'!K$2/2)*1+'VaR 2 Sim MC'!K$3*_xlfn.NORM.S.INV(RAND())*SQRT(1))</f>
        <v>6389.9819794101513</v>
      </c>
      <c r="F522" s="27">
        <f ca="1">F521*EXP(('VaR 2 Sim MC'!L$1-'VaR 2 Sim MC'!L$2/2)*1+'VaR 2 Sim MC'!L$3*_xlfn.NORM.S.INV(RAND())*SQRT(1))</f>
        <v>118.13132088542073</v>
      </c>
      <c r="G522" s="25">
        <f t="shared" ca="1" si="10"/>
        <v>10040393.862235606</v>
      </c>
    </row>
    <row r="523" spans="1:7">
      <c r="A523" s="1">
        <v>520</v>
      </c>
      <c r="B523" s="9">
        <v>39736</v>
      </c>
      <c r="C523" s="27">
        <f ca="1">C522*EXP(('VaR 2 Sim MC'!I$1-'VaR 2 Sim MC'!I$2/2)*1+'VaR 2 Sim MC'!I$3*_xlfn.NORM.S.INV(RAND())*SQRT(1))</f>
        <v>11162.412332144855</v>
      </c>
      <c r="D523" s="27">
        <f ca="1">D522*EXP(('VaR 2 Sim MC'!J$1-'VaR 2 Sim MC'!J$2/2)*1+'VaR 2 Sim MC'!J$3*_xlfn.NORM.S.INV(RAND())*SQRT(1))</f>
        <v>9502.5707634108894</v>
      </c>
      <c r="E523" s="27">
        <f ca="1">E522*EXP(('VaR 2 Sim MC'!K$1-'VaR 2 Sim MC'!K$2/2)*1+'VaR 2 Sim MC'!K$3*_xlfn.NORM.S.INV(RAND())*SQRT(1))</f>
        <v>6431.0312107551972</v>
      </c>
      <c r="F523" s="27">
        <f ca="1">F522*EXP(('VaR 2 Sim MC'!L$1-'VaR 2 Sim MC'!L$2/2)*1+'VaR 2 Sim MC'!L$3*_xlfn.NORM.S.INV(RAND())*SQRT(1))</f>
        <v>120.38691571207237</v>
      </c>
      <c r="G523" s="25">
        <f t="shared" ca="1" si="10"/>
        <v>10191817.983892556</v>
      </c>
    </row>
    <row r="524" spans="1:7">
      <c r="A524" s="1">
        <v>521</v>
      </c>
      <c r="B524" s="9">
        <v>39737</v>
      </c>
      <c r="C524" s="27">
        <f ca="1">C523*EXP(('VaR 2 Sim MC'!I$1-'VaR 2 Sim MC'!I$2/2)*1+'VaR 2 Sim MC'!I$3*_xlfn.NORM.S.INV(RAND())*SQRT(1))</f>
        <v>11142.744695358593</v>
      </c>
      <c r="D524" s="27">
        <f ca="1">D523*EXP(('VaR 2 Sim MC'!J$1-'VaR 2 Sim MC'!J$2/2)*1+'VaR 2 Sim MC'!J$3*_xlfn.NORM.S.INV(RAND())*SQRT(1))</f>
        <v>9346.9001951492664</v>
      </c>
      <c r="E524" s="27">
        <f ca="1">E523*EXP(('VaR 2 Sim MC'!K$1-'VaR 2 Sim MC'!K$2/2)*1+'VaR 2 Sim MC'!K$3*_xlfn.NORM.S.INV(RAND())*SQRT(1))</f>
        <v>6319.2748262156783</v>
      </c>
      <c r="F524" s="27">
        <f ca="1">F523*EXP(('VaR 2 Sim MC'!L$1-'VaR 2 Sim MC'!L$2/2)*1+'VaR 2 Sim MC'!L$3*_xlfn.NORM.S.INV(RAND())*SQRT(1))</f>
        <v>118.52889298791297</v>
      </c>
      <c r="G524" s="25">
        <f t="shared" ca="1" si="10"/>
        <v>10085071.584288947</v>
      </c>
    </row>
    <row r="525" spans="1:7">
      <c r="A525" s="1">
        <v>522</v>
      </c>
      <c r="B525" s="9">
        <v>39738</v>
      </c>
      <c r="C525" s="27">
        <f ca="1">C524*EXP(('VaR 2 Sim MC'!I$1-'VaR 2 Sim MC'!I$2/2)*1+'VaR 2 Sim MC'!I$3*_xlfn.NORM.S.INV(RAND())*SQRT(1))</f>
        <v>11352.560211654125</v>
      </c>
      <c r="D525" s="27">
        <f ca="1">D524*EXP(('VaR 2 Sim MC'!J$1-'VaR 2 Sim MC'!J$2/2)*1+'VaR 2 Sim MC'!J$3*_xlfn.NORM.S.INV(RAND())*SQRT(1))</f>
        <v>9599.4371985794005</v>
      </c>
      <c r="E525" s="27">
        <f ca="1">E524*EXP(('VaR 2 Sim MC'!K$1-'VaR 2 Sim MC'!K$2/2)*1+'VaR 2 Sim MC'!K$3*_xlfn.NORM.S.INV(RAND())*SQRT(1))</f>
        <v>6170.5213714589308</v>
      </c>
      <c r="F525" s="27">
        <f ca="1">F524*EXP(('VaR 2 Sim MC'!L$1-'VaR 2 Sim MC'!L$2/2)*1+'VaR 2 Sim MC'!L$3*_xlfn.NORM.S.INV(RAND())*SQRT(1))</f>
        <v>118.4923685714104</v>
      </c>
      <c r="G525" s="25">
        <f t="shared" ca="1" si="10"/>
        <v>10215495.652255807</v>
      </c>
    </row>
    <row r="526" spans="1:7">
      <c r="A526" s="1">
        <v>523</v>
      </c>
      <c r="B526" s="9">
        <v>39739</v>
      </c>
      <c r="C526" s="27">
        <f ca="1">C525*EXP(('VaR 2 Sim MC'!I$1-'VaR 2 Sim MC'!I$2/2)*1+'VaR 2 Sim MC'!I$3*_xlfn.NORM.S.INV(RAND())*SQRT(1))</f>
        <v>11404.09563819657</v>
      </c>
      <c r="D526" s="27">
        <f ca="1">D525*EXP(('VaR 2 Sim MC'!J$1-'VaR 2 Sim MC'!J$2/2)*1+'VaR 2 Sim MC'!J$3*_xlfn.NORM.S.INV(RAND())*SQRT(1))</f>
        <v>9443.3210143690394</v>
      </c>
      <c r="E526" s="27">
        <f ca="1">E525*EXP(('VaR 2 Sim MC'!K$1-'VaR 2 Sim MC'!K$2/2)*1+'VaR 2 Sim MC'!K$3*_xlfn.NORM.S.INV(RAND())*SQRT(1))</f>
        <v>6090.6346893307782</v>
      </c>
      <c r="F526" s="27">
        <f ca="1">F525*EXP(('VaR 2 Sim MC'!L$1-'VaR 2 Sim MC'!L$2/2)*1+'VaR 2 Sim MC'!L$3*_xlfn.NORM.S.INV(RAND())*SQRT(1))</f>
        <v>119.65473687454165</v>
      </c>
      <c r="G526" s="25">
        <f t="shared" ca="1" si="10"/>
        <v>10193132.676897801</v>
      </c>
    </row>
    <row r="527" spans="1:7">
      <c r="A527" s="1">
        <v>524</v>
      </c>
      <c r="B527" s="9">
        <v>39740</v>
      </c>
      <c r="C527" s="27">
        <f ca="1">C526*EXP(('VaR 2 Sim MC'!I$1-'VaR 2 Sim MC'!I$2/2)*1+'VaR 2 Sim MC'!I$3*_xlfn.NORM.S.INV(RAND())*SQRT(1))</f>
        <v>11446.122291395961</v>
      </c>
      <c r="D527" s="27">
        <f ca="1">D526*EXP(('VaR 2 Sim MC'!J$1-'VaR 2 Sim MC'!J$2/2)*1+'VaR 2 Sim MC'!J$3*_xlfn.NORM.S.INV(RAND())*SQRT(1))</f>
        <v>9458.6865193167523</v>
      </c>
      <c r="E527" s="27">
        <f ca="1">E526*EXP(('VaR 2 Sim MC'!K$1-'VaR 2 Sim MC'!K$2/2)*1+'VaR 2 Sim MC'!K$3*_xlfn.NORM.S.INV(RAND())*SQRT(1))</f>
        <v>6203.9400607008365</v>
      </c>
      <c r="F527" s="27">
        <f ca="1">F526*EXP(('VaR 2 Sim MC'!L$1-'VaR 2 Sim MC'!L$2/2)*1+'VaR 2 Sim MC'!L$3*_xlfn.NORM.S.INV(RAND())*SQRT(1))</f>
        <v>116.41478967824126</v>
      </c>
      <c r="G527" s="25">
        <f t="shared" ca="1" si="10"/>
        <v>10174025.563587591</v>
      </c>
    </row>
    <row r="528" spans="1:7">
      <c r="A528" s="1">
        <v>525</v>
      </c>
      <c r="B528" s="9">
        <v>39741</v>
      </c>
      <c r="C528" s="27">
        <f ca="1">C527*EXP(('VaR 2 Sim MC'!I$1-'VaR 2 Sim MC'!I$2/2)*1+'VaR 2 Sim MC'!I$3*_xlfn.NORM.S.INV(RAND())*SQRT(1))</f>
        <v>11570.81918470289</v>
      </c>
      <c r="D528" s="27">
        <f ca="1">D527*EXP(('VaR 2 Sim MC'!J$1-'VaR 2 Sim MC'!J$2/2)*1+'VaR 2 Sim MC'!J$3*_xlfn.NORM.S.INV(RAND())*SQRT(1))</f>
        <v>9471.9474668259882</v>
      </c>
      <c r="E528" s="27">
        <f ca="1">E527*EXP(('VaR 2 Sim MC'!K$1-'VaR 2 Sim MC'!K$2/2)*1+'VaR 2 Sim MC'!K$3*_xlfn.NORM.S.INV(RAND())*SQRT(1))</f>
        <v>6235.2751676164507</v>
      </c>
      <c r="F528" s="27">
        <f ca="1">F527*EXP(('VaR 2 Sim MC'!L$1-'VaR 2 Sim MC'!L$2/2)*1+'VaR 2 Sim MC'!L$3*_xlfn.NORM.S.INV(RAND())*SQRT(1))</f>
        <v>114.78508878349281</v>
      </c>
      <c r="G528" s="25">
        <f t="shared" ca="1" si="10"/>
        <v>10199587.210359542</v>
      </c>
    </row>
    <row r="529" spans="1:7">
      <c r="A529" s="1">
        <v>526</v>
      </c>
      <c r="B529" s="9">
        <v>39742</v>
      </c>
      <c r="C529" s="27">
        <f ca="1">C528*EXP(('VaR 2 Sim MC'!I$1-'VaR 2 Sim MC'!I$2/2)*1+'VaR 2 Sim MC'!I$3*_xlfn.NORM.S.INV(RAND())*SQRT(1))</f>
        <v>11499.446589117781</v>
      </c>
      <c r="D529" s="27">
        <f ca="1">D528*EXP(('VaR 2 Sim MC'!J$1-'VaR 2 Sim MC'!J$2/2)*1+'VaR 2 Sim MC'!J$3*_xlfn.NORM.S.INV(RAND())*SQRT(1))</f>
        <v>9620.2990541940126</v>
      </c>
      <c r="E529" s="27">
        <f ca="1">E528*EXP(('VaR 2 Sim MC'!K$1-'VaR 2 Sim MC'!K$2/2)*1+'VaR 2 Sim MC'!K$3*_xlfn.NORM.S.INV(RAND())*SQRT(1))</f>
        <v>6249.0266789329362</v>
      </c>
      <c r="F529" s="27">
        <f ca="1">F528*EXP(('VaR 2 Sim MC'!L$1-'VaR 2 Sim MC'!L$2/2)*1+'VaR 2 Sim MC'!L$3*_xlfn.NORM.S.INV(RAND())*SQRT(1))</f>
        <v>115.45504134625159</v>
      </c>
      <c r="G529" s="25">
        <f t="shared" ca="1" si="10"/>
        <v>10234139.952309964</v>
      </c>
    </row>
    <row r="530" spans="1:7">
      <c r="A530" s="1">
        <v>527</v>
      </c>
      <c r="B530" s="9">
        <v>39743</v>
      </c>
      <c r="C530" s="27">
        <f ca="1">C529*EXP(('VaR 2 Sim MC'!I$1-'VaR 2 Sim MC'!I$2/2)*1+'VaR 2 Sim MC'!I$3*_xlfn.NORM.S.INV(RAND())*SQRT(1))</f>
        <v>11528.274726807147</v>
      </c>
      <c r="D530" s="27">
        <f ca="1">D529*EXP(('VaR 2 Sim MC'!J$1-'VaR 2 Sim MC'!J$2/2)*1+'VaR 2 Sim MC'!J$3*_xlfn.NORM.S.INV(RAND())*SQRT(1))</f>
        <v>9760.3932298270647</v>
      </c>
      <c r="E530" s="27">
        <f ca="1">E529*EXP(('VaR 2 Sim MC'!K$1-'VaR 2 Sim MC'!K$2/2)*1+'VaR 2 Sim MC'!K$3*_xlfn.NORM.S.INV(RAND())*SQRT(1))</f>
        <v>6258.8473990132179</v>
      </c>
      <c r="F530" s="27">
        <f ca="1">F529*EXP(('VaR 2 Sim MC'!L$1-'VaR 2 Sim MC'!L$2/2)*1+'VaR 2 Sim MC'!L$3*_xlfn.NORM.S.INV(RAND())*SQRT(1))</f>
        <v>116.22842689622279</v>
      </c>
      <c r="G530" s="25">
        <f t="shared" ca="1" si="10"/>
        <v>10303675.530875422</v>
      </c>
    </row>
    <row r="531" spans="1:7">
      <c r="A531" s="1">
        <v>528</v>
      </c>
      <c r="B531" s="9">
        <v>39744</v>
      </c>
      <c r="C531" s="27">
        <f ca="1">C530*EXP(('VaR 2 Sim MC'!I$1-'VaR 2 Sim MC'!I$2/2)*1+'VaR 2 Sim MC'!I$3*_xlfn.NORM.S.INV(RAND())*SQRT(1))</f>
        <v>11527.239779649906</v>
      </c>
      <c r="D531" s="27">
        <f ca="1">D530*EXP(('VaR 2 Sim MC'!J$1-'VaR 2 Sim MC'!J$2/2)*1+'VaR 2 Sim MC'!J$3*_xlfn.NORM.S.INV(RAND())*SQRT(1))</f>
        <v>9679.6773899323234</v>
      </c>
      <c r="E531" s="27">
        <f ca="1">E530*EXP(('VaR 2 Sim MC'!K$1-'VaR 2 Sim MC'!K$2/2)*1+'VaR 2 Sim MC'!K$3*_xlfn.NORM.S.INV(RAND())*SQRT(1))</f>
        <v>6223.2688379335477</v>
      </c>
      <c r="F531" s="27">
        <f ca="1">F530*EXP(('VaR 2 Sim MC'!L$1-'VaR 2 Sim MC'!L$2/2)*1+'VaR 2 Sim MC'!L$3*_xlfn.NORM.S.INV(RAND())*SQRT(1))</f>
        <v>117.71923278531577</v>
      </c>
      <c r="G531" s="25">
        <f t="shared" ca="1" si="10"/>
        <v>10298765.407863516</v>
      </c>
    </row>
    <row r="532" spans="1:7">
      <c r="A532" s="1">
        <v>529</v>
      </c>
      <c r="B532" s="9">
        <v>39745</v>
      </c>
      <c r="C532" s="27">
        <f ca="1">C531*EXP(('VaR 2 Sim MC'!I$1-'VaR 2 Sim MC'!I$2/2)*1+'VaR 2 Sim MC'!I$3*_xlfn.NORM.S.INV(RAND())*SQRT(1))</f>
        <v>11726.117788847552</v>
      </c>
      <c r="D532" s="27">
        <f ca="1">D531*EXP(('VaR 2 Sim MC'!J$1-'VaR 2 Sim MC'!J$2/2)*1+'VaR 2 Sim MC'!J$3*_xlfn.NORM.S.INV(RAND())*SQRT(1))</f>
        <v>9665.6877805341137</v>
      </c>
      <c r="E532" s="27">
        <f ca="1">E531*EXP(('VaR 2 Sim MC'!K$1-'VaR 2 Sim MC'!K$2/2)*1+'VaR 2 Sim MC'!K$3*_xlfn.NORM.S.INV(RAND())*SQRT(1))</f>
        <v>6195.2563156366541</v>
      </c>
      <c r="F532" s="27">
        <f ca="1">F531*EXP(('VaR 2 Sim MC'!L$1-'VaR 2 Sim MC'!L$2/2)*1+'VaR 2 Sim MC'!L$3*_xlfn.NORM.S.INV(RAND())*SQRT(1))</f>
        <v>118.19122579646313</v>
      </c>
      <c r="G532" s="25">
        <f t="shared" ca="1" si="10"/>
        <v>10370417.311485961</v>
      </c>
    </row>
    <row r="533" spans="1:7">
      <c r="A533" s="1">
        <v>530</v>
      </c>
      <c r="B533" s="9">
        <v>39746</v>
      </c>
      <c r="C533" s="27">
        <f ca="1">C532*EXP(('VaR 2 Sim MC'!I$1-'VaR 2 Sim MC'!I$2/2)*1+'VaR 2 Sim MC'!I$3*_xlfn.NORM.S.INV(RAND())*SQRT(1))</f>
        <v>11677.123890004681</v>
      </c>
      <c r="D533" s="27">
        <f ca="1">D532*EXP(('VaR 2 Sim MC'!J$1-'VaR 2 Sim MC'!J$2/2)*1+'VaR 2 Sim MC'!J$3*_xlfn.NORM.S.INV(RAND())*SQRT(1))</f>
        <v>9655.6583076661009</v>
      </c>
      <c r="E533" s="27">
        <f ca="1">E532*EXP(('VaR 2 Sim MC'!K$1-'VaR 2 Sim MC'!K$2/2)*1+'VaR 2 Sim MC'!K$3*_xlfn.NORM.S.INV(RAND())*SQRT(1))</f>
        <v>6331.8553541715628</v>
      </c>
      <c r="F533" s="27">
        <f ca="1">F532*EXP(('VaR 2 Sim MC'!L$1-'VaR 2 Sim MC'!L$2/2)*1+'VaR 2 Sim MC'!L$3*_xlfn.NORM.S.INV(RAND())*SQRT(1))</f>
        <v>119.03030835089972</v>
      </c>
      <c r="G533" s="25">
        <f t="shared" ca="1" si="10"/>
        <v>10386407.891449822</v>
      </c>
    </row>
    <row r="534" spans="1:7">
      <c r="A534" s="1">
        <v>531</v>
      </c>
      <c r="B534" s="9">
        <v>39747</v>
      </c>
      <c r="C534" s="27">
        <f ca="1">C533*EXP(('VaR 2 Sim MC'!I$1-'VaR 2 Sim MC'!I$2/2)*1+'VaR 2 Sim MC'!I$3*_xlfn.NORM.S.INV(RAND())*SQRT(1))</f>
        <v>11794.65784870429</v>
      </c>
      <c r="D534" s="27">
        <f ca="1">D533*EXP(('VaR 2 Sim MC'!J$1-'VaR 2 Sim MC'!J$2/2)*1+'VaR 2 Sim MC'!J$3*_xlfn.NORM.S.INV(RAND())*SQRT(1))</f>
        <v>9693.1445658345729</v>
      </c>
      <c r="E534" s="27">
        <f ca="1">E533*EXP(('VaR 2 Sim MC'!K$1-'VaR 2 Sim MC'!K$2/2)*1+'VaR 2 Sim MC'!K$3*_xlfn.NORM.S.INV(RAND())*SQRT(1))</f>
        <v>6433.2914046637734</v>
      </c>
      <c r="F534" s="27">
        <f ca="1">F533*EXP(('VaR 2 Sim MC'!L$1-'VaR 2 Sim MC'!L$2/2)*1+'VaR 2 Sim MC'!L$3*_xlfn.NORM.S.INV(RAND())*SQRT(1))</f>
        <v>117.11520595747449</v>
      </c>
      <c r="G534" s="25">
        <f t="shared" ca="1" si="10"/>
        <v>10423187.101013916</v>
      </c>
    </row>
    <row r="535" spans="1:7">
      <c r="A535" s="1">
        <v>532</v>
      </c>
      <c r="B535" s="9">
        <v>39748</v>
      </c>
      <c r="C535" s="27">
        <f ca="1">C534*EXP(('VaR 2 Sim MC'!I$1-'VaR 2 Sim MC'!I$2/2)*1+'VaR 2 Sim MC'!I$3*_xlfn.NORM.S.INV(RAND())*SQRT(1))</f>
        <v>11984.408401385219</v>
      </c>
      <c r="D535" s="27">
        <f ca="1">D534*EXP(('VaR 2 Sim MC'!J$1-'VaR 2 Sim MC'!J$2/2)*1+'VaR 2 Sim MC'!J$3*_xlfn.NORM.S.INV(RAND())*SQRT(1))</f>
        <v>9676.4856856486094</v>
      </c>
      <c r="E535" s="27">
        <f ca="1">E534*EXP(('VaR 2 Sim MC'!K$1-'VaR 2 Sim MC'!K$2/2)*1+'VaR 2 Sim MC'!K$3*_xlfn.NORM.S.INV(RAND())*SQRT(1))</f>
        <v>6196.2458107814182</v>
      </c>
      <c r="F535" s="27">
        <f ca="1">F534*EXP(('VaR 2 Sim MC'!L$1-'VaR 2 Sim MC'!L$2/2)*1+'VaR 2 Sim MC'!L$3*_xlfn.NORM.S.INV(RAND())*SQRT(1))</f>
        <v>115.70578107680942</v>
      </c>
      <c r="G535" s="25">
        <f t="shared" ca="1" si="10"/>
        <v>10423627.625624731</v>
      </c>
    </row>
    <row r="536" spans="1:7">
      <c r="A536" s="1">
        <v>533</v>
      </c>
      <c r="B536" s="9">
        <v>39749</v>
      </c>
      <c r="C536" s="27">
        <f ca="1">C535*EXP(('VaR 2 Sim MC'!I$1-'VaR 2 Sim MC'!I$2/2)*1+'VaR 2 Sim MC'!I$3*_xlfn.NORM.S.INV(RAND())*SQRT(1))</f>
        <v>11888.114028937249</v>
      </c>
      <c r="D536" s="27">
        <f ca="1">D535*EXP(('VaR 2 Sim MC'!J$1-'VaR 2 Sim MC'!J$2/2)*1+'VaR 2 Sim MC'!J$3*_xlfn.NORM.S.INV(RAND())*SQRT(1))</f>
        <v>9761.3496163999807</v>
      </c>
      <c r="E536" s="27">
        <f ca="1">E535*EXP(('VaR 2 Sim MC'!K$1-'VaR 2 Sim MC'!K$2/2)*1+'VaR 2 Sim MC'!K$3*_xlfn.NORM.S.INV(RAND())*SQRT(1))</f>
        <v>6135.1564799380958</v>
      </c>
      <c r="F536" s="27">
        <f ca="1">F535*EXP(('VaR 2 Sim MC'!L$1-'VaR 2 Sim MC'!L$2/2)*1+'VaR 2 Sim MC'!L$3*_xlfn.NORM.S.INV(RAND())*SQRT(1))</f>
        <v>114.8166415651051</v>
      </c>
      <c r="G536" s="25">
        <f t="shared" ca="1" si="10"/>
        <v>10389587.54936472</v>
      </c>
    </row>
    <row r="537" spans="1:7">
      <c r="A537" s="1">
        <v>534</v>
      </c>
      <c r="B537" s="9">
        <v>39750</v>
      </c>
      <c r="C537" s="27">
        <f ca="1">C536*EXP(('VaR 2 Sim MC'!I$1-'VaR 2 Sim MC'!I$2/2)*1+'VaR 2 Sim MC'!I$3*_xlfn.NORM.S.INV(RAND())*SQRT(1))</f>
        <v>11883.734060375227</v>
      </c>
      <c r="D537" s="27">
        <f ca="1">D536*EXP(('VaR 2 Sim MC'!J$1-'VaR 2 Sim MC'!J$2/2)*1+'VaR 2 Sim MC'!J$3*_xlfn.NORM.S.INV(RAND())*SQRT(1))</f>
        <v>9769.9396295497827</v>
      </c>
      <c r="E537" s="27">
        <f ca="1">E536*EXP(('VaR 2 Sim MC'!K$1-'VaR 2 Sim MC'!K$2/2)*1+'VaR 2 Sim MC'!K$3*_xlfn.NORM.S.INV(RAND())*SQRT(1))</f>
        <v>6155.4489945176701</v>
      </c>
      <c r="F537" s="27">
        <f ca="1">F536*EXP(('VaR 2 Sim MC'!L$1-'VaR 2 Sim MC'!L$2/2)*1+'VaR 2 Sim MC'!L$3*_xlfn.NORM.S.INV(RAND())*SQRT(1))</f>
        <v>112.8416184116375</v>
      </c>
      <c r="G537" s="25">
        <f t="shared" ca="1" si="10"/>
        <v>10358943.930557495</v>
      </c>
    </row>
    <row r="538" spans="1:7">
      <c r="A538" s="1">
        <v>535</v>
      </c>
      <c r="B538" s="9">
        <v>39751</v>
      </c>
      <c r="C538" s="27">
        <f ca="1">C537*EXP(('VaR 2 Sim MC'!I$1-'VaR 2 Sim MC'!I$2/2)*1+'VaR 2 Sim MC'!I$3*_xlfn.NORM.S.INV(RAND())*SQRT(1))</f>
        <v>11633.333073990259</v>
      </c>
      <c r="D538" s="27">
        <f ca="1">D537*EXP(('VaR 2 Sim MC'!J$1-'VaR 2 Sim MC'!J$2/2)*1+'VaR 2 Sim MC'!J$3*_xlfn.NORM.S.INV(RAND())*SQRT(1))</f>
        <v>9806.392116185687</v>
      </c>
      <c r="E538" s="27">
        <f ca="1">E537*EXP(('VaR 2 Sim MC'!K$1-'VaR 2 Sim MC'!K$2/2)*1+'VaR 2 Sim MC'!K$3*_xlfn.NORM.S.INV(RAND())*SQRT(1))</f>
        <v>6103.583143010228</v>
      </c>
      <c r="F538" s="27">
        <f ca="1">F537*EXP(('VaR 2 Sim MC'!L$1-'VaR 2 Sim MC'!L$2/2)*1+'VaR 2 Sim MC'!L$3*_xlfn.NORM.S.INV(RAND())*SQRT(1))</f>
        <v>111.68090288301595</v>
      </c>
      <c r="G538" s="25">
        <f t="shared" ca="1" si="10"/>
        <v>10250521.836857216</v>
      </c>
    </row>
    <row r="539" spans="1:7">
      <c r="A539" s="1">
        <v>536</v>
      </c>
      <c r="B539" s="9">
        <v>39752</v>
      </c>
      <c r="C539" s="27">
        <f ca="1">C538*EXP(('VaR 2 Sim MC'!I$1-'VaR 2 Sim MC'!I$2/2)*1+'VaR 2 Sim MC'!I$3*_xlfn.NORM.S.INV(RAND())*SQRT(1))</f>
        <v>11724.137753296023</v>
      </c>
      <c r="D539" s="27">
        <f ca="1">D538*EXP(('VaR 2 Sim MC'!J$1-'VaR 2 Sim MC'!J$2/2)*1+'VaR 2 Sim MC'!J$3*_xlfn.NORM.S.INV(RAND())*SQRT(1))</f>
        <v>9459.197927831814</v>
      </c>
      <c r="E539" s="27">
        <f ca="1">E538*EXP(('VaR 2 Sim MC'!K$1-'VaR 2 Sim MC'!K$2/2)*1+'VaR 2 Sim MC'!K$3*_xlfn.NORM.S.INV(RAND())*SQRT(1))</f>
        <v>6134.3846203474286</v>
      </c>
      <c r="F539" s="27">
        <f ca="1">F538*EXP(('VaR 2 Sim MC'!L$1-'VaR 2 Sim MC'!L$2/2)*1+'VaR 2 Sim MC'!L$3*_xlfn.NORM.S.INV(RAND())*SQRT(1))</f>
        <v>112.03465930997672</v>
      </c>
      <c r="G539" s="25">
        <f t="shared" ca="1" si="10"/>
        <v>10186215.010958387</v>
      </c>
    </row>
    <row r="540" spans="1:7">
      <c r="A540" s="1">
        <v>537</v>
      </c>
      <c r="B540" s="9">
        <v>39753</v>
      </c>
      <c r="C540" s="27">
        <f ca="1">C539*EXP(('VaR 2 Sim MC'!I$1-'VaR 2 Sim MC'!I$2/2)*1+'VaR 2 Sim MC'!I$3*_xlfn.NORM.S.INV(RAND())*SQRT(1))</f>
        <v>11667.99592338004</v>
      </c>
      <c r="D540" s="27">
        <f ca="1">D539*EXP(('VaR 2 Sim MC'!J$1-'VaR 2 Sim MC'!J$2/2)*1+'VaR 2 Sim MC'!J$3*_xlfn.NORM.S.INV(RAND())*SQRT(1))</f>
        <v>9328.3084797638767</v>
      </c>
      <c r="E540" s="27">
        <f ca="1">E539*EXP(('VaR 2 Sim MC'!K$1-'VaR 2 Sim MC'!K$2/2)*1+'VaR 2 Sim MC'!K$3*_xlfn.NORM.S.INV(RAND())*SQRT(1))</f>
        <v>6086.1836059830066</v>
      </c>
      <c r="F540" s="27">
        <f ca="1">F539*EXP(('VaR 2 Sim MC'!L$1-'VaR 2 Sim MC'!L$2/2)*1+'VaR 2 Sim MC'!L$3*_xlfn.NORM.S.INV(RAND())*SQRT(1))</f>
        <v>111.49039133659066</v>
      </c>
      <c r="G540" s="25">
        <f t="shared" ca="1" si="10"/>
        <v>10107515.164588297</v>
      </c>
    </row>
    <row r="541" spans="1:7">
      <c r="A541" s="1">
        <v>538</v>
      </c>
      <c r="B541" s="9">
        <v>39754</v>
      </c>
      <c r="C541" s="27">
        <f ca="1">C540*EXP(('VaR 2 Sim MC'!I$1-'VaR 2 Sim MC'!I$2/2)*1+'VaR 2 Sim MC'!I$3*_xlfn.NORM.S.INV(RAND())*SQRT(1))</f>
        <v>11498.014642729333</v>
      </c>
      <c r="D541" s="27">
        <f ca="1">D540*EXP(('VaR 2 Sim MC'!J$1-'VaR 2 Sim MC'!J$2/2)*1+'VaR 2 Sim MC'!J$3*_xlfn.NORM.S.INV(RAND())*SQRT(1))</f>
        <v>9537.4685896418014</v>
      </c>
      <c r="E541" s="27">
        <f ca="1">E540*EXP(('VaR 2 Sim MC'!K$1-'VaR 2 Sim MC'!K$2/2)*1+'VaR 2 Sim MC'!K$3*_xlfn.NORM.S.INV(RAND())*SQRT(1))</f>
        <v>6057.5936678188973</v>
      </c>
      <c r="F541" s="27">
        <f ca="1">F540*EXP(('VaR 2 Sim MC'!L$1-'VaR 2 Sim MC'!L$2/2)*1+'VaR 2 Sim MC'!L$3*_xlfn.NORM.S.INV(RAND())*SQRT(1))</f>
        <v>110.31987219010574</v>
      </c>
      <c r="G541" s="25">
        <f t="shared" ca="1" si="10"/>
        <v>10085829.925348492</v>
      </c>
    </row>
    <row r="542" spans="1:7">
      <c r="A542" s="1">
        <v>539</v>
      </c>
      <c r="B542" s="9">
        <v>39755</v>
      </c>
      <c r="C542" s="27">
        <f ca="1">C541*EXP(('VaR 2 Sim MC'!I$1-'VaR 2 Sim MC'!I$2/2)*1+'VaR 2 Sim MC'!I$3*_xlfn.NORM.S.INV(RAND())*SQRT(1))</f>
        <v>11337.416654939439</v>
      </c>
      <c r="D542" s="27">
        <f ca="1">D541*EXP(('VaR 2 Sim MC'!J$1-'VaR 2 Sim MC'!J$2/2)*1+'VaR 2 Sim MC'!J$3*_xlfn.NORM.S.INV(RAND())*SQRT(1))</f>
        <v>9458.8841551185069</v>
      </c>
      <c r="E542" s="27">
        <f ca="1">E541*EXP(('VaR 2 Sim MC'!K$1-'VaR 2 Sim MC'!K$2/2)*1+'VaR 2 Sim MC'!K$3*_xlfn.NORM.S.INV(RAND())*SQRT(1))</f>
        <v>5954.2672659944192</v>
      </c>
      <c r="F542" s="27">
        <f ca="1">F541*EXP(('VaR 2 Sim MC'!L$1-'VaR 2 Sim MC'!L$2/2)*1+'VaR 2 Sim MC'!L$3*_xlfn.NORM.S.INV(RAND())*SQRT(1))</f>
        <v>111.43119451328238</v>
      </c>
      <c r="G542" s="25">
        <f t="shared" ca="1" si="10"/>
        <v>10006025.59320966</v>
      </c>
    </row>
    <row r="543" spans="1:7">
      <c r="A543" s="1">
        <v>540</v>
      </c>
      <c r="B543" s="9">
        <v>39756</v>
      </c>
      <c r="C543" s="27">
        <f ca="1">C542*EXP(('VaR 2 Sim MC'!I$1-'VaR 2 Sim MC'!I$2/2)*1+'VaR 2 Sim MC'!I$3*_xlfn.NORM.S.INV(RAND())*SQRT(1))</f>
        <v>11393.023650443885</v>
      </c>
      <c r="D543" s="27">
        <f ca="1">D542*EXP(('VaR 2 Sim MC'!J$1-'VaR 2 Sim MC'!J$2/2)*1+'VaR 2 Sim MC'!J$3*_xlfn.NORM.S.INV(RAND())*SQRT(1))</f>
        <v>9614.0191104146252</v>
      </c>
      <c r="E543" s="27">
        <f ca="1">E542*EXP(('VaR 2 Sim MC'!K$1-'VaR 2 Sim MC'!K$2/2)*1+'VaR 2 Sim MC'!K$3*_xlfn.NORM.S.INV(RAND())*SQRT(1))</f>
        <v>5993.9014096511755</v>
      </c>
      <c r="F543" s="27">
        <f ca="1">F542*EXP(('VaR 2 Sim MC'!L$1-'VaR 2 Sim MC'!L$2/2)*1+'VaR 2 Sim MC'!L$3*_xlfn.NORM.S.INV(RAND())*SQRT(1))</f>
        <v>113.52812046582714</v>
      </c>
      <c r="G543" s="25">
        <f t="shared" ca="1" si="10"/>
        <v>10118250.479090817</v>
      </c>
    </row>
    <row r="544" spans="1:7">
      <c r="A544" s="1">
        <v>541</v>
      </c>
      <c r="B544" s="9">
        <v>39757</v>
      </c>
      <c r="C544" s="27">
        <f ca="1">C543*EXP(('VaR 2 Sim MC'!I$1-'VaR 2 Sim MC'!I$2/2)*1+'VaR 2 Sim MC'!I$3*_xlfn.NORM.S.INV(RAND())*SQRT(1))</f>
        <v>11731.902639683007</v>
      </c>
      <c r="D544" s="27">
        <f ca="1">D543*EXP(('VaR 2 Sim MC'!J$1-'VaR 2 Sim MC'!J$2/2)*1+'VaR 2 Sim MC'!J$3*_xlfn.NORM.S.INV(RAND())*SQRT(1))</f>
        <v>9509.1258501133452</v>
      </c>
      <c r="E544" s="27">
        <f ca="1">E543*EXP(('VaR 2 Sim MC'!K$1-'VaR 2 Sim MC'!K$2/2)*1+'VaR 2 Sim MC'!K$3*_xlfn.NORM.S.INV(RAND())*SQRT(1))</f>
        <v>6015.9127733485884</v>
      </c>
      <c r="F544" s="27">
        <f ca="1">F543*EXP(('VaR 2 Sim MC'!L$1-'VaR 2 Sim MC'!L$2/2)*1+'VaR 2 Sim MC'!L$3*_xlfn.NORM.S.INV(RAND())*SQRT(1))</f>
        <v>115.44341681893896</v>
      </c>
      <c r="G544" s="25">
        <f t="shared" ca="1" si="10"/>
        <v>10245955.567038143</v>
      </c>
    </row>
    <row r="545" spans="1:7">
      <c r="A545" s="1">
        <v>542</v>
      </c>
      <c r="B545" s="9">
        <v>39758</v>
      </c>
      <c r="C545" s="27">
        <f ca="1">C544*EXP(('VaR 2 Sim MC'!I$1-'VaR 2 Sim MC'!I$2/2)*1+'VaR 2 Sim MC'!I$3*_xlfn.NORM.S.INV(RAND())*SQRT(1))</f>
        <v>11659.179533057175</v>
      </c>
      <c r="D545" s="27">
        <f ca="1">D544*EXP(('VaR 2 Sim MC'!J$1-'VaR 2 Sim MC'!J$2/2)*1+'VaR 2 Sim MC'!J$3*_xlfn.NORM.S.INV(RAND())*SQRT(1))</f>
        <v>9623.6227368855016</v>
      </c>
      <c r="E545" s="27">
        <f ca="1">E544*EXP(('VaR 2 Sim MC'!K$1-'VaR 2 Sim MC'!K$2/2)*1+'VaR 2 Sim MC'!K$3*_xlfn.NORM.S.INV(RAND())*SQRT(1))</f>
        <v>5915.1136940013093</v>
      </c>
      <c r="F545" s="27">
        <f ca="1">F544*EXP(('VaR 2 Sim MC'!L$1-'VaR 2 Sim MC'!L$2/2)*1+'VaR 2 Sim MC'!L$3*_xlfn.NORM.S.INV(RAND())*SQRT(1))</f>
        <v>117.91772817439032</v>
      </c>
      <c r="G545" s="25">
        <f t="shared" ca="1" si="10"/>
        <v>10282949.674330112</v>
      </c>
    </row>
    <row r="546" spans="1:7">
      <c r="A546" s="1">
        <v>543</v>
      </c>
      <c r="B546" s="9">
        <v>39759</v>
      </c>
      <c r="C546" s="27">
        <f ca="1">C545*EXP(('VaR 2 Sim MC'!I$1-'VaR 2 Sim MC'!I$2/2)*1+'VaR 2 Sim MC'!I$3*_xlfn.NORM.S.INV(RAND())*SQRT(1))</f>
        <v>11693.482732762675</v>
      </c>
      <c r="D546" s="27">
        <f ca="1">D545*EXP(('VaR 2 Sim MC'!J$1-'VaR 2 Sim MC'!J$2/2)*1+'VaR 2 Sim MC'!J$3*_xlfn.NORM.S.INV(RAND())*SQRT(1))</f>
        <v>9492.5075474657187</v>
      </c>
      <c r="E546" s="27">
        <f ca="1">E545*EXP(('VaR 2 Sim MC'!K$1-'VaR 2 Sim MC'!K$2/2)*1+'VaR 2 Sim MC'!K$3*_xlfn.NORM.S.INV(RAND())*SQRT(1))</f>
        <v>6027.8171456256514</v>
      </c>
      <c r="F546" s="27">
        <f ca="1">F545*EXP(('VaR 2 Sim MC'!L$1-'VaR 2 Sim MC'!L$2/2)*1+'VaR 2 Sim MC'!L$3*_xlfn.NORM.S.INV(RAND())*SQRT(1))</f>
        <v>115.19422793331265</v>
      </c>
      <c r="G546" s="25">
        <f t="shared" ca="1" si="10"/>
        <v>10224321.940116607</v>
      </c>
    </row>
    <row r="547" spans="1:7">
      <c r="A547" s="1">
        <v>544</v>
      </c>
      <c r="B547" s="9">
        <v>39760</v>
      </c>
      <c r="C547" s="27">
        <f ca="1">C546*EXP(('VaR 2 Sim MC'!I$1-'VaR 2 Sim MC'!I$2/2)*1+'VaR 2 Sim MC'!I$3*_xlfn.NORM.S.INV(RAND())*SQRT(1))</f>
        <v>11673.352063870781</v>
      </c>
      <c r="D547" s="27">
        <f ca="1">D546*EXP(('VaR 2 Sim MC'!J$1-'VaR 2 Sim MC'!J$2/2)*1+'VaR 2 Sim MC'!J$3*_xlfn.NORM.S.INV(RAND())*SQRT(1))</f>
        <v>9784.0808804356238</v>
      </c>
      <c r="E547" s="27">
        <f ca="1">E546*EXP(('VaR 2 Sim MC'!K$1-'VaR 2 Sim MC'!K$2/2)*1+'VaR 2 Sim MC'!K$3*_xlfn.NORM.S.INV(RAND())*SQRT(1))</f>
        <v>5921.3239003302442</v>
      </c>
      <c r="F547" s="27">
        <f ca="1">F546*EXP(('VaR 2 Sim MC'!L$1-'VaR 2 Sim MC'!L$2/2)*1+'VaR 2 Sim MC'!L$3*_xlfn.NORM.S.INV(RAND())*SQRT(1))</f>
        <v>111.05394314285515</v>
      </c>
      <c r="G547" s="25">
        <f t="shared" ca="1" si="10"/>
        <v>10217563.833931478</v>
      </c>
    </row>
    <row r="548" spans="1:7">
      <c r="A548" s="1">
        <v>545</v>
      </c>
      <c r="B548" s="9">
        <v>39761</v>
      </c>
      <c r="C548" s="27">
        <f ca="1">C547*EXP(('VaR 2 Sim MC'!I$1-'VaR 2 Sim MC'!I$2/2)*1+'VaR 2 Sim MC'!I$3*_xlfn.NORM.S.INV(RAND())*SQRT(1))</f>
        <v>11600.379316089795</v>
      </c>
      <c r="D548" s="27">
        <f ca="1">D547*EXP(('VaR 2 Sim MC'!J$1-'VaR 2 Sim MC'!J$2/2)*1+'VaR 2 Sim MC'!J$3*_xlfn.NORM.S.INV(RAND())*SQRT(1))</f>
        <v>9710.4437871188711</v>
      </c>
      <c r="E548" s="27">
        <f ca="1">E547*EXP(('VaR 2 Sim MC'!K$1-'VaR 2 Sim MC'!K$2/2)*1+'VaR 2 Sim MC'!K$3*_xlfn.NORM.S.INV(RAND())*SQRT(1))</f>
        <v>5903.61996995971</v>
      </c>
      <c r="F548" s="27">
        <f ca="1">F547*EXP(('VaR 2 Sim MC'!L$1-'VaR 2 Sim MC'!L$2/2)*1+'VaR 2 Sim MC'!L$3*_xlfn.NORM.S.INV(RAND())*SQRT(1))</f>
        <v>111.86090912834035</v>
      </c>
      <c r="G548" s="25">
        <f t="shared" ca="1" si="10"/>
        <v>10179519.375498135</v>
      </c>
    </row>
    <row r="549" spans="1:7">
      <c r="A549" s="1">
        <v>546</v>
      </c>
      <c r="B549" s="9">
        <v>39762</v>
      </c>
      <c r="C549" s="27">
        <f ca="1">C548*EXP(('VaR 2 Sim MC'!I$1-'VaR 2 Sim MC'!I$2/2)*1+'VaR 2 Sim MC'!I$3*_xlfn.NORM.S.INV(RAND())*SQRT(1))</f>
        <v>11396.964064720902</v>
      </c>
      <c r="D549" s="27">
        <f ca="1">D548*EXP(('VaR 2 Sim MC'!J$1-'VaR 2 Sim MC'!J$2/2)*1+'VaR 2 Sim MC'!J$3*_xlfn.NORM.S.INV(RAND())*SQRT(1))</f>
        <v>9441.9740431925693</v>
      </c>
      <c r="E549" s="27">
        <f ca="1">E548*EXP(('VaR 2 Sim MC'!K$1-'VaR 2 Sim MC'!K$2/2)*1+'VaR 2 Sim MC'!K$3*_xlfn.NORM.S.INV(RAND())*SQRT(1))</f>
        <v>5893.1383436635224</v>
      </c>
      <c r="F549" s="27">
        <f ca="1">F548*EXP(('VaR 2 Sim MC'!L$1-'VaR 2 Sim MC'!L$2/2)*1+'VaR 2 Sim MC'!L$3*_xlfn.NORM.S.INV(RAND())*SQRT(1))</f>
        <v>113.51194829575466</v>
      </c>
      <c r="G549" s="25">
        <f t="shared" ca="1" si="10"/>
        <v>10049378.083021685</v>
      </c>
    </row>
    <row r="550" spans="1:7">
      <c r="A550" s="1">
        <v>547</v>
      </c>
      <c r="B550" s="9">
        <v>39763</v>
      </c>
      <c r="C550" s="27">
        <f ca="1">C549*EXP(('VaR 2 Sim MC'!I$1-'VaR 2 Sim MC'!I$2/2)*1+'VaR 2 Sim MC'!I$3*_xlfn.NORM.S.INV(RAND())*SQRT(1))</f>
        <v>11319.483107743741</v>
      </c>
      <c r="D550" s="27">
        <f ca="1">D549*EXP(('VaR 2 Sim MC'!J$1-'VaR 2 Sim MC'!J$2/2)*1+'VaR 2 Sim MC'!J$3*_xlfn.NORM.S.INV(RAND())*SQRT(1))</f>
        <v>9434.3410347106892</v>
      </c>
      <c r="E550" s="27">
        <f ca="1">E549*EXP(('VaR 2 Sim MC'!K$1-'VaR 2 Sim MC'!K$2/2)*1+'VaR 2 Sim MC'!K$3*_xlfn.NORM.S.INV(RAND())*SQRT(1))</f>
        <v>5866.1111802904206</v>
      </c>
      <c r="F550" s="27">
        <f ca="1">F549*EXP(('VaR 2 Sim MC'!L$1-'VaR 2 Sim MC'!L$2/2)*1+'VaR 2 Sim MC'!L$3*_xlfn.NORM.S.INV(RAND())*SQRT(1))</f>
        <v>115.29062838293389</v>
      </c>
      <c r="G550" s="25">
        <f t="shared" ca="1" si="10"/>
        <v>10046045.995977163</v>
      </c>
    </row>
    <row r="551" spans="1:7">
      <c r="A551" s="1">
        <v>548</v>
      </c>
      <c r="B551" s="9">
        <v>39764</v>
      </c>
      <c r="C551" s="27">
        <f ca="1">C550*EXP(('VaR 2 Sim MC'!I$1-'VaR 2 Sim MC'!I$2/2)*1+'VaR 2 Sim MC'!I$3*_xlfn.NORM.S.INV(RAND())*SQRT(1))</f>
        <v>11512.117551586396</v>
      </c>
      <c r="D551" s="27">
        <f ca="1">D550*EXP(('VaR 2 Sim MC'!J$1-'VaR 2 Sim MC'!J$2/2)*1+'VaR 2 Sim MC'!J$3*_xlfn.NORM.S.INV(RAND())*SQRT(1))</f>
        <v>9205.2673993370645</v>
      </c>
      <c r="E551" s="27">
        <f ca="1">E550*EXP(('VaR 2 Sim MC'!K$1-'VaR 2 Sim MC'!K$2/2)*1+'VaR 2 Sim MC'!K$3*_xlfn.NORM.S.INV(RAND())*SQRT(1))</f>
        <v>5710.8777729571984</v>
      </c>
      <c r="F551" s="27">
        <f ca="1">F550*EXP(('VaR 2 Sim MC'!L$1-'VaR 2 Sim MC'!L$2/2)*1+'VaR 2 Sim MC'!L$3*_xlfn.NORM.S.INV(RAND())*SQRT(1))</f>
        <v>116.17851260492019</v>
      </c>
      <c r="G551" s="25">
        <f t="shared" ca="1" si="10"/>
        <v>10035071.911831357</v>
      </c>
    </row>
    <row r="552" spans="1:7">
      <c r="A552" s="1">
        <v>549</v>
      </c>
      <c r="B552" s="9">
        <v>39765</v>
      </c>
      <c r="C552" s="27">
        <f ca="1">C551*EXP(('VaR 2 Sim MC'!I$1-'VaR 2 Sim MC'!I$2/2)*1+'VaR 2 Sim MC'!I$3*_xlfn.NORM.S.INV(RAND())*SQRT(1))</f>
        <v>11436.398183224326</v>
      </c>
      <c r="D552" s="27">
        <f ca="1">D551*EXP(('VaR 2 Sim MC'!J$1-'VaR 2 Sim MC'!J$2/2)*1+'VaR 2 Sim MC'!J$3*_xlfn.NORM.S.INV(RAND())*SQRT(1))</f>
        <v>9196.8586707974082</v>
      </c>
      <c r="E552" s="27">
        <f ca="1">E551*EXP(('VaR 2 Sim MC'!K$1-'VaR 2 Sim MC'!K$2/2)*1+'VaR 2 Sim MC'!K$3*_xlfn.NORM.S.INV(RAND())*SQRT(1))</f>
        <v>5682.3609834398549</v>
      </c>
      <c r="F552" s="27">
        <f ca="1">F551*EXP(('VaR 2 Sim MC'!L$1-'VaR 2 Sim MC'!L$2/2)*1+'VaR 2 Sim MC'!L$3*_xlfn.NORM.S.INV(RAND())*SQRT(1))</f>
        <v>114.00047253752346</v>
      </c>
      <c r="G552" s="25">
        <f t="shared" ca="1" si="10"/>
        <v>9961755.6002112888</v>
      </c>
    </row>
    <row r="553" spans="1:7">
      <c r="A553" s="1">
        <v>550</v>
      </c>
      <c r="B553" s="9">
        <v>39766</v>
      </c>
      <c r="C553" s="27">
        <f ca="1">C552*EXP(('VaR 2 Sim MC'!I$1-'VaR 2 Sim MC'!I$2/2)*1+'VaR 2 Sim MC'!I$3*_xlfn.NORM.S.INV(RAND())*SQRT(1))</f>
        <v>11352.80740808574</v>
      </c>
      <c r="D553" s="27">
        <f ca="1">D552*EXP(('VaR 2 Sim MC'!J$1-'VaR 2 Sim MC'!J$2/2)*1+'VaR 2 Sim MC'!J$3*_xlfn.NORM.S.INV(RAND())*SQRT(1))</f>
        <v>9365.6271939052622</v>
      </c>
      <c r="E553" s="27">
        <f ca="1">E552*EXP(('VaR 2 Sim MC'!K$1-'VaR 2 Sim MC'!K$2/2)*1+'VaR 2 Sim MC'!K$3*_xlfn.NORM.S.INV(RAND())*SQRT(1))</f>
        <v>5650.5042305155685</v>
      </c>
      <c r="F553" s="27">
        <f ca="1">F552*EXP(('VaR 2 Sim MC'!L$1-'VaR 2 Sim MC'!L$2/2)*1+'VaR 2 Sim MC'!L$3*_xlfn.NORM.S.INV(RAND())*SQRT(1))</f>
        <v>116.68923872869411</v>
      </c>
      <c r="G553" s="25">
        <f t="shared" ca="1" si="10"/>
        <v>10026686.468315747</v>
      </c>
    </row>
    <row r="554" spans="1:7">
      <c r="A554" s="1">
        <v>551</v>
      </c>
      <c r="B554" s="9">
        <v>39767</v>
      </c>
      <c r="C554" s="27">
        <f ca="1">C553*EXP(('VaR 2 Sim MC'!I$1-'VaR 2 Sim MC'!I$2/2)*1+'VaR 2 Sim MC'!I$3*_xlfn.NORM.S.INV(RAND())*SQRT(1))</f>
        <v>11428.179234527195</v>
      </c>
      <c r="D554" s="27">
        <f ca="1">D553*EXP(('VaR 2 Sim MC'!J$1-'VaR 2 Sim MC'!J$2/2)*1+'VaR 2 Sim MC'!J$3*_xlfn.NORM.S.INV(RAND())*SQRT(1))</f>
        <v>9311.6218538576013</v>
      </c>
      <c r="E554" s="27">
        <f ca="1">E553*EXP(('VaR 2 Sim MC'!K$1-'VaR 2 Sim MC'!K$2/2)*1+'VaR 2 Sim MC'!K$3*_xlfn.NORM.S.INV(RAND())*SQRT(1))</f>
        <v>5715.2402735470105</v>
      </c>
      <c r="F554" s="27">
        <f ca="1">F553*EXP(('VaR 2 Sim MC'!L$1-'VaR 2 Sim MC'!L$2/2)*1+'VaR 2 Sim MC'!L$3*_xlfn.NORM.S.INV(RAND())*SQRT(1))</f>
        <v>117.42504073509204</v>
      </c>
      <c r="G554" s="25">
        <f t="shared" ca="1" si="10"/>
        <v>10060646.909798346</v>
      </c>
    </row>
    <row r="555" spans="1:7">
      <c r="A555" s="1">
        <v>552</v>
      </c>
      <c r="B555" s="9">
        <v>39768</v>
      </c>
      <c r="C555" s="27">
        <f ca="1">C554*EXP(('VaR 2 Sim MC'!I$1-'VaR 2 Sim MC'!I$2/2)*1+'VaR 2 Sim MC'!I$3*_xlfn.NORM.S.INV(RAND())*SQRT(1))</f>
        <v>11582.08076092087</v>
      </c>
      <c r="D555" s="27">
        <f ca="1">D554*EXP(('VaR 2 Sim MC'!J$1-'VaR 2 Sim MC'!J$2/2)*1+'VaR 2 Sim MC'!J$3*_xlfn.NORM.S.INV(RAND())*SQRT(1))</f>
        <v>9199.3813860669907</v>
      </c>
      <c r="E555" s="27">
        <f ca="1">E554*EXP(('VaR 2 Sim MC'!K$1-'VaR 2 Sim MC'!K$2/2)*1+'VaR 2 Sim MC'!K$3*_xlfn.NORM.S.INV(RAND())*SQRT(1))</f>
        <v>5792.770103009957</v>
      </c>
      <c r="F555" s="27">
        <f ca="1">F554*EXP(('VaR 2 Sim MC'!L$1-'VaR 2 Sim MC'!L$2/2)*1+'VaR 2 Sim MC'!L$3*_xlfn.NORM.S.INV(RAND())*SQRT(1))</f>
        <v>117.06827611080881</v>
      </c>
      <c r="G555" s="25">
        <f t="shared" ca="1" si="10"/>
        <v>10087603.213516556</v>
      </c>
    </row>
    <row r="556" spans="1:7">
      <c r="A556" s="1">
        <v>553</v>
      </c>
      <c r="B556" s="9">
        <v>39769</v>
      </c>
      <c r="C556" s="27">
        <f ca="1">C555*EXP(('VaR 2 Sim MC'!I$1-'VaR 2 Sim MC'!I$2/2)*1+'VaR 2 Sim MC'!I$3*_xlfn.NORM.S.INV(RAND())*SQRT(1))</f>
        <v>11472.132989742462</v>
      </c>
      <c r="D556" s="27">
        <f ca="1">D555*EXP(('VaR 2 Sim MC'!J$1-'VaR 2 Sim MC'!J$2/2)*1+'VaR 2 Sim MC'!J$3*_xlfn.NORM.S.INV(RAND())*SQRT(1))</f>
        <v>9102.1257579866269</v>
      </c>
      <c r="E556" s="27">
        <f ca="1">E555*EXP(('VaR 2 Sim MC'!K$1-'VaR 2 Sim MC'!K$2/2)*1+'VaR 2 Sim MC'!K$3*_xlfn.NORM.S.INV(RAND())*SQRT(1))</f>
        <v>5984.8969624119563</v>
      </c>
      <c r="F556" s="27">
        <f ca="1">F555*EXP(('VaR 2 Sim MC'!L$1-'VaR 2 Sim MC'!L$2/2)*1+'VaR 2 Sim MC'!L$3*_xlfn.NORM.S.INV(RAND())*SQRT(1))</f>
        <v>115.96205012799517</v>
      </c>
      <c r="G556" s="25">
        <f t="shared" ca="1" si="10"/>
        <v>10028685.653310476</v>
      </c>
    </row>
    <row r="557" spans="1:7">
      <c r="A557" s="1">
        <v>554</v>
      </c>
      <c r="B557" s="9">
        <v>39770</v>
      </c>
      <c r="C557" s="27">
        <f ca="1">C556*EXP(('VaR 2 Sim MC'!I$1-'VaR 2 Sim MC'!I$2/2)*1+'VaR 2 Sim MC'!I$3*_xlfn.NORM.S.INV(RAND())*SQRT(1))</f>
        <v>11257.895998866348</v>
      </c>
      <c r="D557" s="27">
        <f ca="1">D556*EXP(('VaR 2 Sim MC'!J$1-'VaR 2 Sim MC'!J$2/2)*1+'VaR 2 Sim MC'!J$3*_xlfn.NORM.S.INV(RAND())*SQRT(1))</f>
        <v>9085.5374368690154</v>
      </c>
      <c r="E557" s="27">
        <f ca="1">E556*EXP(('VaR 2 Sim MC'!K$1-'VaR 2 Sim MC'!K$2/2)*1+'VaR 2 Sim MC'!K$3*_xlfn.NORM.S.INV(RAND())*SQRT(1))</f>
        <v>5838.65558093246</v>
      </c>
      <c r="F557" s="27">
        <f ca="1">F556*EXP(('VaR 2 Sim MC'!L$1-'VaR 2 Sim MC'!L$2/2)*1+'VaR 2 Sim MC'!L$3*_xlfn.NORM.S.INV(RAND())*SQRT(1))</f>
        <v>117.21936306885218</v>
      </c>
      <c r="G557" s="25">
        <f t="shared" ca="1" si="10"/>
        <v>9944455.9077739902</v>
      </c>
    </row>
    <row r="558" spans="1:7">
      <c r="A558" s="1">
        <v>555</v>
      </c>
      <c r="B558" s="9">
        <v>39771</v>
      </c>
      <c r="C558" s="27">
        <f ca="1">C557*EXP(('VaR 2 Sim MC'!I$1-'VaR 2 Sim MC'!I$2/2)*1+'VaR 2 Sim MC'!I$3*_xlfn.NORM.S.INV(RAND())*SQRT(1))</f>
        <v>11422.833296082803</v>
      </c>
      <c r="D558" s="27">
        <f ca="1">D557*EXP(('VaR 2 Sim MC'!J$1-'VaR 2 Sim MC'!J$2/2)*1+'VaR 2 Sim MC'!J$3*_xlfn.NORM.S.INV(RAND())*SQRT(1))</f>
        <v>9205.2563418976551</v>
      </c>
      <c r="E558" s="27">
        <f ca="1">E557*EXP(('VaR 2 Sim MC'!K$1-'VaR 2 Sim MC'!K$2/2)*1+'VaR 2 Sim MC'!K$3*_xlfn.NORM.S.INV(RAND())*SQRT(1))</f>
        <v>5898.4060867265534</v>
      </c>
      <c r="F558" s="27">
        <f ca="1">F557*EXP(('VaR 2 Sim MC'!L$1-'VaR 2 Sim MC'!L$2/2)*1+'VaR 2 Sim MC'!L$3*_xlfn.NORM.S.INV(RAND())*SQRT(1))</f>
        <v>119.53835532267529</v>
      </c>
      <c r="G558" s="25">
        <f t="shared" ca="1" si="10"/>
        <v>10092471.005031118</v>
      </c>
    </row>
    <row r="559" spans="1:7">
      <c r="A559" s="1">
        <v>556</v>
      </c>
      <c r="B559" s="9">
        <v>39772</v>
      </c>
      <c r="C559" s="27">
        <f ca="1">C558*EXP(('VaR 2 Sim MC'!I$1-'VaR 2 Sim MC'!I$2/2)*1+'VaR 2 Sim MC'!I$3*_xlfn.NORM.S.INV(RAND())*SQRT(1))</f>
        <v>11491.205300412934</v>
      </c>
      <c r="D559" s="27">
        <f ca="1">D558*EXP(('VaR 2 Sim MC'!J$1-'VaR 2 Sim MC'!J$2/2)*1+'VaR 2 Sim MC'!J$3*_xlfn.NORM.S.INV(RAND())*SQRT(1))</f>
        <v>9001.1103571965687</v>
      </c>
      <c r="E559" s="27">
        <f ca="1">E558*EXP(('VaR 2 Sim MC'!K$1-'VaR 2 Sim MC'!K$2/2)*1+'VaR 2 Sim MC'!K$3*_xlfn.NORM.S.INV(RAND())*SQRT(1))</f>
        <v>5936.4419650805285</v>
      </c>
      <c r="F559" s="27">
        <f ca="1">F558*EXP(('VaR 2 Sim MC'!L$1-'VaR 2 Sim MC'!L$2/2)*1+'VaR 2 Sim MC'!L$3*_xlfn.NORM.S.INV(RAND())*SQRT(1))</f>
        <v>118.39082119186763</v>
      </c>
      <c r="G559" s="25">
        <f t="shared" ca="1" si="10"/>
        <v>10039279.562226504</v>
      </c>
    </row>
    <row r="560" spans="1:7">
      <c r="A560" s="1">
        <v>557</v>
      </c>
      <c r="B560" s="9">
        <v>39773</v>
      </c>
      <c r="C560" s="27">
        <f ca="1">C559*EXP(('VaR 2 Sim MC'!I$1-'VaR 2 Sim MC'!I$2/2)*1+'VaR 2 Sim MC'!I$3*_xlfn.NORM.S.INV(RAND())*SQRT(1))</f>
        <v>11657.904539961419</v>
      </c>
      <c r="D560" s="27">
        <f ca="1">D559*EXP(('VaR 2 Sim MC'!J$1-'VaR 2 Sim MC'!J$2/2)*1+'VaR 2 Sim MC'!J$3*_xlfn.NORM.S.INV(RAND())*SQRT(1))</f>
        <v>9231.5007217423645</v>
      </c>
      <c r="E560" s="27">
        <f ca="1">E559*EXP(('VaR 2 Sim MC'!K$1-'VaR 2 Sim MC'!K$2/2)*1+'VaR 2 Sim MC'!K$3*_xlfn.NORM.S.INV(RAND())*SQRT(1))</f>
        <v>5917.8411789376714</v>
      </c>
      <c r="F560" s="27">
        <f ca="1">F559*EXP(('VaR 2 Sim MC'!L$1-'VaR 2 Sim MC'!L$2/2)*1+'VaR 2 Sim MC'!L$3*_xlfn.NORM.S.INV(RAND())*SQRT(1))</f>
        <v>118.04416195470172</v>
      </c>
      <c r="G560" s="25">
        <f t="shared" ca="1" si="10"/>
        <v>10162628.724808397</v>
      </c>
    </row>
    <row r="561" spans="1:7">
      <c r="A561" s="1">
        <v>558</v>
      </c>
      <c r="B561" s="9">
        <v>39774</v>
      </c>
      <c r="C561" s="27">
        <f ca="1">C560*EXP(('VaR 2 Sim MC'!I$1-'VaR 2 Sim MC'!I$2/2)*1+'VaR 2 Sim MC'!I$3*_xlfn.NORM.S.INV(RAND())*SQRT(1))</f>
        <v>11554.880388228126</v>
      </c>
      <c r="D561" s="27">
        <f ca="1">D560*EXP(('VaR 2 Sim MC'!J$1-'VaR 2 Sim MC'!J$2/2)*1+'VaR 2 Sim MC'!J$3*_xlfn.NORM.S.INV(RAND())*SQRT(1))</f>
        <v>9241.1108567647243</v>
      </c>
      <c r="E561" s="27">
        <f ca="1">E560*EXP(('VaR 2 Sim MC'!K$1-'VaR 2 Sim MC'!K$2/2)*1+'VaR 2 Sim MC'!K$3*_xlfn.NORM.S.INV(RAND())*SQRT(1))</f>
        <v>5929.1161983751144</v>
      </c>
      <c r="F561" s="27">
        <f ca="1">F560*EXP(('VaR 2 Sim MC'!L$1-'VaR 2 Sim MC'!L$2/2)*1+'VaR 2 Sim MC'!L$3*_xlfn.NORM.S.INV(RAND())*SQRT(1))</f>
        <v>117.52566006433763</v>
      </c>
      <c r="G561" s="25">
        <f t="shared" ca="1" si="10"/>
        <v>10120870.518380465</v>
      </c>
    </row>
    <row r="562" spans="1:7">
      <c r="A562" s="1">
        <v>559</v>
      </c>
      <c r="B562" s="9">
        <v>39775</v>
      </c>
      <c r="C562" s="27">
        <f ca="1">C561*EXP(('VaR 2 Sim MC'!I$1-'VaR 2 Sim MC'!I$2/2)*1+'VaR 2 Sim MC'!I$3*_xlfn.NORM.S.INV(RAND())*SQRT(1))</f>
        <v>11754.099263508095</v>
      </c>
      <c r="D562" s="27">
        <f ca="1">D561*EXP(('VaR 2 Sim MC'!J$1-'VaR 2 Sim MC'!J$2/2)*1+'VaR 2 Sim MC'!J$3*_xlfn.NORM.S.INV(RAND())*SQRT(1))</f>
        <v>9254.2521482827815</v>
      </c>
      <c r="E562" s="27">
        <f ca="1">E561*EXP(('VaR 2 Sim MC'!K$1-'VaR 2 Sim MC'!K$2/2)*1+'VaR 2 Sim MC'!K$3*_xlfn.NORM.S.INV(RAND())*SQRT(1))</f>
        <v>5930.9981341284447</v>
      </c>
      <c r="F562" s="27">
        <f ca="1">F561*EXP(('VaR 2 Sim MC'!L$1-'VaR 2 Sim MC'!L$2/2)*1+'VaR 2 Sim MC'!L$3*_xlfn.NORM.S.INV(RAND())*SQRT(1))</f>
        <v>118.32301243874934</v>
      </c>
      <c r="G562" s="25">
        <f t="shared" ca="1" si="10"/>
        <v>10211713.652283378</v>
      </c>
    </row>
    <row r="563" spans="1:7">
      <c r="A563" s="1">
        <v>560</v>
      </c>
      <c r="B563" s="9">
        <v>39776</v>
      </c>
      <c r="C563" s="27">
        <f ca="1">C562*EXP(('VaR 2 Sim MC'!I$1-'VaR 2 Sim MC'!I$2/2)*1+'VaR 2 Sim MC'!I$3*_xlfn.NORM.S.INV(RAND())*SQRT(1))</f>
        <v>11792.436943861441</v>
      </c>
      <c r="D563" s="27">
        <f ca="1">D562*EXP(('VaR 2 Sim MC'!J$1-'VaR 2 Sim MC'!J$2/2)*1+'VaR 2 Sim MC'!J$3*_xlfn.NORM.S.INV(RAND())*SQRT(1))</f>
        <v>9355.3751414241597</v>
      </c>
      <c r="E563" s="27">
        <f ca="1">E562*EXP(('VaR 2 Sim MC'!K$1-'VaR 2 Sim MC'!K$2/2)*1+'VaR 2 Sim MC'!K$3*_xlfn.NORM.S.INV(RAND())*SQRT(1))</f>
        <v>6005.4403374752601</v>
      </c>
      <c r="F563" s="27">
        <f ca="1">F562*EXP(('VaR 2 Sim MC'!L$1-'VaR 2 Sim MC'!L$2/2)*1+'VaR 2 Sim MC'!L$3*_xlfn.NORM.S.INV(RAND())*SQRT(1))</f>
        <v>116.43545289955779</v>
      </c>
      <c r="G563" s="25">
        <f t="shared" ca="1" si="10"/>
        <v>10235773.228642289</v>
      </c>
    </row>
    <row r="564" spans="1:7">
      <c r="A564" s="1">
        <v>561</v>
      </c>
      <c r="B564" s="9">
        <v>39777</v>
      </c>
      <c r="C564" s="27">
        <f ca="1">C563*EXP(('VaR 2 Sim MC'!I$1-'VaR 2 Sim MC'!I$2/2)*1+'VaR 2 Sim MC'!I$3*_xlfn.NORM.S.INV(RAND())*SQRT(1))</f>
        <v>11758.443546848383</v>
      </c>
      <c r="D564" s="27">
        <f ca="1">D563*EXP(('VaR 2 Sim MC'!J$1-'VaR 2 Sim MC'!J$2/2)*1+'VaR 2 Sim MC'!J$3*_xlfn.NORM.S.INV(RAND())*SQRT(1))</f>
        <v>9222.710537570134</v>
      </c>
      <c r="E564" s="27">
        <f ca="1">E563*EXP(('VaR 2 Sim MC'!K$1-'VaR 2 Sim MC'!K$2/2)*1+'VaR 2 Sim MC'!K$3*_xlfn.NORM.S.INV(RAND())*SQRT(1))</f>
        <v>6177.0982848488366</v>
      </c>
      <c r="F564" s="27">
        <f ca="1">F563*EXP(('VaR 2 Sim MC'!L$1-'VaR 2 Sim MC'!L$2/2)*1+'VaR 2 Sim MC'!L$3*_xlfn.NORM.S.INV(RAND())*SQRT(1))</f>
        <v>116.4765520973567</v>
      </c>
      <c r="G564" s="25">
        <f t="shared" ca="1" si="10"/>
        <v>10210392.169616645</v>
      </c>
    </row>
    <row r="565" spans="1:7">
      <c r="A565" s="1">
        <v>562</v>
      </c>
      <c r="B565" s="9">
        <v>39778</v>
      </c>
      <c r="C565" s="27">
        <f ca="1">C564*EXP(('VaR 2 Sim MC'!I$1-'VaR 2 Sim MC'!I$2/2)*1+'VaR 2 Sim MC'!I$3*_xlfn.NORM.S.INV(RAND())*SQRT(1))</f>
        <v>11790.697637108246</v>
      </c>
      <c r="D565" s="27">
        <f ca="1">D564*EXP(('VaR 2 Sim MC'!J$1-'VaR 2 Sim MC'!J$2/2)*1+'VaR 2 Sim MC'!J$3*_xlfn.NORM.S.INV(RAND())*SQRT(1))</f>
        <v>9125.4293000009893</v>
      </c>
      <c r="E565" s="27">
        <f ca="1">E564*EXP(('VaR 2 Sim MC'!K$1-'VaR 2 Sim MC'!K$2/2)*1+'VaR 2 Sim MC'!K$3*_xlfn.NORM.S.INV(RAND())*SQRT(1))</f>
        <v>6079.1046382413133</v>
      </c>
      <c r="F565" s="27">
        <f ca="1">F564*EXP(('VaR 2 Sim MC'!L$1-'VaR 2 Sim MC'!L$2/2)*1+'VaR 2 Sim MC'!L$3*_xlfn.NORM.S.INV(RAND())*SQRT(1))</f>
        <v>117.96108403105386</v>
      </c>
      <c r="G565" s="25">
        <f t="shared" ca="1" si="10"/>
        <v>10202208.657153573</v>
      </c>
    </row>
    <row r="566" spans="1:7">
      <c r="A566" s="1">
        <v>563</v>
      </c>
      <c r="B566" s="9">
        <v>39779</v>
      </c>
      <c r="C566" s="27">
        <f ca="1">C565*EXP(('VaR 2 Sim MC'!I$1-'VaR 2 Sim MC'!I$2/2)*1+'VaR 2 Sim MC'!I$3*_xlfn.NORM.S.INV(RAND())*SQRT(1))</f>
        <v>11793.451134107945</v>
      </c>
      <c r="D566" s="27">
        <f ca="1">D565*EXP(('VaR 2 Sim MC'!J$1-'VaR 2 Sim MC'!J$2/2)*1+'VaR 2 Sim MC'!J$3*_xlfn.NORM.S.INV(RAND())*SQRT(1))</f>
        <v>8943.6551078512712</v>
      </c>
      <c r="E566" s="27">
        <f ca="1">E565*EXP(('VaR 2 Sim MC'!K$1-'VaR 2 Sim MC'!K$2/2)*1+'VaR 2 Sim MC'!K$3*_xlfn.NORM.S.INV(RAND())*SQRT(1))</f>
        <v>6017.2971814185166</v>
      </c>
      <c r="F566" s="27">
        <f ca="1">F565*EXP(('VaR 2 Sim MC'!L$1-'VaR 2 Sim MC'!L$2/2)*1+'VaR 2 Sim MC'!L$3*_xlfn.NORM.S.INV(RAND())*SQRT(1))</f>
        <v>116.49186807573193</v>
      </c>
      <c r="G566" s="25">
        <f t="shared" ca="1" si="10"/>
        <v>10110389.759780064</v>
      </c>
    </row>
    <row r="567" spans="1:7">
      <c r="A567" s="1">
        <v>564</v>
      </c>
      <c r="B567" s="9">
        <v>39780</v>
      </c>
      <c r="C567" s="27">
        <f ca="1">C566*EXP(('VaR 2 Sim MC'!I$1-'VaR 2 Sim MC'!I$2/2)*1+'VaR 2 Sim MC'!I$3*_xlfn.NORM.S.INV(RAND())*SQRT(1))</f>
        <v>11691.937785468213</v>
      </c>
      <c r="D567" s="27">
        <f ca="1">D566*EXP(('VaR 2 Sim MC'!J$1-'VaR 2 Sim MC'!J$2/2)*1+'VaR 2 Sim MC'!J$3*_xlfn.NORM.S.INV(RAND())*SQRT(1))</f>
        <v>8983.0812183681956</v>
      </c>
      <c r="E567" s="27">
        <f ca="1">E566*EXP(('VaR 2 Sim MC'!K$1-'VaR 2 Sim MC'!K$2/2)*1+'VaR 2 Sim MC'!K$3*_xlfn.NORM.S.INV(RAND())*SQRT(1))</f>
        <v>5956.7930760962481</v>
      </c>
      <c r="F567" s="27">
        <f ca="1">F566*EXP(('VaR 2 Sim MC'!L$1-'VaR 2 Sim MC'!L$2/2)*1+'VaR 2 Sim MC'!L$3*_xlfn.NORM.S.INV(RAND())*SQRT(1))</f>
        <v>117.92739098504481</v>
      </c>
      <c r="G567" s="25">
        <f t="shared" ca="1" si="10"/>
        <v>10101559.926157828</v>
      </c>
    </row>
    <row r="568" spans="1:7">
      <c r="A568" s="1">
        <v>565</v>
      </c>
      <c r="B568" s="9">
        <v>39781</v>
      </c>
      <c r="C568" s="27">
        <f ca="1">C567*EXP(('VaR 2 Sim MC'!I$1-'VaR 2 Sim MC'!I$2/2)*1+'VaR 2 Sim MC'!I$3*_xlfn.NORM.S.INV(RAND())*SQRT(1))</f>
        <v>11560.254966713879</v>
      </c>
      <c r="D568" s="27">
        <f ca="1">D567*EXP(('VaR 2 Sim MC'!J$1-'VaR 2 Sim MC'!J$2/2)*1+'VaR 2 Sim MC'!J$3*_xlfn.NORM.S.INV(RAND())*SQRT(1))</f>
        <v>8930.0030265349396</v>
      </c>
      <c r="E568" s="27">
        <f ca="1">E567*EXP(('VaR 2 Sim MC'!K$1-'VaR 2 Sim MC'!K$2/2)*1+'VaR 2 Sim MC'!K$3*_xlfn.NORM.S.INV(RAND())*SQRT(1))</f>
        <v>6054.8874365623842</v>
      </c>
      <c r="F568" s="27">
        <f ca="1">F567*EXP(('VaR 2 Sim MC'!L$1-'VaR 2 Sim MC'!L$2/2)*1+'VaR 2 Sim MC'!L$3*_xlfn.NORM.S.INV(RAND())*SQRT(1))</f>
        <v>119.57400247093085</v>
      </c>
      <c r="G568" s="25">
        <f t="shared" ca="1" si="10"/>
        <v>10082194.168090606</v>
      </c>
    </row>
    <row r="569" spans="1:7">
      <c r="A569" s="1">
        <v>566</v>
      </c>
      <c r="B569" s="9">
        <v>39782</v>
      </c>
      <c r="C569" s="27">
        <f ca="1">C568*EXP(('VaR 2 Sim MC'!I$1-'VaR 2 Sim MC'!I$2/2)*1+'VaR 2 Sim MC'!I$3*_xlfn.NORM.S.INV(RAND())*SQRT(1))</f>
        <v>11448.64393706758</v>
      </c>
      <c r="D569" s="27">
        <f ca="1">D568*EXP(('VaR 2 Sim MC'!J$1-'VaR 2 Sim MC'!J$2/2)*1+'VaR 2 Sim MC'!J$3*_xlfn.NORM.S.INV(RAND())*SQRT(1))</f>
        <v>8918.4596361794192</v>
      </c>
      <c r="E569" s="27">
        <f ca="1">E568*EXP(('VaR 2 Sim MC'!K$1-'VaR 2 Sim MC'!K$2/2)*1+'VaR 2 Sim MC'!K$3*_xlfn.NORM.S.INV(RAND())*SQRT(1))</f>
        <v>6099.3544615067476</v>
      </c>
      <c r="F569" s="27">
        <f ca="1">F568*EXP(('VaR 2 Sim MC'!L$1-'VaR 2 Sim MC'!L$2/2)*1+'VaR 2 Sim MC'!L$3*_xlfn.NORM.S.INV(RAND())*SQRT(1))</f>
        <v>122.88000750231829</v>
      </c>
      <c r="G569" s="25">
        <f t="shared" ref="G569:G600" ca="1" si="11">C569/$C$503*H$2+D569/$D$503*I$2+E569/$E$503*J$2+F569/$F$503*K$2</f>
        <v>10103859.482270837</v>
      </c>
    </row>
    <row r="570" spans="1:7">
      <c r="A570" s="1">
        <v>567</v>
      </c>
      <c r="B570" s="9">
        <v>39783</v>
      </c>
      <c r="C570" s="27">
        <f ca="1">C569*EXP(('VaR 2 Sim MC'!I$1-'VaR 2 Sim MC'!I$2/2)*1+'VaR 2 Sim MC'!I$3*_xlfn.NORM.S.INV(RAND())*SQRT(1))</f>
        <v>11507.978624836873</v>
      </c>
      <c r="D570" s="27">
        <f ca="1">D569*EXP(('VaR 2 Sim MC'!J$1-'VaR 2 Sim MC'!J$2/2)*1+'VaR 2 Sim MC'!J$3*_xlfn.NORM.S.INV(RAND())*SQRT(1))</f>
        <v>8993.356872426235</v>
      </c>
      <c r="E570" s="27">
        <f ca="1">E569*EXP(('VaR 2 Sim MC'!K$1-'VaR 2 Sim MC'!K$2/2)*1+'VaR 2 Sim MC'!K$3*_xlfn.NORM.S.INV(RAND())*SQRT(1))</f>
        <v>6143.9303144838032</v>
      </c>
      <c r="F570" s="27">
        <f ca="1">F569*EXP(('VaR 2 Sim MC'!L$1-'VaR 2 Sim MC'!L$2/2)*1+'VaR 2 Sim MC'!L$3*_xlfn.NORM.S.INV(RAND())*SQRT(1))</f>
        <v>120.48490668558058</v>
      </c>
      <c r="G570" s="25">
        <f t="shared" ca="1" si="11"/>
        <v>10113529.37667409</v>
      </c>
    </row>
    <row r="571" spans="1:7">
      <c r="A571" s="1">
        <v>568</v>
      </c>
      <c r="B571" s="9">
        <v>39784</v>
      </c>
      <c r="C571" s="27">
        <f ca="1">C570*EXP(('VaR 2 Sim MC'!I$1-'VaR 2 Sim MC'!I$2/2)*1+'VaR 2 Sim MC'!I$3*_xlfn.NORM.S.INV(RAND())*SQRT(1))</f>
        <v>11718.054993180318</v>
      </c>
      <c r="D571" s="27">
        <f ca="1">D570*EXP(('VaR 2 Sim MC'!J$1-'VaR 2 Sim MC'!J$2/2)*1+'VaR 2 Sim MC'!J$3*_xlfn.NORM.S.INV(RAND())*SQRT(1))</f>
        <v>8967.8141169135379</v>
      </c>
      <c r="E571" s="27">
        <f ca="1">E570*EXP(('VaR 2 Sim MC'!K$1-'VaR 2 Sim MC'!K$2/2)*1+'VaR 2 Sim MC'!K$3*_xlfn.NORM.S.INV(RAND())*SQRT(1))</f>
        <v>6137.9759187638838</v>
      </c>
      <c r="F571" s="27">
        <f ca="1">F570*EXP(('VaR 2 Sim MC'!L$1-'VaR 2 Sim MC'!L$2/2)*1+'VaR 2 Sim MC'!L$3*_xlfn.NORM.S.INV(RAND())*SQRT(1))</f>
        <v>120.58772430577407</v>
      </c>
      <c r="G571" s="25">
        <f t="shared" ca="1" si="11"/>
        <v>10182648.019866971</v>
      </c>
    </row>
    <row r="572" spans="1:7">
      <c r="A572" s="1">
        <v>569</v>
      </c>
      <c r="B572" s="9">
        <v>39785</v>
      </c>
      <c r="C572" s="27">
        <f ca="1">C571*EXP(('VaR 2 Sim MC'!I$1-'VaR 2 Sim MC'!I$2/2)*1+'VaR 2 Sim MC'!I$3*_xlfn.NORM.S.INV(RAND())*SQRT(1))</f>
        <v>11674.052375734616</v>
      </c>
      <c r="D572" s="27">
        <f ca="1">D571*EXP(('VaR 2 Sim MC'!J$1-'VaR 2 Sim MC'!J$2/2)*1+'VaR 2 Sim MC'!J$3*_xlfn.NORM.S.INV(RAND())*SQRT(1))</f>
        <v>9138.8864647944938</v>
      </c>
      <c r="E572" s="27">
        <f ca="1">E571*EXP(('VaR 2 Sim MC'!K$1-'VaR 2 Sim MC'!K$2/2)*1+'VaR 2 Sim MC'!K$3*_xlfn.NORM.S.INV(RAND())*SQRT(1))</f>
        <v>6271.9412604313411</v>
      </c>
      <c r="F572" s="27">
        <f ca="1">F571*EXP(('VaR 2 Sim MC'!L$1-'VaR 2 Sim MC'!L$2/2)*1+'VaR 2 Sim MC'!L$3*_xlfn.NORM.S.INV(RAND())*SQRT(1))</f>
        <v>123.14431101642191</v>
      </c>
      <c r="G572" s="25">
        <f t="shared" ca="1" si="11"/>
        <v>10287066.364767846</v>
      </c>
    </row>
    <row r="573" spans="1:7">
      <c r="A573" s="1">
        <v>570</v>
      </c>
      <c r="B573" s="9">
        <v>39786</v>
      </c>
      <c r="C573" s="27">
        <f ca="1">C572*EXP(('VaR 2 Sim MC'!I$1-'VaR 2 Sim MC'!I$2/2)*1+'VaR 2 Sim MC'!I$3*_xlfn.NORM.S.INV(RAND())*SQRT(1))</f>
        <v>11765.848064446736</v>
      </c>
      <c r="D573" s="27">
        <f ca="1">D572*EXP(('VaR 2 Sim MC'!J$1-'VaR 2 Sim MC'!J$2/2)*1+'VaR 2 Sim MC'!J$3*_xlfn.NORM.S.INV(RAND())*SQRT(1))</f>
        <v>9341.7786956451073</v>
      </c>
      <c r="E573" s="27">
        <f ca="1">E572*EXP(('VaR 2 Sim MC'!K$1-'VaR 2 Sim MC'!K$2/2)*1+'VaR 2 Sim MC'!K$3*_xlfn.NORM.S.INV(RAND())*SQRT(1))</f>
        <v>6202.6275259238491</v>
      </c>
      <c r="F573" s="27">
        <f ca="1">F572*EXP(('VaR 2 Sim MC'!L$1-'VaR 2 Sim MC'!L$2/2)*1+'VaR 2 Sim MC'!L$3*_xlfn.NORM.S.INV(RAND())*SQRT(1))</f>
        <v>121.74961764006349</v>
      </c>
      <c r="G573" s="25">
        <f t="shared" ca="1" si="11"/>
        <v>10347881.621647336</v>
      </c>
    </row>
    <row r="574" spans="1:7">
      <c r="A574" s="1">
        <v>571</v>
      </c>
      <c r="B574" s="9">
        <v>39787</v>
      </c>
      <c r="C574" s="27">
        <f ca="1">C573*EXP(('VaR 2 Sim MC'!I$1-'VaR 2 Sim MC'!I$2/2)*1+'VaR 2 Sim MC'!I$3*_xlfn.NORM.S.INV(RAND())*SQRT(1))</f>
        <v>11899.459287412748</v>
      </c>
      <c r="D574" s="27">
        <f ca="1">D573*EXP(('VaR 2 Sim MC'!J$1-'VaR 2 Sim MC'!J$2/2)*1+'VaR 2 Sim MC'!J$3*_xlfn.NORM.S.INV(RAND())*SQRT(1))</f>
        <v>9535.1566866778721</v>
      </c>
      <c r="E574" s="27">
        <f ca="1">E573*EXP(('VaR 2 Sim MC'!K$1-'VaR 2 Sim MC'!K$2/2)*1+'VaR 2 Sim MC'!K$3*_xlfn.NORM.S.INV(RAND())*SQRT(1))</f>
        <v>6124.1033946640882</v>
      </c>
      <c r="F574" s="27">
        <f ca="1">F573*EXP(('VaR 2 Sim MC'!L$1-'VaR 2 Sim MC'!L$2/2)*1+'VaR 2 Sim MC'!L$3*_xlfn.NORM.S.INV(RAND())*SQRT(1))</f>
        <v>117.681179150958</v>
      </c>
      <c r="G574" s="25">
        <f t="shared" ca="1" si="11"/>
        <v>10372015.876103483</v>
      </c>
    </row>
    <row r="575" spans="1:7">
      <c r="A575" s="1">
        <v>572</v>
      </c>
      <c r="B575" s="9">
        <v>39788</v>
      </c>
      <c r="C575" s="27">
        <f ca="1">C574*EXP(('VaR 2 Sim MC'!I$1-'VaR 2 Sim MC'!I$2/2)*1+'VaR 2 Sim MC'!I$3*_xlfn.NORM.S.INV(RAND())*SQRT(1))</f>
        <v>11851.259749400295</v>
      </c>
      <c r="D575" s="27">
        <f ca="1">D574*EXP(('VaR 2 Sim MC'!J$1-'VaR 2 Sim MC'!J$2/2)*1+'VaR 2 Sim MC'!J$3*_xlfn.NORM.S.INV(RAND())*SQRT(1))</f>
        <v>9776.4539653692209</v>
      </c>
      <c r="E575" s="27">
        <f ca="1">E574*EXP(('VaR 2 Sim MC'!K$1-'VaR 2 Sim MC'!K$2/2)*1+'VaR 2 Sim MC'!K$3*_xlfn.NORM.S.INV(RAND())*SQRT(1))</f>
        <v>6190.5356394059181</v>
      </c>
      <c r="F575" s="27">
        <f ca="1">F574*EXP(('VaR 2 Sim MC'!L$1-'VaR 2 Sim MC'!L$2/2)*1+'VaR 2 Sim MC'!L$3*_xlfn.NORM.S.INV(RAND())*SQRT(1))</f>
        <v>118.82833464772317</v>
      </c>
      <c r="G575" s="25">
        <f t="shared" ca="1" si="11"/>
        <v>10460979.890891651</v>
      </c>
    </row>
    <row r="576" spans="1:7">
      <c r="A576" s="1">
        <v>573</v>
      </c>
      <c r="B576" s="9">
        <v>39789</v>
      </c>
      <c r="C576" s="27">
        <f ca="1">C575*EXP(('VaR 2 Sim MC'!I$1-'VaR 2 Sim MC'!I$2/2)*1+'VaR 2 Sim MC'!I$3*_xlfn.NORM.S.INV(RAND())*SQRT(1))</f>
        <v>11844.002467680017</v>
      </c>
      <c r="D576" s="27">
        <f ca="1">D575*EXP(('VaR 2 Sim MC'!J$1-'VaR 2 Sim MC'!J$2/2)*1+'VaR 2 Sim MC'!J$3*_xlfn.NORM.S.INV(RAND())*SQRT(1))</f>
        <v>9908.0066643333212</v>
      </c>
      <c r="E576" s="27">
        <f ca="1">E575*EXP(('VaR 2 Sim MC'!K$1-'VaR 2 Sim MC'!K$2/2)*1+'VaR 2 Sim MC'!K$3*_xlfn.NORM.S.INV(RAND())*SQRT(1))</f>
        <v>6047.4881618259369</v>
      </c>
      <c r="F576" s="27">
        <f ca="1">F575*EXP(('VaR 2 Sim MC'!L$1-'VaR 2 Sim MC'!L$2/2)*1+'VaR 2 Sim MC'!L$3*_xlfn.NORM.S.INV(RAND())*SQRT(1))</f>
        <v>119.71740301094448</v>
      </c>
      <c r="G576" s="25">
        <f t="shared" ca="1" si="11"/>
        <v>10492146.647542136</v>
      </c>
    </row>
    <row r="577" spans="1:8">
      <c r="A577" s="1">
        <v>574</v>
      </c>
      <c r="B577" s="9">
        <v>39790</v>
      </c>
      <c r="C577" s="27">
        <f ca="1">C576*EXP(('VaR 2 Sim MC'!I$1-'VaR 2 Sim MC'!I$2/2)*1+'VaR 2 Sim MC'!I$3*_xlfn.NORM.S.INV(RAND())*SQRT(1))</f>
        <v>11656.881279700219</v>
      </c>
      <c r="D577" s="27">
        <f ca="1">D576*EXP(('VaR 2 Sim MC'!J$1-'VaR 2 Sim MC'!J$2/2)*1+'VaR 2 Sim MC'!J$3*_xlfn.NORM.S.INV(RAND())*SQRT(1))</f>
        <v>9880.7758894560648</v>
      </c>
      <c r="E577" s="27">
        <f ca="1">E576*EXP(('VaR 2 Sim MC'!K$1-'VaR 2 Sim MC'!K$2/2)*1+'VaR 2 Sim MC'!K$3*_xlfn.NORM.S.INV(RAND())*SQRT(1))</f>
        <v>6033.9791576418302</v>
      </c>
      <c r="F577" s="27">
        <f ca="1">F576*EXP(('VaR 2 Sim MC'!L$1-'VaR 2 Sim MC'!L$2/2)*1+'VaR 2 Sim MC'!L$3*_xlfn.NORM.S.INV(RAND())*SQRT(1))</f>
        <v>118.77730952868787</v>
      </c>
      <c r="G577" s="25">
        <f t="shared" ca="1" si="11"/>
        <v>10396885.269523684</v>
      </c>
    </row>
    <row r="578" spans="1:8">
      <c r="A578" s="1">
        <v>575</v>
      </c>
      <c r="B578" s="9">
        <v>39791</v>
      </c>
      <c r="C578" s="27">
        <f ca="1">C577*EXP(('VaR 2 Sim MC'!I$1-'VaR 2 Sim MC'!I$2/2)*1+'VaR 2 Sim MC'!I$3*_xlfn.NORM.S.INV(RAND())*SQRT(1))</f>
        <v>11366.638072169526</v>
      </c>
      <c r="D578" s="27">
        <f ca="1">D577*EXP(('VaR 2 Sim MC'!J$1-'VaR 2 Sim MC'!J$2/2)*1+'VaR 2 Sim MC'!J$3*_xlfn.NORM.S.INV(RAND())*SQRT(1))</f>
        <v>9709.5972475738308</v>
      </c>
      <c r="E578" s="27">
        <f ca="1">E577*EXP(('VaR 2 Sim MC'!K$1-'VaR 2 Sim MC'!K$2/2)*1+'VaR 2 Sim MC'!K$3*_xlfn.NORM.S.INV(RAND())*SQRT(1))</f>
        <v>6057.7109832113247</v>
      </c>
      <c r="F578" s="27">
        <f ca="1">F577*EXP(('VaR 2 Sim MC'!L$1-'VaR 2 Sim MC'!L$2/2)*1+'VaR 2 Sim MC'!L$3*_xlfn.NORM.S.INV(RAND())*SQRT(1))</f>
        <v>117.3960592928602</v>
      </c>
      <c r="G578" s="25">
        <f t="shared" ca="1" si="11"/>
        <v>10217401.649710059</v>
      </c>
    </row>
    <row r="579" spans="1:8">
      <c r="A579" s="1">
        <v>576</v>
      </c>
      <c r="B579" s="9">
        <v>39792</v>
      </c>
      <c r="C579" s="27">
        <f ca="1">C578*EXP(('VaR 2 Sim MC'!I$1-'VaR 2 Sim MC'!I$2/2)*1+'VaR 2 Sim MC'!I$3*_xlfn.NORM.S.INV(RAND())*SQRT(1))</f>
        <v>11209.495498464354</v>
      </c>
      <c r="D579" s="27">
        <f ca="1">D578*EXP(('VaR 2 Sim MC'!J$1-'VaR 2 Sim MC'!J$2/2)*1+'VaR 2 Sim MC'!J$3*_xlfn.NORM.S.INV(RAND())*SQRT(1))</f>
        <v>9590.2796853389355</v>
      </c>
      <c r="E579" s="27">
        <f ca="1">E578*EXP(('VaR 2 Sim MC'!K$1-'VaR 2 Sim MC'!K$2/2)*1+'VaR 2 Sim MC'!K$3*_xlfn.NORM.S.INV(RAND())*SQRT(1))</f>
        <v>6064.8959333738858</v>
      </c>
      <c r="F579" s="27">
        <f ca="1">F578*EXP(('VaR 2 Sim MC'!L$1-'VaR 2 Sim MC'!L$2/2)*1+'VaR 2 Sim MC'!L$3*_xlfn.NORM.S.INV(RAND())*SQRT(1))</f>
        <v>114.32289435927824</v>
      </c>
      <c r="G579" s="25">
        <f t="shared" ca="1" si="11"/>
        <v>10069766.862658933</v>
      </c>
    </row>
    <row r="580" spans="1:8">
      <c r="A580" s="1">
        <v>577</v>
      </c>
      <c r="B580" s="9">
        <v>39793</v>
      </c>
      <c r="C580" s="27">
        <f ca="1">C579*EXP(('VaR 2 Sim MC'!I$1-'VaR 2 Sim MC'!I$2/2)*1+'VaR 2 Sim MC'!I$3*_xlfn.NORM.S.INV(RAND())*SQRT(1))</f>
        <v>11136.015157518699</v>
      </c>
      <c r="D580" s="27">
        <f ca="1">D579*EXP(('VaR 2 Sim MC'!J$1-'VaR 2 Sim MC'!J$2/2)*1+'VaR 2 Sim MC'!J$3*_xlfn.NORM.S.INV(RAND())*SQRT(1))</f>
        <v>9569.9146320212294</v>
      </c>
      <c r="E580" s="27">
        <f ca="1">E579*EXP(('VaR 2 Sim MC'!K$1-'VaR 2 Sim MC'!K$2/2)*1+'VaR 2 Sim MC'!K$3*_xlfn.NORM.S.INV(RAND())*SQRT(1))</f>
        <v>6045.458480051615</v>
      </c>
      <c r="F580" s="27">
        <f ca="1">F579*EXP(('VaR 2 Sim MC'!L$1-'VaR 2 Sim MC'!L$2/2)*1+'VaR 2 Sim MC'!L$3*_xlfn.NORM.S.INV(RAND())*SQRT(1))</f>
        <v>115.1038853477657</v>
      </c>
      <c r="G580" s="25">
        <f t="shared" ca="1" si="11"/>
        <v>10047445.841092724</v>
      </c>
    </row>
    <row r="581" spans="1:8">
      <c r="A581" s="1">
        <v>578</v>
      </c>
      <c r="B581" s="9">
        <v>39794</v>
      </c>
      <c r="C581" s="27">
        <f ca="1">C580*EXP(('VaR 2 Sim MC'!I$1-'VaR 2 Sim MC'!I$2/2)*1+'VaR 2 Sim MC'!I$3*_xlfn.NORM.S.INV(RAND())*SQRT(1))</f>
        <v>11059.097196606934</v>
      </c>
      <c r="D581" s="27">
        <f ca="1">D580*EXP(('VaR 2 Sim MC'!J$1-'VaR 2 Sim MC'!J$2/2)*1+'VaR 2 Sim MC'!J$3*_xlfn.NORM.S.INV(RAND())*SQRT(1))</f>
        <v>9359.9911851025026</v>
      </c>
      <c r="E581" s="27">
        <f ca="1">E580*EXP(('VaR 2 Sim MC'!K$1-'VaR 2 Sim MC'!K$2/2)*1+'VaR 2 Sim MC'!K$3*_xlfn.NORM.S.INV(RAND())*SQRT(1))</f>
        <v>6237.5725755820122</v>
      </c>
      <c r="F581" s="27">
        <f ca="1">F580*EXP(('VaR 2 Sim MC'!L$1-'VaR 2 Sim MC'!L$2/2)*1+'VaR 2 Sim MC'!L$3*_xlfn.NORM.S.INV(RAND())*SQRT(1))</f>
        <v>115.94733720896261</v>
      </c>
      <c r="G581" s="25">
        <f t="shared" ca="1" si="11"/>
        <v>9999865.9359750375</v>
      </c>
    </row>
    <row r="582" spans="1:8">
      <c r="A582" s="1">
        <v>579</v>
      </c>
      <c r="B582" s="9">
        <v>39795</v>
      </c>
      <c r="C582" s="27">
        <f ca="1">C581*EXP(('VaR 2 Sim MC'!I$1-'VaR 2 Sim MC'!I$2/2)*1+'VaR 2 Sim MC'!I$3*_xlfn.NORM.S.INV(RAND())*SQRT(1))</f>
        <v>11136.227387823281</v>
      </c>
      <c r="D582" s="27">
        <f ca="1">D581*EXP(('VaR 2 Sim MC'!J$1-'VaR 2 Sim MC'!J$2/2)*1+'VaR 2 Sim MC'!J$3*_xlfn.NORM.S.INV(RAND())*SQRT(1))</f>
        <v>9432.1004796580037</v>
      </c>
      <c r="E582" s="27">
        <f ca="1">E581*EXP(('VaR 2 Sim MC'!K$1-'VaR 2 Sim MC'!K$2/2)*1+'VaR 2 Sim MC'!K$3*_xlfn.NORM.S.INV(RAND())*SQRT(1))</f>
        <v>6347.310779943391</v>
      </c>
      <c r="F582" s="27">
        <f ca="1">F581*EXP(('VaR 2 Sim MC'!L$1-'VaR 2 Sim MC'!L$2/2)*1+'VaR 2 Sim MC'!L$3*_xlfn.NORM.S.INV(RAND())*SQRT(1))</f>
        <v>116.03584820841012</v>
      </c>
      <c r="G582" s="25">
        <f t="shared" ca="1" si="11"/>
        <v>10069659.152215239</v>
      </c>
    </row>
    <row r="583" spans="1:8">
      <c r="A583" s="1">
        <v>580</v>
      </c>
      <c r="B583" s="9">
        <v>39796</v>
      </c>
      <c r="C583" s="27">
        <f ca="1">C582*EXP(('VaR 2 Sim MC'!I$1-'VaR 2 Sim MC'!I$2/2)*1+'VaR 2 Sim MC'!I$3*_xlfn.NORM.S.INV(RAND())*SQRT(1))</f>
        <v>11004.889758841016</v>
      </c>
      <c r="D583" s="27">
        <f ca="1">D582*EXP(('VaR 2 Sim MC'!J$1-'VaR 2 Sim MC'!J$2/2)*1+'VaR 2 Sim MC'!J$3*_xlfn.NORM.S.INV(RAND())*SQRT(1))</f>
        <v>9594.4573686296244</v>
      </c>
      <c r="E583" s="27">
        <f ca="1">E582*EXP(('VaR 2 Sim MC'!K$1-'VaR 2 Sim MC'!K$2/2)*1+'VaR 2 Sim MC'!K$3*_xlfn.NORM.S.INV(RAND())*SQRT(1))</f>
        <v>6485.8391559091069</v>
      </c>
      <c r="F583" s="27">
        <f ca="1">F582*EXP(('VaR 2 Sim MC'!L$1-'VaR 2 Sim MC'!L$2/2)*1+'VaR 2 Sim MC'!L$3*_xlfn.NORM.S.INV(RAND())*SQRT(1))</f>
        <v>115.41132494109958</v>
      </c>
      <c r="G583" s="25">
        <f t="shared" ca="1" si="11"/>
        <v>10084003.588878183</v>
      </c>
    </row>
    <row r="584" spans="1:8">
      <c r="A584" s="1">
        <v>581</v>
      </c>
      <c r="B584" s="9">
        <v>39797</v>
      </c>
      <c r="C584" s="27">
        <f ca="1">C583*EXP(('VaR 2 Sim MC'!I$1-'VaR 2 Sim MC'!I$2/2)*1+'VaR 2 Sim MC'!I$3*_xlfn.NORM.S.INV(RAND())*SQRT(1))</f>
        <v>10985.619339544708</v>
      </c>
      <c r="D584" s="27">
        <f ca="1">D583*EXP(('VaR 2 Sim MC'!J$1-'VaR 2 Sim MC'!J$2/2)*1+'VaR 2 Sim MC'!J$3*_xlfn.NORM.S.INV(RAND())*SQRT(1))</f>
        <v>9541.4716554532515</v>
      </c>
      <c r="E584" s="27">
        <f ca="1">E583*EXP(('VaR 2 Sim MC'!K$1-'VaR 2 Sim MC'!K$2/2)*1+'VaR 2 Sim MC'!K$3*_xlfn.NORM.S.INV(RAND())*SQRT(1))</f>
        <v>6454.3088878418839</v>
      </c>
      <c r="F584" s="27">
        <f ca="1">F583*EXP(('VaR 2 Sim MC'!L$1-'VaR 2 Sim MC'!L$2/2)*1+'VaR 2 Sim MC'!L$3*_xlfn.NORM.S.INV(RAND())*SQRT(1))</f>
        <v>114.32329727977071</v>
      </c>
      <c r="G584" s="25">
        <f t="shared" ca="1" si="11"/>
        <v>10036079.28741779</v>
      </c>
    </row>
    <row r="585" spans="1:8">
      <c r="A585" s="1">
        <v>582</v>
      </c>
      <c r="B585" s="9">
        <v>39798</v>
      </c>
      <c r="C585" s="27">
        <f ca="1">C584*EXP(('VaR 2 Sim MC'!I$1-'VaR 2 Sim MC'!I$2/2)*1+'VaR 2 Sim MC'!I$3*_xlfn.NORM.S.INV(RAND())*SQRT(1))</f>
        <v>10884.836143535662</v>
      </c>
      <c r="D585" s="27">
        <f ca="1">D584*EXP(('VaR 2 Sim MC'!J$1-'VaR 2 Sim MC'!J$2/2)*1+'VaR 2 Sim MC'!J$3*_xlfn.NORM.S.INV(RAND())*SQRT(1))</f>
        <v>9497.0926277570961</v>
      </c>
      <c r="E585" s="27">
        <f ca="1">E584*EXP(('VaR 2 Sim MC'!K$1-'VaR 2 Sim MC'!K$2/2)*1+'VaR 2 Sim MC'!K$3*_xlfn.NORM.S.INV(RAND())*SQRT(1))</f>
        <v>6455.082170796627</v>
      </c>
      <c r="F585" s="27">
        <f ca="1">F584*EXP(('VaR 2 Sim MC'!L$1-'VaR 2 Sim MC'!L$2/2)*1+'VaR 2 Sim MC'!L$3*_xlfn.NORM.S.INV(RAND())*SQRT(1))</f>
        <v>112.06603821748912</v>
      </c>
      <c r="G585" s="25">
        <f t="shared" ca="1" si="11"/>
        <v>9945745.8473121077</v>
      </c>
    </row>
    <row r="586" spans="1:8">
      <c r="A586" s="1">
        <v>583</v>
      </c>
      <c r="B586" s="9">
        <v>39799</v>
      </c>
      <c r="C586" s="27">
        <f ca="1">C585*EXP(('VaR 2 Sim MC'!I$1-'VaR 2 Sim MC'!I$2/2)*1+'VaR 2 Sim MC'!I$3*_xlfn.NORM.S.INV(RAND())*SQRT(1))</f>
        <v>10885.08221179087</v>
      </c>
      <c r="D586" s="27">
        <f ca="1">D585*EXP(('VaR 2 Sim MC'!J$1-'VaR 2 Sim MC'!J$2/2)*1+'VaR 2 Sim MC'!J$3*_xlfn.NORM.S.INV(RAND())*SQRT(1))</f>
        <v>9496.0430071718438</v>
      </c>
      <c r="E586" s="27">
        <f ca="1">E585*EXP(('VaR 2 Sim MC'!K$1-'VaR 2 Sim MC'!K$2/2)*1+'VaR 2 Sim MC'!K$3*_xlfn.NORM.S.INV(RAND())*SQRT(1))</f>
        <v>6579.9202642370356</v>
      </c>
      <c r="F586" s="27">
        <f ca="1">F585*EXP(('VaR 2 Sim MC'!L$1-'VaR 2 Sim MC'!L$2/2)*1+'VaR 2 Sim MC'!L$3*_xlfn.NORM.S.INV(RAND())*SQRT(1))</f>
        <v>112.05624593798734</v>
      </c>
      <c r="G586" s="25">
        <f t="shared" ca="1" si="11"/>
        <v>9965467.4399163667</v>
      </c>
    </row>
    <row r="587" spans="1:8">
      <c r="A587" s="1">
        <v>584</v>
      </c>
      <c r="B587" s="9">
        <v>39800</v>
      </c>
      <c r="C587" s="27">
        <f ca="1">C586*EXP(('VaR 2 Sim MC'!I$1-'VaR 2 Sim MC'!I$2/2)*1+'VaR 2 Sim MC'!I$3*_xlfn.NORM.S.INV(RAND())*SQRT(1))</f>
        <v>11018.454856389008</v>
      </c>
      <c r="D587" s="27">
        <f ca="1">D586*EXP(('VaR 2 Sim MC'!J$1-'VaR 2 Sim MC'!J$2/2)*1+'VaR 2 Sim MC'!J$3*_xlfn.NORM.S.INV(RAND())*SQRT(1))</f>
        <v>9340.1214777359583</v>
      </c>
      <c r="E587" s="27">
        <f ca="1">E586*EXP(('VaR 2 Sim MC'!K$1-'VaR 2 Sim MC'!K$2/2)*1+'VaR 2 Sim MC'!K$3*_xlfn.NORM.S.INV(RAND())*SQRT(1))</f>
        <v>6746.195020692071</v>
      </c>
      <c r="F587" s="27">
        <f ca="1">F586*EXP(('VaR 2 Sim MC'!L$1-'VaR 2 Sim MC'!L$2/2)*1+'VaR 2 Sim MC'!L$3*_xlfn.NORM.S.INV(RAND())*SQRT(1))</f>
        <v>110.1734501067471</v>
      </c>
      <c r="G587" s="25">
        <f t="shared" ca="1" si="11"/>
        <v>9958583.9578488115</v>
      </c>
    </row>
    <row r="588" spans="1:8">
      <c r="A588" s="1">
        <v>585</v>
      </c>
      <c r="B588" s="9">
        <v>39801</v>
      </c>
      <c r="C588" s="27">
        <f ca="1">C587*EXP(('VaR 2 Sim MC'!I$1-'VaR 2 Sim MC'!I$2/2)*1+'VaR 2 Sim MC'!I$3*_xlfn.NORM.S.INV(RAND())*SQRT(1))</f>
        <v>11061.745546770901</v>
      </c>
      <c r="D588" s="27">
        <f ca="1">D587*EXP(('VaR 2 Sim MC'!J$1-'VaR 2 Sim MC'!J$2/2)*1+'VaR 2 Sim MC'!J$3*_xlfn.NORM.S.INV(RAND())*SQRT(1))</f>
        <v>9329.9977008266997</v>
      </c>
      <c r="E588" s="27">
        <f ca="1">E587*EXP(('VaR 2 Sim MC'!K$1-'VaR 2 Sim MC'!K$2/2)*1+'VaR 2 Sim MC'!K$3*_xlfn.NORM.S.INV(RAND())*SQRT(1))</f>
        <v>6644.4659626405237</v>
      </c>
      <c r="F588" s="27">
        <f ca="1">F587*EXP(('VaR 2 Sim MC'!L$1-'VaR 2 Sim MC'!L$2/2)*1+'VaR 2 Sim MC'!L$3*_xlfn.NORM.S.INV(RAND())*SQRT(1))</f>
        <v>111.37654183849732</v>
      </c>
      <c r="G588" s="25">
        <f t="shared" ca="1" si="11"/>
        <v>9976051.173455067</v>
      </c>
    </row>
    <row r="589" spans="1:8">
      <c r="A589" s="1">
        <v>586</v>
      </c>
      <c r="B589" s="9">
        <v>39802</v>
      </c>
      <c r="C589" s="27">
        <f ca="1">C588*EXP(('VaR 2 Sim MC'!I$1-'VaR 2 Sim MC'!I$2/2)*1+'VaR 2 Sim MC'!I$3*_xlfn.NORM.S.INV(RAND())*SQRT(1))</f>
        <v>11106.872114445614</v>
      </c>
      <c r="D589" s="27">
        <f ca="1">D588*EXP(('VaR 2 Sim MC'!J$1-'VaR 2 Sim MC'!J$2/2)*1+'VaR 2 Sim MC'!J$3*_xlfn.NORM.S.INV(RAND())*SQRT(1))</f>
        <v>9325.1892177836144</v>
      </c>
      <c r="E589" s="27">
        <f ca="1">E588*EXP(('VaR 2 Sim MC'!K$1-'VaR 2 Sim MC'!K$2/2)*1+'VaR 2 Sim MC'!K$3*_xlfn.NORM.S.INV(RAND())*SQRT(1))</f>
        <v>6447.2259898415232</v>
      </c>
      <c r="F589" s="27">
        <f ca="1">F588*EXP(('VaR 2 Sim MC'!L$1-'VaR 2 Sim MC'!L$2/2)*1+'VaR 2 Sim MC'!L$3*_xlfn.NORM.S.INV(RAND())*SQRT(1))</f>
        <v>111.79743256324787</v>
      </c>
      <c r="G589" s="25">
        <f t="shared" ca="1" si="11"/>
        <v>9966575.5962991044</v>
      </c>
    </row>
    <row r="590" spans="1:8">
      <c r="A590" s="1">
        <v>587</v>
      </c>
      <c r="B590" s="9">
        <v>39803</v>
      </c>
      <c r="C590" s="27">
        <f ca="1">C589*EXP(('VaR 2 Sim MC'!I$1-'VaR 2 Sim MC'!I$2/2)*1+'VaR 2 Sim MC'!I$3*_xlfn.NORM.S.INV(RAND())*SQRT(1))</f>
        <v>11142.585939451323</v>
      </c>
      <c r="D590" s="27">
        <f ca="1">D589*EXP(('VaR 2 Sim MC'!J$1-'VaR 2 Sim MC'!J$2/2)*1+'VaR 2 Sim MC'!J$3*_xlfn.NORM.S.INV(RAND())*SQRT(1))</f>
        <v>9188.4182408834986</v>
      </c>
      <c r="E590" s="27">
        <f ca="1">E589*EXP(('VaR 2 Sim MC'!K$1-'VaR 2 Sim MC'!K$2/2)*1+'VaR 2 Sim MC'!K$3*_xlfn.NORM.S.INV(RAND())*SQRT(1))</f>
        <v>6597.5329616815616</v>
      </c>
      <c r="F590" s="27">
        <f ca="1">F589*EXP(('VaR 2 Sim MC'!L$1-'VaR 2 Sim MC'!L$2/2)*1+'VaR 2 Sim MC'!L$3*_xlfn.NORM.S.INV(RAND())*SQRT(1))</f>
        <v>111.35056396464026</v>
      </c>
      <c r="G590" s="25">
        <f t="shared" ca="1" si="11"/>
        <v>9953114.9294233061</v>
      </c>
    </row>
    <row r="591" spans="1:8">
      <c r="A591" s="1">
        <v>588</v>
      </c>
      <c r="B591" s="9">
        <v>39804</v>
      </c>
      <c r="C591" s="27">
        <f ca="1">C590*EXP(('VaR 2 Sim MC'!I$1-'VaR 2 Sim MC'!I$2/2)*1+'VaR 2 Sim MC'!I$3*_xlfn.NORM.S.INV(RAND())*SQRT(1))</f>
        <v>11298.644602389722</v>
      </c>
      <c r="D591" s="27">
        <f ca="1">D590*EXP(('VaR 2 Sim MC'!J$1-'VaR 2 Sim MC'!J$2/2)*1+'VaR 2 Sim MC'!J$3*_xlfn.NORM.S.INV(RAND())*SQRT(1))</f>
        <v>9001.1123013012148</v>
      </c>
      <c r="E591" s="27">
        <f ca="1">E590*EXP(('VaR 2 Sim MC'!K$1-'VaR 2 Sim MC'!K$2/2)*1+'VaR 2 Sim MC'!K$3*_xlfn.NORM.S.INV(RAND())*SQRT(1))</f>
        <v>6682.2679748831406</v>
      </c>
      <c r="F591" s="27">
        <f ca="1">F590*EXP(('VaR 2 Sim MC'!L$1-'VaR 2 Sim MC'!L$2/2)*1+'VaR 2 Sim MC'!L$3*_xlfn.NORM.S.INV(RAND())*SQRT(1))</f>
        <v>112.85967112310003</v>
      </c>
      <c r="G591" s="25">
        <f t="shared" ca="1" si="11"/>
        <v>9991634.2672559079</v>
      </c>
      <c r="H591" t="s">
        <v>65</v>
      </c>
    </row>
    <row r="592" spans="1:8">
      <c r="A592" s="1">
        <v>589</v>
      </c>
      <c r="B592" s="9">
        <v>39805</v>
      </c>
      <c r="C592" s="27">
        <f ca="1">C591*EXP(('VaR 2 Sim MC'!I$1-'VaR 2 Sim MC'!I$2/2)*1+'VaR 2 Sim MC'!I$3*_xlfn.NORM.S.INV(RAND())*SQRT(1))</f>
        <v>11296.946763178546</v>
      </c>
      <c r="D592" s="27">
        <f ca="1">D591*EXP(('VaR 2 Sim MC'!J$1-'VaR 2 Sim MC'!J$2/2)*1+'VaR 2 Sim MC'!J$3*_xlfn.NORM.S.INV(RAND())*SQRT(1))</f>
        <v>8993.9203163904604</v>
      </c>
      <c r="E592" s="27">
        <f ca="1">E591*EXP(('VaR 2 Sim MC'!K$1-'VaR 2 Sim MC'!K$2/2)*1+'VaR 2 Sim MC'!K$3*_xlfn.NORM.S.INV(RAND())*SQRT(1))</f>
        <v>6709.2019943324403</v>
      </c>
      <c r="F592" s="27">
        <f ca="1">F591*EXP(('VaR 2 Sim MC'!L$1-'VaR 2 Sim MC'!L$2/2)*1+'VaR 2 Sim MC'!L$3*_xlfn.NORM.S.INV(RAND())*SQRT(1))</f>
        <v>111.62539124663591</v>
      </c>
      <c r="G592" s="25">
        <f t="shared" ca="1" si="11"/>
        <v>9971234.4026580919</v>
      </c>
    </row>
    <row r="593" spans="1:7">
      <c r="A593" s="1">
        <v>590</v>
      </c>
      <c r="B593" s="9">
        <v>39806</v>
      </c>
      <c r="C593" s="27">
        <f ca="1">C592*EXP(('VaR 2 Sim MC'!I$1-'VaR 2 Sim MC'!I$2/2)*1+'VaR 2 Sim MC'!I$3*_xlfn.NORM.S.INV(RAND())*SQRT(1))</f>
        <v>11413.048330164946</v>
      </c>
      <c r="D593" s="27">
        <f ca="1">D592*EXP(('VaR 2 Sim MC'!J$1-'VaR 2 Sim MC'!J$2/2)*1+'VaR 2 Sim MC'!J$3*_xlfn.NORM.S.INV(RAND())*SQRT(1))</f>
        <v>9161.939067503763</v>
      </c>
      <c r="E593" s="27">
        <f ca="1">E592*EXP(('VaR 2 Sim MC'!K$1-'VaR 2 Sim MC'!K$2/2)*1+'VaR 2 Sim MC'!K$3*_xlfn.NORM.S.INV(RAND())*SQRT(1))</f>
        <v>6774.9455079308909</v>
      </c>
      <c r="F593" s="27">
        <f ca="1">F592*EXP(('VaR 2 Sim MC'!L$1-'VaR 2 Sim MC'!L$2/2)*1+'VaR 2 Sim MC'!L$3*_xlfn.NORM.S.INV(RAND())*SQRT(1))</f>
        <v>112.37636460241993</v>
      </c>
      <c r="G593" s="25">
        <f t="shared" ca="1" si="11"/>
        <v>10089790.706400288</v>
      </c>
    </row>
    <row r="594" spans="1:7">
      <c r="A594" s="1">
        <v>591</v>
      </c>
      <c r="B594" s="9">
        <v>39807</v>
      </c>
      <c r="C594" s="27">
        <f ca="1">C593*EXP(('VaR 2 Sim MC'!I$1-'VaR 2 Sim MC'!I$2/2)*1+'VaR 2 Sim MC'!I$3*_xlfn.NORM.S.INV(RAND())*SQRT(1))</f>
        <v>11266.196333428525</v>
      </c>
      <c r="D594" s="27">
        <f ca="1">D593*EXP(('VaR 2 Sim MC'!J$1-'VaR 2 Sim MC'!J$2/2)*1+'VaR 2 Sim MC'!J$3*_xlfn.NORM.S.INV(RAND())*SQRT(1))</f>
        <v>8996.2116894673782</v>
      </c>
      <c r="E594" s="27">
        <f ca="1">E593*EXP(('VaR 2 Sim MC'!K$1-'VaR 2 Sim MC'!K$2/2)*1+'VaR 2 Sim MC'!K$3*_xlfn.NORM.S.INV(RAND())*SQRT(1))</f>
        <v>6733.7267462535656</v>
      </c>
      <c r="F594" s="27">
        <f ca="1">F593*EXP(('VaR 2 Sim MC'!L$1-'VaR 2 Sim MC'!L$2/2)*1+'VaR 2 Sim MC'!L$3*_xlfn.NORM.S.INV(RAND())*SQRT(1))</f>
        <v>114.26899470856446</v>
      </c>
      <c r="G594" s="25">
        <f t="shared" ca="1" si="11"/>
        <v>10011609.434405487</v>
      </c>
    </row>
    <row r="595" spans="1:7">
      <c r="A595" s="1">
        <v>592</v>
      </c>
      <c r="B595" s="9">
        <v>39808</v>
      </c>
      <c r="C595" s="27">
        <f ca="1">C594*EXP(('VaR 2 Sim MC'!I$1-'VaR 2 Sim MC'!I$2/2)*1+'VaR 2 Sim MC'!I$3*_xlfn.NORM.S.INV(RAND())*SQRT(1))</f>
        <v>11279.413415554149</v>
      </c>
      <c r="D595" s="27">
        <f ca="1">D594*EXP(('VaR 2 Sim MC'!J$1-'VaR 2 Sim MC'!J$2/2)*1+'VaR 2 Sim MC'!J$3*_xlfn.NORM.S.INV(RAND())*SQRT(1))</f>
        <v>8945.341823427676</v>
      </c>
      <c r="E595" s="27">
        <f ca="1">E594*EXP(('VaR 2 Sim MC'!K$1-'VaR 2 Sim MC'!K$2/2)*1+'VaR 2 Sim MC'!K$3*_xlfn.NORM.S.INV(RAND())*SQRT(1))</f>
        <v>6802.8842887037526</v>
      </c>
      <c r="F595" s="27">
        <f ca="1">F594*EXP(('VaR 2 Sim MC'!L$1-'VaR 2 Sim MC'!L$2/2)*1+'VaR 2 Sim MC'!L$3*_xlfn.NORM.S.INV(RAND())*SQRT(1))</f>
        <v>115.29570293281945</v>
      </c>
      <c r="G595" s="25">
        <f t="shared" ca="1" si="11"/>
        <v>10029863.23261101</v>
      </c>
    </row>
    <row r="596" spans="1:7">
      <c r="A596" s="1">
        <v>593</v>
      </c>
      <c r="B596" s="9">
        <v>39809</v>
      </c>
      <c r="C596" s="27">
        <f ca="1">C595*EXP(('VaR 2 Sim MC'!I$1-'VaR 2 Sim MC'!I$2/2)*1+'VaR 2 Sim MC'!I$3*_xlfn.NORM.S.INV(RAND())*SQRT(1))</f>
        <v>11330.55436373828</v>
      </c>
      <c r="D596" s="27">
        <f ca="1">D595*EXP(('VaR 2 Sim MC'!J$1-'VaR 2 Sim MC'!J$2/2)*1+'VaR 2 Sim MC'!J$3*_xlfn.NORM.S.INV(RAND())*SQRT(1))</f>
        <v>8935.9724037690357</v>
      </c>
      <c r="E596" s="27">
        <f ca="1">E595*EXP(('VaR 2 Sim MC'!K$1-'VaR 2 Sim MC'!K$2/2)*1+'VaR 2 Sim MC'!K$3*_xlfn.NORM.S.INV(RAND())*SQRT(1))</f>
        <v>6800.049887178202</v>
      </c>
      <c r="F596" s="27">
        <f ca="1">F595*EXP(('VaR 2 Sim MC'!L$1-'VaR 2 Sim MC'!L$2/2)*1+'VaR 2 Sim MC'!L$3*_xlfn.NORM.S.INV(RAND())*SQRT(1))</f>
        <v>116.63265075044063</v>
      </c>
      <c r="G596" s="25">
        <f t="shared" ca="1" si="11"/>
        <v>10068737.714853622</v>
      </c>
    </row>
    <row r="597" spans="1:7">
      <c r="A597" s="1">
        <v>594</v>
      </c>
      <c r="B597" s="9">
        <v>39810</v>
      </c>
      <c r="C597" s="27">
        <f ca="1">C596*EXP(('VaR 2 Sim MC'!I$1-'VaR 2 Sim MC'!I$2/2)*1+'VaR 2 Sim MC'!I$3*_xlfn.NORM.S.INV(RAND())*SQRT(1))</f>
        <v>11326.370288148777</v>
      </c>
      <c r="D597" s="27">
        <f ca="1">D596*EXP(('VaR 2 Sim MC'!J$1-'VaR 2 Sim MC'!J$2/2)*1+'VaR 2 Sim MC'!J$3*_xlfn.NORM.S.INV(RAND())*SQRT(1))</f>
        <v>8663.9507231826683</v>
      </c>
      <c r="E597" s="27">
        <f ca="1">E596*EXP(('VaR 2 Sim MC'!K$1-'VaR 2 Sim MC'!K$2/2)*1+'VaR 2 Sim MC'!K$3*_xlfn.NORM.S.INV(RAND())*SQRT(1))</f>
        <v>6776.2086401104161</v>
      </c>
      <c r="F597" s="27">
        <f ca="1">F596*EXP(('VaR 2 Sim MC'!L$1-'VaR 2 Sim MC'!L$2/2)*1+'VaR 2 Sim MC'!L$3*_xlfn.NORM.S.INV(RAND())*SQRT(1))</f>
        <v>114.94478765487733</v>
      </c>
      <c r="G597" s="25">
        <f t="shared" ca="1" si="11"/>
        <v>9948445.7031209227</v>
      </c>
    </row>
    <row r="598" spans="1:7">
      <c r="A598" s="1">
        <v>595</v>
      </c>
      <c r="B598" s="9">
        <v>39811</v>
      </c>
      <c r="C598" s="27">
        <f ca="1">C597*EXP(('VaR 2 Sim MC'!I$1-'VaR 2 Sim MC'!I$2/2)*1+'VaR 2 Sim MC'!I$3*_xlfn.NORM.S.INV(RAND())*SQRT(1))</f>
        <v>11348.229472658097</v>
      </c>
      <c r="D598" s="27">
        <f ca="1">D597*EXP(('VaR 2 Sim MC'!J$1-'VaR 2 Sim MC'!J$2/2)*1+'VaR 2 Sim MC'!J$3*_xlfn.NORM.S.INV(RAND())*SQRT(1))</f>
        <v>8655.8743372982481</v>
      </c>
      <c r="E598" s="27">
        <f ca="1">E597*EXP(('VaR 2 Sim MC'!K$1-'VaR 2 Sim MC'!K$2/2)*1+'VaR 2 Sim MC'!K$3*_xlfn.NORM.S.INV(RAND())*SQRT(1))</f>
        <v>6556.6265626907725</v>
      </c>
      <c r="F598" s="27">
        <f ca="1">F597*EXP(('VaR 2 Sim MC'!L$1-'VaR 2 Sim MC'!L$2/2)*1+'VaR 2 Sim MC'!L$3*_xlfn.NORM.S.INV(RAND())*SQRT(1))</f>
        <v>116.60785307571858</v>
      </c>
      <c r="G598" s="25">
        <f t="shared" ca="1" si="11"/>
        <v>9947921.6837094892</v>
      </c>
    </row>
    <row r="599" spans="1:7">
      <c r="A599" s="1">
        <v>596</v>
      </c>
      <c r="B599" s="9">
        <v>39812</v>
      </c>
      <c r="C599" s="27">
        <f ca="1">C598*EXP(('VaR 2 Sim MC'!I$1-'VaR 2 Sim MC'!I$2/2)*1+'VaR 2 Sim MC'!I$3*_xlfn.NORM.S.INV(RAND())*SQRT(1))</f>
        <v>11285.171237666917</v>
      </c>
      <c r="D599" s="27">
        <f ca="1">D598*EXP(('VaR 2 Sim MC'!J$1-'VaR 2 Sim MC'!J$2/2)*1+'VaR 2 Sim MC'!J$3*_xlfn.NORM.S.INV(RAND())*SQRT(1))</f>
        <v>8624.9073631710289</v>
      </c>
      <c r="E599" s="27">
        <f ca="1">E598*EXP(('VaR 2 Sim MC'!K$1-'VaR 2 Sim MC'!K$2/2)*1+'VaR 2 Sim MC'!K$3*_xlfn.NORM.S.INV(RAND())*SQRT(1))</f>
        <v>6737.7402749667317</v>
      </c>
      <c r="F599" s="27">
        <f ca="1">F598*EXP(('VaR 2 Sim MC'!L$1-'VaR 2 Sim MC'!L$2/2)*1+'VaR 2 Sim MC'!L$3*_xlfn.NORM.S.INV(RAND())*SQRT(1))</f>
        <v>114.64360204459858</v>
      </c>
      <c r="G599" s="25">
        <f ca="1">C599/$C$503*H$2+D599/$D$503*I$2+E599/$E$503*J$2+F599/$F$503*K$2</f>
        <v>9909749.733527055</v>
      </c>
    </row>
    <row r="600" spans="1:7">
      <c r="A600" s="1">
        <v>597</v>
      </c>
      <c r="B600" s="9">
        <v>39813</v>
      </c>
      <c r="C600" s="27">
        <f ca="1">C599*EXP(('VaR 2 Sim MC'!I$1-'VaR 2 Sim MC'!I$2/2)*1+'VaR 2 Sim MC'!I$3*_xlfn.NORM.S.INV(RAND())*SQRT(1))</f>
        <v>11293.65626859035</v>
      </c>
      <c r="D600" s="27">
        <f ca="1">D599*EXP(('VaR 2 Sim MC'!J$1-'VaR 2 Sim MC'!J$2/2)*1+'VaR 2 Sim MC'!J$3*_xlfn.NORM.S.INV(RAND())*SQRT(1))</f>
        <v>8775.7850931004432</v>
      </c>
      <c r="E600" s="27">
        <f ca="1">E599*EXP(('VaR 2 Sim MC'!K$1-'VaR 2 Sim MC'!K$2/2)*1+'VaR 2 Sim MC'!K$3*_xlfn.NORM.S.INV(RAND())*SQRT(1))</f>
        <v>6660.4931619967847</v>
      </c>
      <c r="F600" s="27">
        <f ca="1">F599*EXP(('VaR 2 Sim MC'!L$1-'VaR 2 Sim MC'!L$2/2)*1+'VaR 2 Sim MC'!L$3*_xlfn.NORM.S.INV(RAND())*SQRT(1))</f>
        <v>113.55919386649049</v>
      </c>
      <c r="G600" s="25">
        <f t="shared" ca="1" si="11"/>
        <v>9928297.0719523579</v>
      </c>
    </row>
    <row r="603" spans="1:7">
      <c r="G603" s="79">
        <v>39813</v>
      </c>
    </row>
    <row r="604" spans="1:7">
      <c r="F604">
        <v>1</v>
      </c>
      <c r="G604" s="14">
        <v>9874741.9789166395</v>
      </c>
    </row>
    <row r="605" spans="1:7">
      <c r="F605">
        <v>2</v>
      </c>
      <c r="G605" s="14">
        <v>9874741.9789166395</v>
      </c>
    </row>
    <row r="606" spans="1:7">
      <c r="F606">
        <v>3</v>
      </c>
      <c r="G606" s="14">
        <v>9553568.8055120893</v>
      </c>
    </row>
    <row r="607" spans="1:7">
      <c r="F607">
        <v>4</v>
      </c>
      <c r="G607" s="14">
        <v>9553568.8055120893</v>
      </c>
    </row>
    <row r="608" spans="1:7">
      <c r="F608">
        <v>5</v>
      </c>
      <c r="G608" s="14">
        <v>9623166.6110954341</v>
      </c>
    </row>
    <row r="609" spans="6:7">
      <c r="F609">
        <v>6</v>
      </c>
      <c r="G609" s="14">
        <v>10265108.35112424</v>
      </c>
    </row>
    <row r="610" spans="6:7">
      <c r="F610">
        <v>7</v>
      </c>
      <c r="G610" s="14">
        <v>10921553.451521274</v>
      </c>
    </row>
    <row r="611" spans="6:7">
      <c r="F611">
        <v>8</v>
      </c>
      <c r="G611" s="14">
        <v>10033456.814001149</v>
      </c>
    </row>
    <row r="612" spans="6:7">
      <c r="F612">
        <v>9</v>
      </c>
      <c r="G612" s="14">
        <v>9816898.2805634961</v>
      </c>
    </row>
    <row r="613" spans="6:7">
      <c r="F613">
        <v>10</v>
      </c>
      <c r="G613" s="14">
        <v>8736037.4309645928</v>
      </c>
    </row>
    <row r="614" spans="6:7">
      <c r="G614" s="14"/>
    </row>
    <row r="615" spans="6:7" ht="16.5">
      <c r="F615" s="33" t="s">
        <v>66</v>
      </c>
      <c r="G615" s="14">
        <f>AVERAGE(G604:G613)</f>
        <v>9825284.2508127633</v>
      </c>
    </row>
  </sheetData>
  <pageMargins left="0.7" right="0.7" top="0.75" bottom="0.75" header="0.3" footer="0.3"/>
  <pageSetup orientation="portrait" r:id="rId1"/>
  <ignoredErrors>
    <ignoredError sqref="G615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3589-F8A8-49C6-943E-5DDF0A8718C8}">
  <dimension ref="A1:T503"/>
  <sheetViews>
    <sheetView topLeftCell="A11" zoomScaleNormal="100" workbookViewId="0">
      <selection activeCell="K19" sqref="K19"/>
    </sheetView>
  </sheetViews>
  <sheetFormatPr defaultColWidth="11.453125" defaultRowHeight="14.5"/>
  <cols>
    <col min="9" max="9" width="18.1796875" bestFit="1" customWidth="1"/>
    <col min="10" max="12" width="14" bestFit="1" customWidth="1"/>
    <col min="16" max="16" width="12" bestFit="1" customWidth="1"/>
    <col min="17" max="20" width="14" bestFit="1" customWidth="1"/>
  </cols>
  <sheetData>
    <row r="1" spans="1:20">
      <c r="A1" s="107" t="s">
        <v>67</v>
      </c>
      <c r="B1" s="107"/>
      <c r="C1" s="107"/>
      <c r="D1" s="107"/>
      <c r="E1" s="107"/>
      <c r="F1" s="26"/>
    </row>
    <row r="2" spans="1:20">
      <c r="H2" s="108" t="s">
        <v>68</v>
      </c>
      <c r="I2" s="108"/>
      <c r="J2" s="108"/>
      <c r="K2" s="108"/>
      <c r="L2" s="108"/>
    </row>
    <row r="3" spans="1:20" ht="15" thickBot="1">
      <c r="A3" s="26" t="s">
        <v>12</v>
      </c>
      <c r="B3" s="31" t="s">
        <v>4</v>
      </c>
      <c r="C3" s="31" t="s">
        <v>13</v>
      </c>
      <c r="D3" s="31" t="s">
        <v>14</v>
      </c>
      <c r="E3" s="31" t="s">
        <v>15</v>
      </c>
      <c r="F3" s="31"/>
    </row>
    <row r="4" spans="1:20">
      <c r="A4" s="1">
        <v>1</v>
      </c>
      <c r="B4" s="28">
        <f>Data!D5/Data!D4</f>
        <v>0.99591866930258188</v>
      </c>
      <c r="C4" s="28">
        <f>Data!H5/Data!H4</f>
        <v>0.99680538771271698</v>
      </c>
      <c r="D4" s="28">
        <f>Data!L5/Data!L4</f>
        <v>1.0006695242935777</v>
      </c>
      <c r="E4" s="28">
        <f>Data!P5/Data!P4</f>
        <v>1.0197867406023644</v>
      </c>
      <c r="F4" s="28"/>
      <c r="H4" s="24"/>
      <c r="I4" s="24" t="s">
        <v>4</v>
      </c>
      <c r="J4" s="24" t="s">
        <v>13</v>
      </c>
      <c r="K4" s="24" t="s">
        <v>14</v>
      </c>
      <c r="L4" s="24" t="s">
        <v>15</v>
      </c>
    </row>
    <row r="5" spans="1:20">
      <c r="A5" s="1">
        <v>2</v>
      </c>
      <c r="B5" s="28">
        <f>Data!D6/Data!D5</f>
        <v>0.99128212150257888</v>
      </c>
      <c r="C5" s="28">
        <f>Data!H6/Data!H5</f>
        <v>1.008027012425007</v>
      </c>
      <c r="D5" s="28">
        <f>Data!L6/Data!L5</f>
        <v>1.0150323389987279</v>
      </c>
      <c r="E5" s="28">
        <f>Data!P6/Data!P5</f>
        <v>1.0116197254185593</v>
      </c>
      <c r="F5" s="28"/>
      <c r="H5" t="s">
        <v>4</v>
      </c>
      <c r="I5" s="67">
        <v>1</v>
      </c>
      <c r="J5" s="67"/>
      <c r="K5" s="67"/>
      <c r="L5" s="67"/>
    </row>
    <row r="6" spans="1:20">
      <c r="A6" s="1">
        <v>3</v>
      </c>
      <c r="B6" s="28">
        <f>Data!D7/Data!D6</f>
        <v>1.0043507779758003</v>
      </c>
      <c r="C6" s="28">
        <f>Data!H7/Data!H6</f>
        <v>0.98492294157296079</v>
      </c>
      <c r="D6" s="28">
        <f>Data!L7/Data!L6</f>
        <v>0.98199667527218004</v>
      </c>
      <c r="E6" s="28">
        <f>Data!P7/Data!P6</f>
        <v>0.99628366447171246</v>
      </c>
      <c r="F6" s="28"/>
      <c r="H6" t="s">
        <v>13</v>
      </c>
      <c r="I6" s="67">
        <v>0.48910594307080207</v>
      </c>
      <c r="J6" s="67">
        <v>1</v>
      </c>
      <c r="K6" s="67"/>
      <c r="L6" s="67"/>
    </row>
    <row r="7" spans="1:20">
      <c r="A7" s="1">
        <v>4</v>
      </c>
      <c r="B7" s="28">
        <f>Data!D8/Data!D7</f>
        <v>0.99673239922800116</v>
      </c>
      <c r="C7" s="28">
        <f>Data!H8/Data!H7</f>
        <v>1.0021804680434796</v>
      </c>
      <c r="D7" s="28">
        <f>Data!L8/Data!L7</f>
        <v>1.0011448723980374</v>
      </c>
      <c r="E7" s="28">
        <f>Data!P8/Data!P7</f>
        <v>0.99012238010164566</v>
      </c>
      <c r="F7" s="28"/>
      <c r="H7" t="s">
        <v>14</v>
      </c>
      <c r="I7" s="67">
        <v>0.49570962683647823</v>
      </c>
      <c r="J7" s="67">
        <v>0.91810825260107409</v>
      </c>
      <c r="K7" s="67">
        <v>1</v>
      </c>
      <c r="L7" s="67"/>
    </row>
    <row r="8" spans="1:20" ht="15" thickBot="1">
      <c r="A8" s="1">
        <v>5</v>
      </c>
      <c r="B8" s="28">
        <f>Data!D9/Data!D8</f>
        <v>1.0008883461609919</v>
      </c>
      <c r="C8" s="28">
        <f>Data!H9/Data!H8</f>
        <v>1.0062291507779597</v>
      </c>
      <c r="D8" s="28">
        <f>Data!L9/Data!L8</f>
        <v>1.0105115744366069</v>
      </c>
      <c r="E8" s="28">
        <f>Data!P9/Data!P8</f>
        <v>1.0154413569418124</v>
      </c>
      <c r="F8" s="28"/>
      <c r="H8" s="23" t="s">
        <v>15</v>
      </c>
      <c r="I8" s="68">
        <v>-6.189920838315853E-2</v>
      </c>
      <c r="J8" s="68">
        <v>0.20094221290810224</v>
      </c>
      <c r="K8" s="68">
        <v>0.21095095611228132</v>
      </c>
      <c r="L8" s="68">
        <v>1</v>
      </c>
    </row>
    <row r="9" spans="1:20">
      <c r="A9" s="1">
        <v>6</v>
      </c>
      <c r="B9" s="28">
        <f>Data!D10/Data!D9</f>
        <v>1.011929316166075</v>
      </c>
      <c r="C9" s="28">
        <f>Data!H10/Data!H9</f>
        <v>1.0062977950734033</v>
      </c>
      <c r="D9" s="28">
        <f>Data!L10/Data!L9</f>
        <v>1.0169906368796895</v>
      </c>
      <c r="E9" s="28">
        <f>Data!P10/Data!P9</f>
        <v>1.0011161474865276</v>
      </c>
      <c r="F9" s="28"/>
    </row>
    <row r="10" spans="1:20">
      <c r="A10" s="1">
        <v>7</v>
      </c>
      <c r="B10" s="28">
        <f>Data!D11/Data!D10</f>
        <v>1.0086249116227051</v>
      </c>
      <c r="C10" s="28">
        <f>Data!H11/Data!H10</f>
        <v>1.0021531030705577</v>
      </c>
      <c r="D10" s="28">
        <f>Data!L11/Data!L10</f>
        <v>1.0095215473027122</v>
      </c>
      <c r="E10" s="28">
        <f>Data!P11/Data!P10</f>
        <v>1.0182398081898976</v>
      </c>
      <c r="F10" s="28"/>
    </row>
    <row r="11" spans="1:20" ht="16.5">
      <c r="A11" s="1">
        <v>8</v>
      </c>
      <c r="B11" s="28">
        <f>Data!D12/Data!D11</f>
        <v>1.0006921441637413</v>
      </c>
      <c r="C11" s="28">
        <f>Data!H12/Data!H11</f>
        <v>0.99701051988924916</v>
      </c>
      <c r="D11" s="28">
        <f>Data!L12/Data!L11</f>
        <v>1.0021097770580587</v>
      </c>
      <c r="E11" s="28">
        <f>Data!P12/Data!P11</f>
        <v>0.99901365772068662</v>
      </c>
      <c r="F11" s="28"/>
      <c r="H11" s="71" t="s">
        <v>69</v>
      </c>
      <c r="I11" s="32">
        <v>4000000</v>
      </c>
      <c r="J11" s="32">
        <v>3000000</v>
      </c>
      <c r="K11" s="32">
        <v>1000000</v>
      </c>
      <c r="L11" s="32">
        <v>2000000</v>
      </c>
    </row>
    <row r="12" spans="1:20">
      <c r="A12" s="1">
        <v>9</v>
      </c>
      <c r="B12" s="28">
        <f>Data!D13/Data!D12</f>
        <v>1.0041032345945642</v>
      </c>
      <c r="C12" s="28">
        <f>Data!H13/Data!H12</f>
        <v>0.99337365380739417</v>
      </c>
      <c r="D12" s="28">
        <f>Data!L13/Data!L12</f>
        <v>0.9950220910909191</v>
      </c>
      <c r="E12" s="28">
        <f>Data!P13/Data!P12</f>
        <v>1.0034902740968381</v>
      </c>
      <c r="F12" s="28"/>
    </row>
    <row r="13" spans="1:20">
      <c r="A13" s="1">
        <v>10</v>
      </c>
      <c r="B13" s="28">
        <f>Data!D14/Data!D13</f>
        <v>0.99679918323380035</v>
      </c>
      <c r="C13" s="28">
        <f>Data!H14/Data!H13</f>
        <v>1.0112746408205664</v>
      </c>
      <c r="D13" s="28">
        <f>Data!L14/Data!L13</f>
        <v>1.0015317100649683</v>
      </c>
      <c r="E13" s="28">
        <f>Data!P14/Data!P13</f>
        <v>0.99047064145067965</v>
      </c>
      <c r="F13" s="28"/>
      <c r="H13" s="108" t="s">
        <v>70</v>
      </c>
      <c r="I13" s="108"/>
      <c r="J13" s="108"/>
      <c r="K13" s="108"/>
      <c r="L13" s="108"/>
    </row>
    <row r="14" spans="1:20" ht="15" thickBot="1">
      <c r="A14" s="1">
        <v>11</v>
      </c>
      <c r="B14" s="28">
        <f>Data!D15/Data!D14</f>
        <v>0.99954164991925976</v>
      </c>
      <c r="C14" s="28">
        <f>Data!H15/Data!H14</f>
        <v>0.9933986799053045</v>
      </c>
      <c r="D14" s="28">
        <f>Data!L15/Data!L14</f>
        <v>0.99652867557872271</v>
      </c>
      <c r="E14" s="28">
        <f>Data!P15/Data!P14</f>
        <v>1.008063407626782</v>
      </c>
      <c r="F14" s="28"/>
    </row>
    <row r="15" spans="1:20" ht="15" thickBot="1">
      <c r="A15" s="1">
        <v>12</v>
      </c>
      <c r="B15" s="28">
        <f>Data!D16/Data!D15</f>
        <v>0.99630153511866126</v>
      </c>
      <c r="C15" s="28">
        <f>Data!H16/Data!H15</f>
        <v>0.995516477030567</v>
      </c>
      <c r="D15" s="28">
        <f>Data!L16/Data!L15</f>
        <v>0.98958655599827239</v>
      </c>
      <c r="E15" s="28">
        <f>Data!P16/Data!P15</f>
        <v>0.99827891359991416</v>
      </c>
      <c r="F15" s="28"/>
      <c r="H15" s="72"/>
      <c r="I15" s="72" t="s">
        <v>4</v>
      </c>
      <c r="J15" s="72" t="s">
        <v>13</v>
      </c>
      <c r="K15" s="72" t="s">
        <v>14</v>
      </c>
      <c r="L15" s="72" t="s">
        <v>15</v>
      </c>
      <c r="N15" s="74" t="s">
        <v>71</v>
      </c>
    </row>
    <row r="16" spans="1:20">
      <c r="A16" s="1">
        <v>13</v>
      </c>
      <c r="B16" s="28">
        <f>Data!D17/Data!D16</f>
        <v>1.0005806388797918</v>
      </c>
      <c r="C16" s="28">
        <f>Data!H17/Data!H16</f>
        <v>1.0003364614229218</v>
      </c>
      <c r="D16" s="28">
        <f>Data!L17/Data!L16</f>
        <v>1.005925949243812</v>
      </c>
      <c r="E16" s="28">
        <f>Data!P17/Data!P16</f>
        <v>0.98925973266971623</v>
      </c>
      <c r="F16" s="28"/>
      <c r="H16" s="7" t="s">
        <v>4</v>
      </c>
      <c r="I16" s="97">
        <f>VARP('VaR Paramétrico'!$B$4:$B$503)</f>
        <v>1.2270653273202832E-4</v>
      </c>
      <c r="J16" s="97">
        <v>7.681197354453315E-5</v>
      </c>
      <c r="K16" s="97">
        <v>7.6671485760128409E-5</v>
      </c>
      <c r="L16" s="97">
        <v>-9.4745007928404964E-6</v>
      </c>
      <c r="N16" s="32">
        <v>4000000</v>
      </c>
      <c r="P16" s="24"/>
      <c r="Q16" s="24" t="s">
        <v>4</v>
      </c>
      <c r="R16" s="24" t="s">
        <v>13</v>
      </c>
      <c r="S16" s="24" t="s">
        <v>14</v>
      </c>
      <c r="T16" s="24" t="s">
        <v>15</v>
      </c>
    </row>
    <row r="17" spans="1:20">
      <c r="A17" s="1">
        <v>14</v>
      </c>
      <c r="B17" s="66">
        <f>Data!D18/Data!D17</f>
        <v>0.99819451791593761</v>
      </c>
      <c r="C17" s="66">
        <f>Data!H18/Data!H17</f>
        <v>0.99886491044486081</v>
      </c>
      <c r="D17" s="66">
        <f>Data!L18/Data!L17</f>
        <v>0.99596821423081427</v>
      </c>
      <c r="E17" s="66">
        <f>Data!P18/Data!P17</f>
        <v>0.99028096243738362</v>
      </c>
      <c r="F17" s="66"/>
      <c r="H17" s="7" t="s">
        <v>13</v>
      </c>
      <c r="I17" s="97">
        <v>7.681197354453315E-5</v>
      </c>
      <c r="J17" s="97">
        <f>VARP('VaR Paramétrico'!$C$4:$C$503)</f>
        <v>2.0099455059268743E-4</v>
      </c>
      <c r="K17" s="97">
        <v>1.8174342843430303E-4</v>
      </c>
      <c r="L17" s="97">
        <v>3.9364135796759984E-5</v>
      </c>
      <c r="N17" s="32">
        <v>3000000</v>
      </c>
      <c r="P17" t="s">
        <v>4</v>
      </c>
      <c r="Q17">
        <f>VARP('VaR Paramétrico'!$B$4:$B$503)</f>
        <v>1.2270653273202832E-4</v>
      </c>
    </row>
    <row r="18" spans="1:20">
      <c r="A18" s="1">
        <v>15</v>
      </c>
      <c r="B18" s="28">
        <f>Data!D19/Data!D18</f>
        <v>1.0076116288034882</v>
      </c>
      <c r="C18" s="28">
        <f>Data!H19/Data!H18</f>
        <v>1.0052080292755352</v>
      </c>
      <c r="D18" s="28">
        <f>Data!L19/Data!L18</f>
        <v>1.0105257749726135</v>
      </c>
      <c r="E18" s="28">
        <f>Data!P19/Data!P18</f>
        <v>1.0002224577911079</v>
      </c>
      <c r="F18" s="28"/>
      <c r="H18" s="7" t="s">
        <v>14</v>
      </c>
      <c r="I18" s="97">
        <v>7.6671485760128409E-5</v>
      </c>
      <c r="J18" s="97">
        <v>1.8174342843430303E-4</v>
      </c>
      <c r="K18" s="97">
        <f>VARP('VaR Paramétrico'!$D$4:$D$503)</f>
        <v>1.9495993329075685E-4</v>
      </c>
      <c r="L18" s="97">
        <v>4.0699734964024513E-5</v>
      </c>
      <c r="N18" s="32">
        <v>1000000</v>
      </c>
      <c r="P18" t="s">
        <v>13</v>
      </c>
      <c r="Q18">
        <v>7.681197354453315E-5</v>
      </c>
      <c r="R18">
        <f>VARP('VaR Paramétrico'!$C$4:$C$503)</f>
        <v>2.0099455059268743E-4</v>
      </c>
    </row>
    <row r="19" spans="1:20" ht="15" thickBot="1">
      <c r="A19" s="1">
        <v>16</v>
      </c>
      <c r="B19" s="28">
        <f>Data!D20/Data!D19</f>
        <v>1.0011407272157988</v>
      </c>
      <c r="C19" s="28">
        <f>Data!H20/Data!H19</f>
        <v>1.0138785494827591</v>
      </c>
      <c r="D19" s="28">
        <f>Data!L20/Data!L19</f>
        <v>1.0102835779321329</v>
      </c>
      <c r="E19" s="28">
        <f>Data!P20/Data!P19</f>
        <v>0.99772392889706485</v>
      </c>
      <c r="F19" s="28"/>
      <c r="H19" s="73" t="s">
        <v>15</v>
      </c>
      <c r="I19" s="98">
        <v>-9.4745007928404964E-6</v>
      </c>
      <c r="J19" s="98">
        <v>3.9364135796759984E-5</v>
      </c>
      <c r="K19" s="98">
        <v>4.0699734964024513E-5</v>
      </c>
      <c r="L19" s="98">
        <f>VARP('VaR Paramétrico'!$E$4:$E$503)</f>
        <v>1.9093027515340149E-4</v>
      </c>
      <c r="N19" s="32">
        <v>2000000</v>
      </c>
      <c r="P19" t="s">
        <v>14</v>
      </c>
      <c r="Q19">
        <v>7.6671485760128409E-5</v>
      </c>
      <c r="R19">
        <v>1.8174342843430303E-4</v>
      </c>
      <c r="S19">
        <f>VARP('VaR Paramétrico'!$D$4:$D$503)</f>
        <v>1.9495993329075685E-4</v>
      </c>
    </row>
    <row r="20" spans="1:20" ht="15" thickBot="1">
      <c r="A20" s="1">
        <v>17</v>
      </c>
      <c r="B20" s="28">
        <f>Data!D21/Data!D20</f>
        <v>0.99984538224408348</v>
      </c>
      <c r="C20" s="28">
        <f>Data!H21/Data!H20</f>
        <v>0.9939444303982059</v>
      </c>
      <c r="D20" s="28">
        <f>Data!L21/Data!L20</f>
        <v>0.99389658098732492</v>
      </c>
      <c r="E20" s="28">
        <f>Data!P21/Data!P20</f>
        <v>1.0147643087168208</v>
      </c>
      <c r="F20" s="28"/>
      <c r="P20" s="23" t="s">
        <v>15</v>
      </c>
      <c r="Q20" s="23">
        <v>-9.4745007928404964E-6</v>
      </c>
      <c r="R20" s="23">
        <v>3.9364135796759984E-5</v>
      </c>
      <c r="S20" s="23">
        <v>4.0699734964024513E-5</v>
      </c>
      <c r="T20" s="23">
        <f>VARP('VaR Paramétrico'!$E$4:$E$503)</f>
        <v>1.9093027515340149E-4</v>
      </c>
    </row>
    <row r="21" spans="1:20">
      <c r="A21" s="1">
        <v>18</v>
      </c>
      <c r="B21" s="28">
        <f>Data!D22/Data!D21</f>
        <v>1.0072927603976751</v>
      </c>
      <c r="C21" s="28">
        <f>Data!H22/Data!H21</f>
        <v>1.0081280416546792</v>
      </c>
      <c r="D21" s="28">
        <f>Data!L22/Data!L21</f>
        <v>1.0039498400682711</v>
      </c>
      <c r="E21" s="28">
        <f>Data!P22/Data!P21</f>
        <v>0.99942626810613189</v>
      </c>
      <c r="F21" s="28"/>
    </row>
    <row r="22" spans="1:20">
      <c r="A22" s="1">
        <v>19</v>
      </c>
      <c r="B22" s="28">
        <f>Data!D23/Data!D22</f>
        <v>1.000447481932808</v>
      </c>
      <c r="C22" s="28">
        <f>Data!H23/Data!H22</f>
        <v>0.99977467071286064</v>
      </c>
      <c r="D22" s="28">
        <f>Data!L23/Data!L22</f>
        <v>0.99821065367802853</v>
      </c>
      <c r="E22" s="28">
        <f>Data!P23/Data!P22</f>
        <v>1.0262730935603486</v>
      </c>
      <c r="F22" s="28"/>
    </row>
    <row r="23" spans="1:20" ht="15" thickBot="1">
      <c r="A23" s="1">
        <v>20</v>
      </c>
      <c r="B23" s="28">
        <f>Data!D24/Data!D23</f>
        <v>0.99450009067700851</v>
      </c>
      <c r="C23" s="28">
        <f>Data!H24/Data!H23</f>
        <v>0.98495500748557197</v>
      </c>
      <c r="D23" s="28">
        <f>Data!L24/Data!L23</f>
        <v>0.98739961475525118</v>
      </c>
      <c r="E23" s="28">
        <f>Data!P24/Data!P23</f>
        <v>0.98926705841016638</v>
      </c>
      <c r="F23" s="28"/>
    </row>
    <row r="24" spans="1:20">
      <c r="A24" s="1">
        <v>21</v>
      </c>
      <c r="B24" s="28">
        <f>Data!D25/Data!D24</f>
        <v>0.99344566989882699</v>
      </c>
      <c r="C24" s="28">
        <f>Data!H25/Data!H24</f>
        <v>0.98452446177540931</v>
      </c>
      <c r="D24" s="28">
        <f>Data!L25/Data!L24</f>
        <v>0.98488225018861197</v>
      </c>
      <c r="E24" s="28">
        <f>Data!P25/Data!P24</f>
        <v>0.98483616996493895</v>
      </c>
      <c r="F24" s="28"/>
      <c r="G24" t="s">
        <v>72</v>
      </c>
      <c r="P24" s="24"/>
      <c r="Q24" s="24" t="s">
        <v>4</v>
      </c>
      <c r="R24" s="24" t="s">
        <v>13</v>
      </c>
      <c r="S24" s="24" t="s">
        <v>14</v>
      </c>
      <c r="T24" s="24" t="s">
        <v>15</v>
      </c>
    </row>
    <row r="25" spans="1:20">
      <c r="A25" s="1">
        <v>22</v>
      </c>
      <c r="B25" s="28">
        <f>Data!D26/Data!D25</f>
        <v>1.0053541297487345</v>
      </c>
      <c r="C25" s="28">
        <f>Data!H26/Data!H25</f>
        <v>0.99885253426022769</v>
      </c>
      <c r="D25" s="28">
        <f>Data!L26/Data!L25</f>
        <v>0.99770973422029763</v>
      </c>
      <c r="E25" s="28">
        <f>Data!P26/Data!P25</f>
        <v>1.0017551186843572</v>
      </c>
      <c r="F25" s="28"/>
      <c r="P25" t="s">
        <v>4</v>
      </c>
      <c r="Q25" s="100">
        <f>VARP('VaR Paramétrico'!$B$4:$B$503)</f>
        <v>1.2270653273202832E-4</v>
      </c>
      <c r="R25" s="100">
        <v>7.681197354453315E-5</v>
      </c>
      <c r="S25" s="100">
        <v>7.6671485760128409E-5</v>
      </c>
      <c r="T25" s="100">
        <v>-9.4745007928404964E-6</v>
      </c>
    </row>
    <row r="26" spans="1:20">
      <c r="A26" s="1">
        <v>23</v>
      </c>
      <c r="B26" s="28">
        <f>Data!D27/Data!D26</f>
        <v>1.0004151996425596</v>
      </c>
      <c r="C26" s="28">
        <f>Data!H27/Data!H26</f>
        <v>0.99376521457797817</v>
      </c>
      <c r="D26" s="28">
        <f>Data!L27/Data!L26</f>
        <v>0.99876378679805322</v>
      </c>
      <c r="E26" s="28">
        <f>Data!P27/Data!P26</f>
        <v>0.97386727404197537</v>
      </c>
      <c r="F26" s="28"/>
      <c r="P26" t="s">
        <v>13</v>
      </c>
      <c r="Q26" s="100">
        <v>7.681197354453315E-5</v>
      </c>
      <c r="R26" s="100">
        <f>VARP('VaR Paramétrico'!$C$4:$C$503)</f>
        <v>2.0099455059268743E-4</v>
      </c>
      <c r="S26" s="100">
        <v>1.8174342843430303E-4</v>
      </c>
      <c r="T26" s="100">
        <v>3.9364135796759984E-5</v>
      </c>
    </row>
    <row r="27" spans="1:20">
      <c r="A27" s="1">
        <v>24</v>
      </c>
      <c r="B27" s="28">
        <f>Data!D28/Data!D27</f>
        <v>1.0088840415413396</v>
      </c>
      <c r="C27" s="28">
        <f>Data!H28/Data!H27</f>
        <v>1.0147272741454962</v>
      </c>
      <c r="D27" s="28">
        <f>Data!L28/Data!L27</f>
        <v>1.013118839586211</v>
      </c>
      <c r="E27" s="28">
        <f>Data!P28/Data!P27</f>
        <v>0.99499541943010028</v>
      </c>
      <c r="F27" s="28"/>
      <c r="P27" t="s">
        <v>14</v>
      </c>
      <c r="Q27" s="100">
        <v>7.6671485760128409E-5</v>
      </c>
      <c r="R27" s="100">
        <v>1.8174342843430303E-4</v>
      </c>
      <c r="S27" s="100">
        <f>VARP('VaR Paramétrico'!$D$4:$D$503)</f>
        <v>1.9495993329075685E-4</v>
      </c>
      <c r="T27" s="100">
        <v>4.0699734964024513E-5</v>
      </c>
    </row>
    <row r="28" spans="1:20" ht="18" thickBot="1">
      <c r="A28" s="1">
        <v>25</v>
      </c>
      <c r="B28" s="28">
        <f>Data!D29/Data!D28</f>
        <v>1.0039336968139925</v>
      </c>
      <c r="C28" s="28">
        <f>Data!H29/Data!H28</f>
        <v>0.99890738675494484</v>
      </c>
      <c r="D28" s="28">
        <f>Data!L29/Data!L28</f>
        <v>1.0014437224449571</v>
      </c>
      <c r="E28" s="28">
        <f>Data!P29/Data!P28</f>
        <v>1.0028051389204746</v>
      </c>
      <c r="F28" s="28"/>
      <c r="H28" s="69" t="s">
        <v>73</v>
      </c>
      <c r="I28" s="14" cm="1">
        <f t="array" ref="I28">MMULT(MMULT(I11:L11,I16:L19),N16:N19)</f>
        <v>8761832891.4384136</v>
      </c>
      <c r="J28" t="str">
        <f ca="1">_xlfn.FORMULATEXT(I28)</f>
        <v>=MMULT(MMULT(I11:L11,I16:L19),N16:N19)</v>
      </c>
      <c r="P28" s="23" t="s">
        <v>15</v>
      </c>
      <c r="Q28" s="101">
        <v>-9.4745007928404964E-6</v>
      </c>
      <c r="R28" s="101">
        <v>3.9364135796759984E-5</v>
      </c>
      <c r="S28" s="101">
        <v>4.0699734964024513E-5</v>
      </c>
      <c r="T28" s="101">
        <f>VARP('VaR Paramétrico'!$E$4:$E$503)</f>
        <v>1.9093027515340149E-4</v>
      </c>
    </row>
    <row r="29" spans="1:20">
      <c r="A29" s="1">
        <v>26</v>
      </c>
      <c r="B29" s="28">
        <f>Data!D30/Data!D29</f>
        <v>0.99861998107996652</v>
      </c>
      <c r="C29" s="28">
        <f>Data!H30/Data!H29</f>
        <v>1.0060208963742119</v>
      </c>
      <c r="D29" s="28">
        <f>Data!L30/Data!L29</f>
        <v>1.0029814738329574</v>
      </c>
      <c r="E29" s="28">
        <f>Data!P30/Data!P29</f>
        <v>1.014453529931364</v>
      </c>
      <c r="F29" s="28"/>
    </row>
    <row r="30" spans="1:20">
      <c r="A30" s="1">
        <v>27</v>
      </c>
      <c r="B30" s="28">
        <f>Data!D31/Data!D30</f>
        <v>1.0028957118653921</v>
      </c>
      <c r="C30" s="28">
        <f>Data!H31/Data!H30</f>
        <v>0.99324910986227666</v>
      </c>
      <c r="D30" s="28">
        <f>Data!L31/Data!L30</f>
        <v>0.9962290074846063</v>
      </c>
      <c r="E30" s="28">
        <f>Data!P31/Data!P30</f>
        <v>0.99374321022954548</v>
      </c>
      <c r="F30" s="28"/>
      <c r="G30" t="s">
        <v>74</v>
      </c>
    </row>
    <row r="31" spans="1:20">
      <c r="A31" s="1">
        <v>28</v>
      </c>
      <c r="B31" s="28">
        <f>Data!D32/Data!D31</f>
        <v>0.99828212134658845</v>
      </c>
      <c r="C31" s="28">
        <f>Data!H32/Data!H31</f>
        <v>0.99695879842776203</v>
      </c>
      <c r="D31" s="28">
        <f>Data!L32/Data!L31</f>
        <v>0.99855324213990038</v>
      </c>
      <c r="E31" s="28">
        <f>Data!P32/Data!P31</f>
        <v>1.003963738984476</v>
      </c>
      <c r="F31" s="28"/>
    </row>
    <row r="32" spans="1:20">
      <c r="A32" s="1">
        <v>29</v>
      </c>
      <c r="B32" s="28">
        <f>Data!D33/Data!D32</f>
        <v>1.0062629376712928</v>
      </c>
      <c r="C32" s="28">
        <f>Data!H33/Data!H32</f>
        <v>1.0071781913908044</v>
      </c>
      <c r="D32" s="28">
        <f>Data!L33/Data!L32</f>
        <v>1.0150019839757309</v>
      </c>
      <c r="E32" s="28">
        <f>Data!P33/Data!P32</f>
        <v>0.98960618808556888</v>
      </c>
      <c r="F32" s="28"/>
    </row>
    <row r="33" spans="1:10">
      <c r="A33" s="1">
        <v>30</v>
      </c>
      <c r="B33" s="28">
        <f>Data!D34/Data!D33</f>
        <v>0.99311472558358205</v>
      </c>
      <c r="C33" s="28">
        <f>Data!H34/Data!H33</f>
        <v>1.0092962677056827</v>
      </c>
      <c r="D33" s="28">
        <f>Data!L34/Data!L33</f>
        <v>1.004403854269629</v>
      </c>
      <c r="E33" s="28">
        <f>Data!P34/Data!P33</f>
        <v>1.0114060171716133</v>
      </c>
      <c r="F33" s="28"/>
    </row>
    <row r="34" spans="1:10" ht="16.5">
      <c r="A34" s="1">
        <v>31</v>
      </c>
      <c r="B34" s="28">
        <f>Data!D35/Data!D34</f>
        <v>0.99782107874376913</v>
      </c>
      <c r="C34" s="28">
        <f>Data!H35/Data!H34</f>
        <v>0.99024565772887985</v>
      </c>
      <c r="D34" s="28">
        <f>Data!L35/Data!L34</f>
        <v>0.9935765850872319</v>
      </c>
      <c r="E34" s="28">
        <f>Data!P35/Data!P34</f>
        <v>0.99079062394651418</v>
      </c>
      <c r="F34" s="28"/>
      <c r="H34" s="69" t="s">
        <v>75</v>
      </c>
      <c r="I34" s="14">
        <f>SQRT(I28)</f>
        <v>93604.662765475601</v>
      </c>
      <c r="J34" t="str">
        <f ca="1">_xlfn.FORMULATEXT(I34)</f>
        <v>=SQRT(I28)</v>
      </c>
    </row>
    <row r="35" spans="1:10">
      <c r="A35" s="1">
        <v>32</v>
      </c>
      <c r="B35" s="28">
        <f>Data!D36/Data!D35</f>
        <v>1.0058836819283807</v>
      </c>
      <c r="C35" s="28">
        <f>Data!H36/Data!H35</f>
        <v>0.99425511407396294</v>
      </c>
      <c r="D35" s="28">
        <f>Data!L36/Data!L35</f>
        <v>0.99603727783217255</v>
      </c>
      <c r="E35" s="28">
        <f>Data!P36/Data!P35</f>
        <v>0.99900075892023454</v>
      </c>
      <c r="F35" s="28"/>
    </row>
    <row r="36" spans="1:10">
      <c r="A36" s="1">
        <v>33</v>
      </c>
      <c r="B36" s="28">
        <f>Data!D37/Data!D36</f>
        <v>1.0080840995144185</v>
      </c>
      <c r="C36" s="28">
        <f>Data!H37/Data!H36</f>
        <v>1.0107465062833452</v>
      </c>
      <c r="D36" s="28">
        <f>Data!L37/Data!L36</f>
        <v>1.0089335945974485</v>
      </c>
      <c r="E36" s="28">
        <f>Data!P37/Data!P36</f>
        <v>0.99043941830755422</v>
      </c>
      <c r="F36" s="28"/>
      <c r="G36" t="s">
        <v>76</v>
      </c>
    </row>
    <row r="37" spans="1:10">
      <c r="A37" s="1">
        <v>34</v>
      </c>
      <c r="B37" s="28">
        <f>Data!D38/Data!D37</f>
        <v>1.0017010315020751</v>
      </c>
      <c r="C37" s="28">
        <f>Data!H38/Data!H37</f>
        <v>1.0059965963563058</v>
      </c>
      <c r="D37" s="28">
        <f>Data!L38/Data!L37</f>
        <v>1.007312915758207</v>
      </c>
      <c r="E37" s="28">
        <f>Data!P38/Data!P37</f>
        <v>1.0222131922602209</v>
      </c>
      <c r="F37" s="28"/>
    </row>
    <row r="38" spans="1:10">
      <c r="A38" s="1">
        <v>35</v>
      </c>
      <c r="B38" s="28">
        <f>Data!D39/Data!D38</f>
        <v>1.0024988793112299</v>
      </c>
      <c r="C38" s="28">
        <f>Data!H39/Data!H38</f>
        <v>0.99916206634883808</v>
      </c>
      <c r="D38" s="28">
        <f>Data!L39/Data!L38</f>
        <v>0.99966621178032233</v>
      </c>
      <c r="E38" s="28">
        <f>Data!P39/Data!P38</f>
        <v>1.0007343426224837</v>
      </c>
      <c r="F38" s="28"/>
      <c r="H38" s="33" t="s">
        <v>77</v>
      </c>
    </row>
    <row r="39" spans="1:10">
      <c r="A39" s="1">
        <v>36</v>
      </c>
      <c r="B39" s="28">
        <f>Data!D40/Data!D39</f>
        <v>0.99663948730420826</v>
      </c>
      <c r="C39" s="28">
        <f>Data!H40/Data!H39</f>
        <v>0.99531138199605063</v>
      </c>
      <c r="D39" s="28">
        <f>Data!L40/Data!L39</f>
        <v>0.99822672577580751</v>
      </c>
      <c r="E39" s="28">
        <f>Data!P40/Data!P39</f>
        <v>1.0043652915110972</v>
      </c>
      <c r="F39" s="28"/>
    </row>
    <row r="40" spans="1:10">
      <c r="A40" s="1">
        <v>37</v>
      </c>
      <c r="B40" s="28">
        <f>Data!D41/Data!D40</f>
        <v>0.99925336520801744</v>
      </c>
      <c r="C40" s="28">
        <f>Data!H41/Data!H40</f>
        <v>1.0084847991856756</v>
      </c>
      <c r="D40" s="28">
        <f>Data!L41/Data!L40</f>
        <v>1.0047984975383228</v>
      </c>
      <c r="E40" s="28">
        <f>Data!P41/Data!P40</f>
        <v>1.0109385962880892</v>
      </c>
      <c r="F40" s="28"/>
      <c r="H40" s="70" t="s">
        <v>78</v>
      </c>
      <c r="I40" s="75">
        <v>0.99</v>
      </c>
    </row>
    <row r="41" spans="1:10">
      <c r="A41" s="1">
        <v>38</v>
      </c>
      <c r="B41" s="28">
        <f>Data!D42/Data!D41</f>
        <v>1.0048833154104204</v>
      </c>
      <c r="C41" s="28">
        <f>Data!H42/Data!H41</f>
        <v>0.99869307230972792</v>
      </c>
      <c r="D41" s="28">
        <f>Data!L42/Data!L41</f>
        <v>0.99529478532175353</v>
      </c>
      <c r="E41" s="28">
        <f>Data!P42/Data!P41</f>
        <v>0.99789325020570974</v>
      </c>
      <c r="F41" s="28"/>
    </row>
    <row r="42" spans="1:10" ht="17">
      <c r="A42" s="1">
        <v>39</v>
      </c>
      <c r="B42" s="28">
        <f>Data!D43/Data!D42</f>
        <v>1.0105113350512562</v>
      </c>
      <c r="C42" s="28">
        <f>Data!H43/Data!H42</f>
        <v>1.0022920430020978</v>
      </c>
      <c r="D42" s="28">
        <f>Data!L43/Data!L42</f>
        <v>1.0029534354161143</v>
      </c>
      <c r="E42" s="28">
        <f>Data!P43/Data!P42</f>
        <v>0.98942202443835625</v>
      </c>
      <c r="F42" s="28"/>
      <c r="H42" s="33" t="s">
        <v>79</v>
      </c>
      <c r="I42">
        <f>NORMSINV(1-I40)</f>
        <v>-2.3263478740408408</v>
      </c>
      <c r="J42" t="str">
        <f ca="1">_xlfn.FORMULATEXT(I42)</f>
        <v>=NORMSINV(1-I40)</v>
      </c>
    </row>
    <row r="43" spans="1:10">
      <c r="A43" s="1">
        <v>40</v>
      </c>
      <c r="B43" s="28">
        <f>Data!D44/Data!D43</f>
        <v>1.0013568921768583</v>
      </c>
      <c r="C43" s="28">
        <f>Data!H44/Data!H43</f>
        <v>1.0025231013455329</v>
      </c>
      <c r="D43" s="28">
        <f>Data!L44/Data!L43</f>
        <v>1.0060838382589339</v>
      </c>
      <c r="E43" s="28">
        <f>Data!P44/Data!P43</f>
        <v>1.0253263819466782</v>
      </c>
      <c r="F43" s="28"/>
    </row>
    <row r="44" spans="1:10">
      <c r="A44" s="1">
        <v>41</v>
      </c>
      <c r="B44" s="28">
        <f>Data!D45/Data!D44</f>
        <v>0.99861123868576651</v>
      </c>
      <c r="C44" s="28">
        <f>Data!H45/Data!H44</f>
        <v>0.99561640773256166</v>
      </c>
      <c r="D44" s="28">
        <f>Data!L45/Data!L44</f>
        <v>0.99073107188476095</v>
      </c>
      <c r="E44" s="28">
        <f>Data!P45/Data!P44</f>
        <v>0.98827680601919721</v>
      </c>
      <c r="F44" s="28"/>
      <c r="G44" t="s">
        <v>80</v>
      </c>
    </row>
    <row r="45" spans="1:10">
      <c r="A45" s="1">
        <v>42</v>
      </c>
      <c r="B45" s="28">
        <f>Data!D46/Data!D45</f>
        <v>1.0014311982656847</v>
      </c>
      <c r="C45" s="28">
        <f>Data!H46/Data!H45</f>
        <v>1.0043372393785315</v>
      </c>
      <c r="D45" s="28">
        <f>Data!L46/Data!L45</f>
        <v>1.0014683415823669</v>
      </c>
      <c r="E45" s="28">
        <f>Data!P46/Data!P45</f>
        <v>0.99697616273316014</v>
      </c>
      <c r="F45" s="28"/>
    </row>
    <row r="46" spans="1:10">
      <c r="A46" s="1">
        <v>43</v>
      </c>
      <c r="B46" s="28">
        <f>Data!D47/Data!D46</f>
        <v>0.99873263802574663</v>
      </c>
      <c r="C46" s="28">
        <f>Data!H47/Data!H46</f>
        <v>1.0005628980765444</v>
      </c>
      <c r="D46" s="28">
        <f>Data!L47/Data!L46</f>
        <v>1.0013937263106174</v>
      </c>
      <c r="E46" s="28">
        <f>Data!P47/Data!P46</f>
        <v>0.99584569019075042</v>
      </c>
      <c r="F46" s="28"/>
    </row>
    <row r="47" spans="1:10">
      <c r="A47" s="1">
        <v>44</v>
      </c>
      <c r="B47" s="28">
        <f>Data!D48/Data!D47</f>
        <v>1.0080635295090419</v>
      </c>
      <c r="C47" s="28">
        <f>Data!H48/Data!H47</f>
        <v>1.0079245447594112</v>
      </c>
      <c r="D47" s="28">
        <f>Data!L48/Data!L47</f>
        <v>1.008208733818537</v>
      </c>
      <c r="E47" s="28">
        <f>Data!P48/Data!P47</f>
        <v>0.9987315856848753</v>
      </c>
      <c r="F47" s="28"/>
    </row>
    <row r="48" spans="1:10" ht="15" thickBot="1">
      <c r="A48" s="1">
        <v>45</v>
      </c>
      <c r="B48" s="28">
        <f>Data!D49/Data!D48</f>
        <v>1.0010721728868317</v>
      </c>
      <c r="C48" s="28">
        <f>Data!H49/Data!H48</f>
        <v>1.005285138366617</v>
      </c>
      <c r="D48" s="28">
        <f>Data!L49/Data!L48</f>
        <v>0.99496281056470348</v>
      </c>
      <c r="E48" s="28">
        <f>Data!P49/Data!P48</f>
        <v>1.0072128992858649</v>
      </c>
      <c r="F48" s="28"/>
    </row>
    <row r="49" spans="1:11" ht="17" thickBot="1">
      <c r="A49" s="1">
        <v>46</v>
      </c>
      <c r="B49" s="28">
        <f>Data!D50/Data!D49</f>
        <v>1.0016788581757801</v>
      </c>
      <c r="C49" s="28">
        <f>Data!H50/Data!H49</f>
        <v>1.0049915954624657</v>
      </c>
      <c r="D49" s="28">
        <f>Data!L50/Data!L49</f>
        <v>1.0033877101281585</v>
      </c>
      <c r="E49" s="28">
        <f>Data!P50/Data!P49</f>
        <v>1.014695235755388</v>
      </c>
      <c r="F49" s="28"/>
      <c r="H49" s="76" t="s">
        <v>81</v>
      </c>
      <c r="I49" s="78">
        <f>I34*ABS(I42)</f>
        <v>217757.00822477401</v>
      </c>
      <c r="J49" s="20" t="str">
        <f ca="1">_xlfn.FORMULATEXT(I49)</f>
        <v>=I34*ABS(I42)</v>
      </c>
      <c r="K49" s="77"/>
    </row>
    <row r="50" spans="1:11">
      <c r="A50" s="1">
        <v>47</v>
      </c>
      <c r="B50" s="28">
        <f>Data!D51/Data!D50</f>
        <v>0.99744837274291165</v>
      </c>
      <c r="C50" s="28">
        <f>Data!H51/Data!H50</f>
        <v>0.99450504634665615</v>
      </c>
      <c r="D50" s="28">
        <f>Data!L51/Data!L50</f>
        <v>0.99086050012627225</v>
      </c>
      <c r="E50" s="28">
        <f>Data!P51/Data!P50</f>
        <v>0.99974841183083529</v>
      </c>
      <c r="F50" s="28"/>
      <c r="I50" s="28">
        <f>I49/10000000</f>
        <v>2.1775700822477401E-2</v>
      </c>
    </row>
    <row r="51" spans="1:11">
      <c r="A51" s="1">
        <v>48</v>
      </c>
      <c r="B51" s="28">
        <f>Data!D52/Data!D51</f>
        <v>1.0035698685023122</v>
      </c>
      <c r="C51" s="28">
        <f>Data!H52/Data!H51</f>
        <v>1.005603985225082</v>
      </c>
      <c r="D51" s="28">
        <f>Data!L52/Data!L51</f>
        <v>1.0089695329448953</v>
      </c>
      <c r="E51" s="28">
        <f>Data!P52/Data!P51</f>
        <v>0.99929375084520033</v>
      </c>
      <c r="F51" s="28"/>
    </row>
    <row r="52" spans="1:11">
      <c r="A52" s="1">
        <v>49</v>
      </c>
      <c r="B52" s="28">
        <f>Data!D53/Data!D52</f>
        <v>1.0015884689660692</v>
      </c>
      <c r="C52" s="28">
        <f>Data!H53/Data!H52</f>
        <v>1.0056282455507703</v>
      </c>
      <c r="D52" s="28">
        <f>Data!L53/Data!L52</f>
        <v>1.006385704937466</v>
      </c>
      <c r="E52" s="28">
        <f>Data!P53/Data!P52</f>
        <v>1.0003651978478323</v>
      </c>
      <c r="F52" s="28"/>
      <c r="G52" t="s">
        <v>82</v>
      </c>
    </row>
    <row r="53" spans="1:11" ht="15" thickBot="1">
      <c r="A53" s="1">
        <v>50</v>
      </c>
      <c r="B53" s="28">
        <f>Data!D54/Data!D53</f>
        <v>0.99922076170543306</v>
      </c>
      <c r="C53" s="28">
        <f>Data!H54/Data!H53</f>
        <v>1.0023753174820416</v>
      </c>
      <c r="D53" s="28">
        <f>Data!L54/Data!L53</f>
        <v>1.0032916276593644</v>
      </c>
      <c r="E53" s="28">
        <f>Data!P54/Data!P53</f>
        <v>1.0021616172719086</v>
      </c>
      <c r="F53" s="28"/>
    </row>
    <row r="54" spans="1:11" ht="17" thickBot="1">
      <c r="A54" s="1">
        <v>51</v>
      </c>
      <c r="B54" s="28">
        <f>Data!D55/Data!D54</f>
        <v>1.0095431152347412</v>
      </c>
      <c r="C54" s="28">
        <f>Data!H55/Data!H54</f>
        <v>0.99724278154153068</v>
      </c>
      <c r="D54" s="28">
        <f>Data!L55/Data!L54</f>
        <v>1.002739002161344</v>
      </c>
      <c r="E54" s="28">
        <f>Data!P55/Data!P54</f>
        <v>1.0036755192719935</v>
      </c>
      <c r="F54" s="28"/>
      <c r="H54" s="76" t="s">
        <v>83</v>
      </c>
      <c r="I54" s="80">
        <f>I49*SQRT(10)</f>
        <v>688608.12245430495</v>
      </c>
      <c r="J54" s="20" t="str">
        <f ca="1">_xlfn.FORMULATEXT(I54)</f>
        <v>=I49*SQRT(10)</v>
      </c>
      <c r="K54" s="77"/>
    </row>
    <row r="55" spans="1:11">
      <c r="A55" s="1">
        <v>52</v>
      </c>
      <c r="B55" s="28">
        <f>Data!D56/Data!D55</f>
        <v>1.0009053463300461</v>
      </c>
      <c r="C55" s="28">
        <f>Data!H56/Data!H55</f>
        <v>1.0024454603382125</v>
      </c>
      <c r="D55" s="28">
        <f>Data!L56/Data!L55</f>
        <v>0.99815549670674741</v>
      </c>
      <c r="E55" s="28">
        <f>Data!P56/Data!P55</f>
        <v>0.99816406294741855</v>
      </c>
      <c r="F55" s="28"/>
      <c r="I55" s="28">
        <f>I54/10000000</f>
        <v>6.8860812245430489E-2</v>
      </c>
    </row>
    <row r="56" spans="1:11">
      <c r="A56" s="1">
        <v>53</v>
      </c>
      <c r="B56" s="28">
        <f>Data!D57/Data!D56</f>
        <v>1.000560691563571</v>
      </c>
      <c r="C56" s="28">
        <f>Data!H57/Data!H56</f>
        <v>1.0080385789955326</v>
      </c>
      <c r="D56" s="28">
        <f>Data!L57/Data!L56</f>
        <v>1.0066923733371889</v>
      </c>
      <c r="E56" s="28">
        <f>Data!P57/Data!P56</f>
        <v>0.9980030487780025</v>
      </c>
      <c r="F56" s="28"/>
      <c r="G56" t="s">
        <v>84</v>
      </c>
    </row>
    <row r="57" spans="1:11">
      <c r="A57" s="1">
        <v>54</v>
      </c>
      <c r="B57" s="28">
        <f>Data!D58/Data!D57</f>
        <v>1.0023881964748966</v>
      </c>
      <c r="C57" s="28">
        <f>Data!H58/Data!H57</f>
        <v>1.0007193217207775</v>
      </c>
      <c r="D57" s="28">
        <f>Data!L58/Data!L57</f>
        <v>1.0085978606050725</v>
      </c>
      <c r="E57" s="28">
        <f>Data!P58/Data!P57</f>
        <v>1.0112236874264271</v>
      </c>
      <c r="F57" s="28"/>
    </row>
    <row r="58" spans="1:11">
      <c r="A58" s="1">
        <v>55</v>
      </c>
      <c r="B58" s="28">
        <f>Data!D59/Data!D58</f>
        <v>0.99396563205482569</v>
      </c>
      <c r="C58" s="28">
        <f>Data!H59/Data!H58</f>
        <v>1.0010971008668026</v>
      </c>
      <c r="D58" s="28">
        <f>Data!L59/Data!L58</f>
        <v>0.99722018844788973</v>
      </c>
      <c r="E58" s="28">
        <f>Data!P59/Data!P58</f>
        <v>0.99986821141909621</v>
      </c>
      <c r="F58" s="28"/>
      <c r="H58" s="69" t="s">
        <v>85</v>
      </c>
      <c r="I58" s="81">
        <f>_xlfn.NORM.S.DIST(I42,FALSE)</f>
        <v>2.665214220345808E-2</v>
      </c>
    </row>
    <row r="59" spans="1:11">
      <c r="A59" s="1">
        <v>56</v>
      </c>
      <c r="B59" s="28">
        <f>Data!D60/Data!D59</f>
        <v>0.99968817874884408</v>
      </c>
      <c r="C59" s="28">
        <f>Data!H60/Data!H59</f>
        <v>0.99750611170376391</v>
      </c>
      <c r="D59" s="28">
        <f>Data!L60/Data!L59</f>
        <v>0.99335699175048053</v>
      </c>
      <c r="E59" s="28">
        <f>Data!P60/Data!P59</f>
        <v>0.9820550569661991</v>
      </c>
      <c r="F59" s="28"/>
      <c r="H59" s="69" t="s">
        <v>86</v>
      </c>
      <c r="I59">
        <f>_xlfn.NORM.S.DIST(-I42,TRUE)</f>
        <v>0.99</v>
      </c>
    </row>
    <row r="60" spans="1:11" ht="15" thickBot="1">
      <c r="A60" s="1">
        <v>57</v>
      </c>
      <c r="B60" s="28">
        <f>Data!D61/Data!D60</f>
        <v>0.99952343484336637</v>
      </c>
      <c r="C60" s="28">
        <f>Data!H61/Data!H60</f>
        <v>1.0029157059864173</v>
      </c>
      <c r="D60" s="28">
        <f>Data!L61/Data!L60</f>
        <v>1.001047101243814</v>
      </c>
      <c r="E60" s="28">
        <f>Data!P61/Data!P60</f>
        <v>1.0057324073293683</v>
      </c>
      <c r="F60" s="28"/>
    </row>
    <row r="61" spans="1:11" ht="17" thickBot="1">
      <c r="A61" s="1">
        <v>58</v>
      </c>
      <c r="B61" s="28">
        <f>Data!D62/Data!D61</f>
        <v>0.99588518243516744</v>
      </c>
      <c r="C61" s="28">
        <f>Data!H62/Data!H61</f>
        <v>1.0031705160365818</v>
      </c>
      <c r="D61" s="28">
        <f>Data!L62/Data!L61</f>
        <v>1.0050353564080499</v>
      </c>
      <c r="E61" s="28">
        <f>Data!P62/Data!P61</f>
        <v>1.0000651956577471</v>
      </c>
      <c r="F61" s="28"/>
      <c r="H61" s="76" t="s">
        <v>87</v>
      </c>
      <c r="I61" s="82">
        <f>I34*(I58/I59)</f>
        <v>2519.9644272042356</v>
      </c>
      <c r="J61" s="20" t="str">
        <f ca="1">_xlfn.FORMULATEXT(I61)</f>
        <v>=I34*(I58/I59)</v>
      </c>
      <c r="K61" s="77"/>
    </row>
    <row r="62" spans="1:11">
      <c r="A62" s="1">
        <v>59</v>
      </c>
      <c r="B62" s="28">
        <f>Data!D63/Data!D62</f>
        <v>0.99896268146840417</v>
      </c>
      <c r="C62" s="28">
        <f>Data!H63/Data!H62</f>
        <v>1.0000560879927969</v>
      </c>
      <c r="D62" s="28">
        <f>Data!L63/Data!L62</f>
        <v>0.98817657009843041</v>
      </c>
      <c r="E62" s="28">
        <f>Data!P63/Data!P62</f>
        <v>0.99726503578267267</v>
      </c>
      <c r="F62" s="28"/>
      <c r="I62" s="25">
        <f>I49+I61</f>
        <v>220276.97265197826</v>
      </c>
    </row>
    <row r="63" spans="1:11">
      <c r="A63" s="1">
        <v>60</v>
      </c>
      <c r="B63" s="28">
        <f>Data!D64/Data!D63</f>
        <v>1.0072396480770542</v>
      </c>
      <c r="C63" s="28">
        <f>Data!H64/Data!H63</f>
        <v>1.006550106626694</v>
      </c>
      <c r="D63" s="28">
        <f>Data!L64/Data!L63</f>
        <v>1.0129826608758683</v>
      </c>
      <c r="E63" s="28">
        <f>Data!P64/Data!P63</f>
        <v>0.99033100657427309</v>
      </c>
      <c r="F63" s="28"/>
      <c r="G63" t="s">
        <v>88</v>
      </c>
      <c r="I63" s="28">
        <f>I62/10000000</f>
        <v>2.2027697265197824E-2</v>
      </c>
    </row>
    <row r="64" spans="1:11" ht="15" thickBot="1">
      <c r="A64" s="1">
        <v>61</v>
      </c>
      <c r="B64" s="28">
        <f>Data!D65/Data!D64</f>
        <v>1.0042311171322247</v>
      </c>
      <c r="C64" s="28">
        <f>Data!H65/Data!H64</f>
        <v>1.0097445190402681</v>
      </c>
      <c r="D64" s="28">
        <f>Data!L65/Data!L64</f>
        <v>1.0135141569635908</v>
      </c>
      <c r="E64" s="28">
        <f>Data!P65/Data!P64</f>
        <v>1.0095122554670999</v>
      </c>
      <c r="F64" s="28"/>
    </row>
    <row r="65" spans="1:11" ht="15" thickBot="1">
      <c r="A65" s="1">
        <v>62</v>
      </c>
      <c r="B65" s="28">
        <f>Data!D66/Data!D65</f>
        <v>1.0016262543422307</v>
      </c>
      <c r="C65" s="28">
        <f>Data!H66/Data!H65</f>
        <v>0.99621576577317261</v>
      </c>
      <c r="D65" s="28">
        <f>Data!L66/Data!L65</f>
        <v>0.99644205871664915</v>
      </c>
      <c r="E65" s="28">
        <f>Data!P66/Data!P65</f>
        <v>0.98521955253908056</v>
      </c>
      <c r="F65" s="28"/>
      <c r="H65" s="76" t="s">
        <v>89</v>
      </c>
      <c r="I65" s="83">
        <f>3*I54</f>
        <v>2065824.3673629148</v>
      </c>
      <c r="J65" s="20" t="str">
        <f ca="1">_xlfn.FORMULATEXT(I65)</f>
        <v>=3*I54</v>
      </c>
      <c r="K65" s="77"/>
    </row>
    <row r="66" spans="1:11">
      <c r="A66" s="1">
        <v>63</v>
      </c>
      <c r="B66" s="28">
        <f>Data!D67/Data!D66</f>
        <v>0.99398515506046858</v>
      </c>
      <c r="C66" s="28">
        <f>Data!H67/Data!H66</f>
        <v>0.99643641184463216</v>
      </c>
      <c r="D66" s="28">
        <f>Data!L67/Data!L66</f>
        <v>1.0050529128063299</v>
      </c>
      <c r="E66" s="28">
        <f>Data!P67/Data!P66</f>
        <v>0.99581655822101944</v>
      </c>
      <c r="F66" s="28"/>
      <c r="I66" s="28">
        <f>I65/10000000</f>
        <v>0.20658243673629148</v>
      </c>
    </row>
    <row r="67" spans="1:11">
      <c r="A67" s="1">
        <v>64</v>
      </c>
      <c r="B67" s="28">
        <f>Data!D68/Data!D67</f>
        <v>1.0004238513463271</v>
      </c>
      <c r="C67" s="28">
        <f>Data!H68/Data!H67</f>
        <v>1.0032190163862491</v>
      </c>
      <c r="D67" s="28">
        <f>Data!L68/Data!L67</f>
        <v>1.0048118880508561</v>
      </c>
      <c r="E67" s="28">
        <f>Data!P68/Data!P67</f>
        <v>1.001625631696365</v>
      </c>
      <c r="F67" s="28"/>
      <c r="G67" t="s">
        <v>90</v>
      </c>
    </row>
    <row r="68" spans="1:11">
      <c r="A68" s="1">
        <v>65</v>
      </c>
      <c r="B68" s="28">
        <f>Data!D69/Data!D68</f>
        <v>1.0019366672640466</v>
      </c>
      <c r="C68" s="28">
        <f>Data!H69/Data!H68</f>
        <v>0.99312079274968001</v>
      </c>
      <c r="D68" s="28">
        <f>Data!L69/Data!L68</f>
        <v>1.0044174312886933</v>
      </c>
      <c r="E68" s="28">
        <f>Data!P69/Data!P68</f>
        <v>0.98902954389118136</v>
      </c>
      <c r="F68" s="28"/>
    </row>
    <row r="69" spans="1:11">
      <c r="A69" s="1">
        <v>66</v>
      </c>
      <c r="B69" s="28">
        <f>Data!D70/Data!D69</f>
        <v>1.0070994767505119</v>
      </c>
      <c r="C69" s="28">
        <f>Data!H70/Data!H69</f>
        <v>0.99373509848512653</v>
      </c>
      <c r="D69" s="28">
        <f>Data!L70/Data!L69</f>
        <v>0.9970159012926566</v>
      </c>
      <c r="E69" s="28">
        <f>Data!P70/Data!P69</f>
        <v>1.0199493448823427</v>
      </c>
      <c r="F69" s="28"/>
    </row>
    <row r="70" spans="1:11">
      <c r="A70" s="1">
        <v>67</v>
      </c>
      <c r="B70" s="28">
        <f>Data!D71/Data!D70</f>
        <v>1.0027582233113248</v>
      </c>
      <c r="C70" s="28">
        <f>Data!H71/Data!H70</f>
        <v>1.003738962253633</v>
      </c>
      <c r="D70" s="28">
        <f>Data!L71/Data!L70</f>
        <v>1.0063079531309065</v>
      </c>
      <c r="E70" s="28">
        <f>Data!P71/Data!P70</f>
        <v>0.99404711686521452</v>
      </c>
      <c r="F70" s="28"/>
    </row>
    <row r="71" spans="1:11">
      <c r="A71" s="1">
        <v>68</v>
      </c>
      <c r="B71" s="28">
        <f>Data!D72/Data!D71</f>
        <v>1.0044165263461182</v>
      </c>
      <c r="C71" s="28">
        <f>Data!H72/Data!H71</f>
        <v>1.0048801192473944</v>
      </c>
      <c r="D71" s="28">
        <f>Data!L72/Data!L71</f>
        <v>0.99894584625321825</v>
      </c>
      <c r="E71" s="28">
        <f>Data!P72/Data!P71</f>
        <v>0.99493107964370142</v>
      </c>
      <c r="F71" s="28"/>
    </row>
    <row r="72" spans="1:11">
      <c r="A72" s="1">
        <v>69</v>
      </c>
      <c r="B72" s="28">
        <f>Data!D73/Data!D72</f>
        <v>1.0029847665576126</v>
      </c>
      <c r="C72" s="28">
        <f>Data!H73/Data!H72</f>
        <v>0.99277364259617229</v>
      </c>
      <c r="D72" s="28">
        <f>Data!L73/Data!L72</f>
        <v>0.98965839140332723</v>
      </c>
      <c r="E72" s="28">
        <f>Data!P73/Data!P72</f>
        <v>0.99925922589437888</v>
      </c>
      <c r="F72" s="28"/>
    </row>
    <row r="73" spans="1:11">
      <c r="A73" s="1">
        <v>70</v>
      </c>
      <c r="B73" s="28">
        <f>Data!D74/Data!D73</f>
        <v>0.9978926558936364</v>
      </c>
      <c r="C73" s="28">
        <f>Data!H74/Data!H73</f>
        <v>1.0034996799861968</v>
      </c>
      <c r="D73" s="28">
        <f>Data!L74/Data!L73</f>
        <v>1.0018633301023263</v>
      </c>
      <c r="E73" s="28">
        <f>Data!P74/Data!P73</f>
        <v>0.97313378694058594</v>
      </c>
      <c r="F73" s="28"/>
    </row>
    <row r="74" spans="1:11">
      <c r="A74" s="1">
        <v>71</v>
      </c>
      <c r="B74" s="28">
        <f>Data!D75/Data!D74</f>
        <v>1.0004100177484909</v>
      </c>
      <c r="C74" s="28">
        <f>Data!H75/Data!H74</f>
        <v>1.0006948870600936</v>
      </c>
      <c r="D74" s="28">
        <f>Data!L75/Data!L74</f>
        <v>1.0016154124109886</v>
      </c>
      <c r="E74" s="28">
        <f>Data!P75/Data!P74</f>
        <v>1.002897563791683</v>
      </c>
      <c r="F74" s="28"/>
    </row>
    <row r="75" spans="1:11">
      <c r="A75" s="1">
        <v>72</v>
      </c>
      <c r="B75" s="28">
        <f>Data!D76/Data!D75</f>
        <v>1.0004350087935081</v>
      </c>
      <c r="C75" s="28">
        <f>Data!H76/Data!H75</f>
        <v>1.0009198896698781</v>
      </c>
      <c r="D75" s="28">
        <f>Data!L76/Data!L75</f>
        <v>1.0071405845859287</v>
      </c>
      <c r="E75" s="28">
        <f>Data!P76/Data!P75</f>
        <v>1.0225472575175287</v>
      </c>
      <c r="F75" s="28"/>
    </row>
    <row r="76" spans="1:11">
      <c r="A76" s="1">
        <v>73</v>
      </c>
      <c r="B76" s="28">
        <f>Data!D77/Data!D76</f>
        <v>0.99620506289065824</v>
      </c>
      <c r="C76" s="28">
        <f>Data!H77/Data!H76</f>
        <v>1.0031450754265976</v>
      </c>
      <c r="D76" s="28">
        <f>Data!L77/Data!L76</f>
        <v>1.0004753537822009</v>
      </c>
      <c r="E76" s="28">
        <f>Data!P77/Data!P76</f>
        <v>0.9951982173456364</v>
      </c>
      <c r="F76" s="28"/>
    </row>
    <row r="77" spans="1:11">
      <c r="A77" s="1">
        <v>74</v>
      </c>
      <c r="B77" s="28">
        <f>Data!D78/Data!D77</f>
        <v>0.98709626983991261</v>
      </c>
      <c r="C77" s="28">
        <f>Data!H78/Data!H77</f>
        <v>0.99079688484272599</v>
      </c>
      <c r="D77" s="28">
        <f>Data!L78/Data!L77</f>
        <v>0.98733270459568045</v>
      </c>
      <c r="E77" s="28">
        <f>Data!P78/Data!P77</f>
        <v>1.0075824961642992</v>
      </c>
      <c r="F77" s="28"/>
    </row>
    <row r="78" spans="1:11">
      <c r="A78" s="1">
        <v>75</v>
      </c>
      <c r="B78" s="28">
        <f>Data!D79/Data!D78</f>
        <v>1.0012151750866833</v>
      </c>
      <c r="C78" s="28">
        <f>Data!H79/Data!H78</f>
        <v>1.0013477174762988</v>
      </c>
      <c r="D78" s="28">
        <f>Data!L79/Data!L78</f>
        <v>1.0016492244132658</v>
      </c>
      <c r="E78" s="28">
        <f>Data!P79/Data!P78</f>
        <v>0.99681593011852632</v>
      </c>
      <c r="F78" s="28"/>
    </row>
    <row r="79" spans="1:11">
      <c r="A79" s="1">
        <v>76</v>
      </c>
      <c r="B79" s="28">
        <f>Data!D80/Data!D79</f>
        <v>1.0074395786573327</v>
      </c>
      <c r="C79" s="28">
        <f>Data!H80/Data!H79</f>
        <v>1.0107450740822606</v>
      </c>
      <c r="D79" s="28">
        <f>Data!L80/Data!L79</f>
        <v>1.0142695731485485</v>
      </c>
      <c r="E79" s="28">
        <f>Data!P80/Data!P79</f>
        <v>1.0146331099638481</v>
      </c>
      <c r="F79" s="28"/>
    </row>
    <row r="80" spans="1:11">
      <c r="A80" s="1">
        <v>77</v>
      </c>
      <c r="B80" s="28">
        <f>Data!D81/Data!D80</f>
        <v>0.99960741751882976</v>
      </c>
      <c r="C80" s="28">
        <f>Data!H81/Data!H80</f>
        <v>1.0031245645998856</v>
      </c>
      <c r="D80" s="28">
        <f>Data!L81/Data!L80</f>
        <v>0.99778050184561839</v>
      </c>
      <c r="E80" s="28">
        <f>Data!P81/Data!P80</f>
        <v>1.0167886362082552</v>
      </c>
      <c r="F80" s="28"/>
    </row>
    <row r="81" spans="1:6">
      <c r="A81" s="1">
        <v>78</v>
      </c>
      <c r="B81" s="28">
        <f>Data!D82/Data!D81</f>
        <v>0.99772540016184019</v>
      </c>
      <c r="C81" s="28">
        <f>Data!H82/Data!H81</f>
        <v>1.0024201945848059</v>
      </c>
      <c r="D81" s="28">
        <f>Data!L82/Data!L81</f>
        <v>0.99210504159449719</v>
      </c>
      <c r="E81" s="28">
        <f>Data!P82/Data!P81</f>
        <v>1.0070955382829692</v>
      </c>
      <c r="F81" s="28"/>
    </row>
    <row r="82" spans="1:6">
      <c r="A82" s="1">
        <v>79</v>
      </c>
      <c r="B82" s="28">
        <f>Data!D83/Data!D82</f>
        <v>1.0073576384703133</v>
      </c>
      <c r="C82" s="28">
        <f>Data!H83/Data!H82</f>
        <v>1.003886337332792</v>
      </c>
      <c r="D82" s="28">
        <f>Data!L83/Data!L82</f>
        <v>1.0071936808165518</v>
      </c>
      <c r="E82" s="28">
        <f>Data!P83/Data!P82</f>
        <v>0.9966356011152897</v>
      </c>
      <c r="F82" s="28"/>
    </row>
    <row r="83" spans="1:6">
      <c r="A83" s="1">
        <v>80</v>
      </c>
      <c r="B83" s="28">
        <f>Data!D84/Data!D83</f>
        <v>1.0038872177696732</v>
      </c>
      <c r="C83" s="28">
        <f>Data!H84/Data!H83</f>
        <v>1.0019341498264847</v>
      </c>
      <c r="D83" s="28">
        <f>Data!L84/Data!L83</f>
        <v>1.010798619986236</v>
      </c>
      <c r="E83" s="28">
        <f>Data!P84/Data!P83</f>
        <v>1.0006270071048855</v>
      </c>
      <c r="F83" s="28"/>
    </row>
    <row r="84" spans="1:6">
      <c r="A84" s="1">
        <v>81</v>
      </c>
      <c r="B84" s="28">
        <f>Data!D85/Data!D84</f>
        <v>0.99818758311978983</v>
      </c>
      <c r="C84" s="28">
        <f>Data!H85/Data!H84</f>
        <v>1.0002853956301705</v>
      </c>
      <c r="D84" s="28">
        <f>Data!L85/Data!L84</f>
        <v>0.99897247875053197</v>
      </c>
      <c r="E84" s="28">
        <f>Data!P85/Data!P84</f>
        <v>1.0081515860546746</v>
      </c>
      <c r="F84" s="28"/>
    </row>
    <row r="85" spans="1:6">
      <c r="A85" s="1">
        <v>82</v>
      </c>
      <c r="B85" s="28">
        <f>Data!D86/Data!D85</f>
        <v>0.9974945670938522</v>
      </c>
      <c r="C85" s="28">
        <f>Data!H86/Data!H85</f>
        <v>1.003750130599943</v>
      </c>
      <c r="D85" s="28">
        <f>Data!L86/Data!L85</f>
        <v>1.0038727240458196</v>
      </c>
      <c r="E85" s="28">
        <f>Data!P86/Data!P85</f>
        <v>1.0039635036263805</v>
      </c>
      <c r="F85" s="28"/>
    </row>
    <row r="86" spans="1:6">
      <c r="A86" s="1">
        <v>83</v>
      </c>
      <c r="B86" s="28">
        <f>Data!D87/Data!D86</f>
        <v>1.0023675703938866</v>
      </c>
      <c r="C86" s="28">
        <f>Data!H87/Data!H86</f>
        <v>1.0045834595089669</v>
      </c>
      <c r="D86" s="28">
        <f>Data!L87/Data!L86</f>
        <v>1.0022529927081223</v>
      </c>
      <c r="E86" s="28">
        <f>Data!P87/Data!P86</f>
        <v>0.99378073939996669</v>
      </c>
      <c r="F86" s="28"/>
    </row>
    <row r="87" spans="1:6">
      <c r="A87" s="1">
        <v>84</v>
      </c>
      <c r="B87" s="28">
        <f>Data!D88/Data!D87</f>
        <v>1.0017062794333202</v>
      </c>
      <c r="C87" s="28">
        <f>Data!H88/Data!H87</f>
        <v>0.99468659024126793</v>
      </c>
      <c r="D87" s="28">
        <f>Data!L88/Data!L87</f>
        <v>1.0004672551331157</v>
      </c>
      <c r="E87" s="28">
        <f>Data!P88/Data!P87</f>
        <v>0.99320846673421315</v>
      </c>
      <c r="F87" s="28"/>
    </row>
    <row r="88" spans="1:6">
      <c r="A88" s="1">
        <v>85</v>
      </c>
      <c r="B88" s="28">
        <f>Data!D89/Data!D88</f>
        <v>0.99895364229815842</v>
      </c>
      <c r="C88" s="28">
        <f>Data!H89/Data!H88</f>
        <v>1.0058419643333065</v>
      </c>
      <c r="D88" s="28">
        <f>Data!L89/Data!L88</f>
        <v>1.0017169742089511</v>
      </c>
      <c r="E88" s="28">
        <f>Data!P89/Data!P88</f>
        <v>1.0064707129163171</v>
      </c>
      <c r="F88" s="28"/>
    </row>
    <row r="89" spans="1:6">
      <c r="A89" s="1">
        <v>86</v>
      </c>
      <c r="B89" s="28">
        <f>Data!D90/Data!D89</f>
        <v>1.0001559000875313</v>
      </c>
      <c r="C89" s="28">
        <f>Data!H90/Data!H89</f>
        <v>1.0062730369459736</v>
      </c>
      <c r="D89" s="28">
        <f>Data!L90/Data!L89</f>
        <v>1.0077005843772344</v>
      </c>
      <c r="E89" s="28">
        <f>Data!P90/Data!P89</f>
        <v>1.0017746065001607</v>
      </c>
      <c r="F89" s="28"/>
    </row>
    <row r="90" spans="1:6">
      <c r="A90" s="1">
        <v>87</v>
      </c>
      <c r="B90" s="28">
        <f>Data!D91/Data!D90</f>
        <v>1.0080584534199311</v>
      </c>
      <c r="C90" s="28">
        <f>Data!H91/Data!H90</f>
        <v>1.0034321122361511</v>
      </c>
      <c r="D90" s="28">
        <f>Data!L91/Data!L90</f>
        <v>1.0023164347855478</v>
      </c>
      <c r="E90" s="28">
        <f>Data!P91/Data!P90</f>
        <v>1.0049922027080389</v>
      </c>
      <c r="F90" s="28"/>
    </row>
    <row r="91" spans="1:6">
      <c r="A91" s="1">
        <v>88</v>
      </c>
      <c r="B91" s="28">
        <f>Data!D92/Data!D91</f>
        <v>1.002316224200194</v>
      </c>
      <c r="C91" s="28">
        <f>Data!H92/Data!H91</f>
        <v>0.99965840117942739</v>
      </c>
      <c r="D91" s="28">
        <f>Data!L92/Data!L91</f>
        <v>0.99962690793610876</v>
      </c>
      <c r="E91" s="28">
        <f>Data!P92/Data!P91</f>
        <v>1.0044595412924833</v>
      </c>
      <c r="F91" s="28"/>
    </row>
    <row r="92" spans="1:6">
      <c r="A92" s="1">
        <v>89</v>
      </c>
      <c r="B92" s="28">
        <f>Data!D93/Data!D92</f>
        <v>0.99965851165720676</v>
      </c>
      <c r="C92" s="28">
        <f>Data!H93/Data!H92</f>
        <v>0.9948173839888963</v>
      </c>
      <c r="D92" s="28">
        <f>Data!L93/Data!L92</f>
        <v>0.99613526736675617</v>
      </c>
      <c r="E92" s="28">
        <f>Data!P93/Data!P92</f>
        <v>0.99926025493531367</v>
      </c>
      <c r="F92" s="28"/>
    </row>
    <row r="93" spans="1:6">
      <c r="A93" s="1">
        <v>90</v>
      </c>
      <c r="B93" s="28">
        <f>Data!D94/Data!D93</f>
        <v>1.0024153482723226</v>
      </c>
      <c r="C93" s="28">
        <f>Data!H94/Data!H93</f>
        <v>1.0016620017020923</v>
      </c>
      <c r="D93" s="28">
        <f>Data!L94/Data!L93</f>
        <v>0.99946706510646854</v>
      </c>
      <c r="E93" s="28">
        <f>Data!P94/Data!P93</f>
        <v>0.98907977840021077</v>
      </c>
      <c r="F93" s="28"/>
    </row>
    <row r="94" spans="1:6">
      <c r="A94" s="1">
        <v>91</v>
      </c>
      <c r="B94" s="28">
        <f>Data!D95/Data!D94</f>
        <v>0.99940262939287916</v>
      </c>
      <c r="C94" s="28">
        <f>Data!H95/Data!H94</f>
        <v>1.0006219928223699</v>
      </c>
      <c r="D94" s="28">
        <f>Data!L95/Data!L94</f>
        <v>1.0067334073720129</v>
      </c>
      <c r="E94" s="28">
        <f>Data!P95/Data!P94</f>
        <v>1.0120723056242769</v>
      </c>
      <c r="F94" s="28"/>
    </row>
    <row r="95" spans="1:6">
      <c r="A95" s="1">
        <v>92</v>
      </c>
      <c r="B95" s="28">
        <f>Data!D96/Data!D95</f>
        <v>0.99658051632438394</v>
      </c>
      <c r="C95" s="28">
        <f>Data!H96/Data!H95</f>
        <v>0.99571837932314478</v>
      </c>
      <c r="D95" s="28">
        <f>Data!L96/Data!L95</f>
        <v>0.99769056447054194</v>
      </c>
      <c r="E95" s="28">
        <f>Data!P96/Data!P95</f>
        <v>1.0012320428437702</v>
      </c>
      <c r="F95" s="28"/>
    </row>
    <row r="96" spans="1:6">
      <c r="A96" s="1">
        <v>93</v>
      </c>
      <c r="B96" s="28">
        <f>Data!D97/Data!D96</f>
        <v>0.99371721847640127</v>
      </c>
      <c r="C96" s="28">
        <f>Data!H97/Data!H96</f>
        <v>1.0001514177487298</v>
      </c>
      <c r="D96" s="28">
        <f>Data!L97/Data!L96</f>
        <v>0.98910464661079855</v>
      </c>
      <c r="E96" s="28">
        <f>Data!P97/Data!P96</f>
        <v>1.0003109574987872</v>
      </c>
      <c r="F96" s="28"/>
    </row>
    <row r="97" spans="1:6">
      <c r="A97" s="1">
        <v>94</v>
      </c>
      <c r="B97" s="28">
        <f>Data!D98/Data!D97</f>
        <v>1.0135588716387391</v>
      </c>
      <c r="C97" s="28">
        <f>Data!H98/Data!H97</f>
        <v>1.0063441022387516</v>
      </c>
      <c r="D97" s="28">
        <f>Data!L98/Data!L97</f>
        <v>1.0135144781196732</v>
      </c>
      <c r="E97" s="28">
        <f>Data!P98/Data!P97</f>
        <v>1.0094188472708188</v>
      </c>
      <c r="F97" s="28"/>
    </row>
    <row r="98" spans="1:6">
      <c r="A98" s="1">
        <v>95</v>
      </c>
      <c r="B98" s="28">
        <f>Data!D99/Data!D98</f>
        <v>0.99927661169714899</v>
      </c>
      <c r="C98" s="28">
        <f>Data!H99/Data!H98</f>
        <v>1.0017136622464513</v>
      </c>
      <c r="D98" s="28">
        <f>Data!L99/Data!L98</f>
        <v>1.0002439419384135</v>
      </c>
      <c r="E98" s="28">
        <f>Data!P99/Data!P98</f>
        <v>0.99618500229996321</v>
      </c>
      <c r="F98" s="28"/>
    </row>
    <row r="99" spans="1:6">
      <c r="A99" s="1">
        <v>96</v>
      </c>
      <c r="B99" s="28">
        <f>Data!D100/Data!D99</f>
        <v>0.99693077321797663</v>
      </c>
      <c r="C99" s="28">
        <f>Data!H100/Data!H99</f>
        <v>0.99530440889515126</v>
      </c>
      <c r="D99" s="28">
        <f>Data!L100/Data!L99</f>
        <v>1.0045553692314066</v>
      </c>
      <c r="E99" s="28">
        <f>Data!P100/Data!P99</f>
        <v>0.99854855343898308</v>
      </c>
      <c r="F99" s="28"/>
    </row>
    <row r="100" spans="1:6">
      <c r="A100" s="1">
        <v>97</v>
      </c>
      <c r="B100" s="28">
        <f>Data!D101/Data!D100</f>
        <v>1.0014073488644524</v>
      </c>
      <c r="C100" s="28">
        <f>Data!H101/Data!H100</f>
        <v>1.00428970322058</v>
      </c>
      <c r="D100" s="28">
        <f>Data!L101/Data!L100</f>
        <v>0.99867618803412161</v>
      </c>
      <c r="E100" s="28">
        <f>Data!P101/Data!P100</f>
        <v>1.006745518132238</v>
      </c>
      <c r="F100" s="28"/>
    </row>
    <row r="101" spans="1:6">
      <c r="A101" s="1">
        <v>98</v>
      </c>
      <c r="B101" s="28">
        <f>Data!D102/Data!D101</f>
        <v>0.99337536626580736</v>
      </c>
      <c r="C101" s="28">
        <f>Data!H102/Data!H101</f>
        <v>0.98060855781493006</v>
      </c>
      <c r="D101" s="28">
        <f>Data!L102/Data!L101</f>
        <v>0.98215163487681323</v>
      </c>
      <c r="E101" s="28">
        <f>Data!P102/Data!P101</f>
        <v>0.98904500605117041</v>
      </c>
      <c r="F101" s="28"/>
    </row>
    <row r="102" spans="1:6">
      <c r="A102" s="1">
        <v>99</v>
      </c>
      <c r="B102" s="28">
        <f>Data!D103/Data!D102</f>
        <v>1.0014994341833892</v>
      </c>
      <c r="C102" s="28">
        <f>Data!H103/Data!H102</f>
        <v>1.0029116859778322</v>
      </c>
      <c r="D102" s="28">
        <f>Data!L103/Data!L102</f>
        <v>1.0037546853843382</v>
      </c>
      <c r="E102" s="28">
        <f>Data!P103/Data!P102</f>
        <v>1.0029778296940837</v>
      </c>
      <c r="F102" s="28"/>
    </row>
    <row r="103" spans="1:6">
      <c r="A103" s="1">
        <v>100</v>
      </c>
      <c r="B103" s="28">
        <f>Data!D104/Data!D103</f>
        <v>1.0020585345424673</v>
      </c>
      <c r="C103" s="28">
        <f>Data!H104/Data!H103</f>
        <v>0.99146874616183933</v>
      </c>
      <c r="D103" s="28">
        <f>Data!L104/Data!L103</f>
        <v>0.99013442568661481</v>
      </c>
      <c r="E103" s="28">
        <f>Data!P104/Data!P103</f>
        <v>0.98097530203243777</v>
      </c>
      <c r="F103" s="28"/>
    </row>
    <row r="104" spans="1:6">
      <c r="A104" s="1">
        <v>101</v>
      </c>
      <c r="B104" s="28">
        <f>Data!D105/Data!D104</f>
        <v>1.0058526815279663</v>
      </c>
      <c r="C104" s="28">
        <f>Data!H105/Data!H104</f>
        <v>1.0146095331128842</v>
      </c>
      <c r="D104" s="28">
        <f>Data!L105/Data!L104</f>
        <v>1.0151336604202534</v>
      </c>
      <c r="E104" s="28">
        <f>Data!P105/Data!P104</f>
        <v>0.98708205672012272</v>
      </c>
      <c r="F104" s="28"/>
    </row>
    <row r="105" spans="1:6">
      <c r="A105" s="1">
        <v>102</v>
      </c>
      <c r="B105" s="28">
        <f>Data!D106/Data!D105</f>
        <v>1.0032840643772503</v>
      </c>
      <c r="C105" s="28">
        <f>Data!H106/Data!H105</f>
        <v>1.0111771962278135</v>
      </c>
      <c r="D105" s="28">
        <f>Data!L106/Data!L105</f>
        <v>1.0047613253187087</v>
      </c>
      <c r="E105" s="28">
        <f>Data!P106/Data!P105</f>
        <v>1.0138383706517471</v>
      </c>
      <c r="F105" s="28"/>
    </row>
    <row r="106" spans="1:6">
      <c r="A106" s="1">
        <v>103</v>
      </c>
      <c r="B106" s="28">
        <f>Data!D107/Data!D106</f>
        <v>1.0021113277392308</v>
      </c>
      <c r="C106" s="28">
        <f>Data!H107/Data!H106</f>
        <v>0.99657034413622458</v>
      </c>
      <c r="D106" s="28">
        <f>Data!L107/Data!L106</f>
        <v>0.99522874898399172</v>
      </c>
      <c r="E106" s="28">
        <f>Data!P107/Data!P106</f>
        <v>1.0052696608574825</v>
      </c>
      <c r="F106" s="28"/>
    </row>
    <row r="107" spans="1:6">
      <c r="A107" s="1">
        <v>104</v>
      </c>
      <c r="B107" s="28">
        <f>Data!D108/Data!D107</f>
        <v>0.99956765657944824</v>
      </c>
      <c r="C107" s="28">
        <f>Data!H108/Data!H107</f>
        <v>1.0034919716917921</v>
      </c>
      <c r="D107" s="28">
        <f>Data!L108/Data!L107</f>
        <v>0.99609459353465468</v>
      </c>
      <c r="E107" s="28">
        <f>Data!P108/Data!P107</f>
        <v>1.0051716169263702</v>
      </c>
      <c r="F107" s="28"/>
    </row>
    <row r="108" spans="1:6">
      <c r="A108" s="1">
        <v>105</v>
      </c>
      <c r="B108" s="28">
        <f>Data!D109/Data!D108</f>
        <v>0.9992669245417285</v>
      </c>
      <c r="C108" s="28">
        <f>Data!H109/Data!H108</f>
        <v>1.001340987712654</v>
      </c>
      <c r="D108" s="28">
        <f>Data!L109/Data!L108</f>
        <v>0.99891751769596071</v>
      </c>
      <c r="E108" s="28">
        <f>Data!P109/Data!P108</f>
        <v>0.99987766058465022</v>
      </c>
      <c r="F108" s="28"/>
    </row>
    <row r="109" spans="1:6">
      <c r="A109" s="1">
        <v>106</v>
      </c>
      <c r="B109" s="28">
        <f>Data!D110/Data!D109</f>
        <v>0.99980903776516894</v>
      </c>
      <c r="C109" s="28">
        <f>Data!H110/Data!H109</f>
        <v>1.0052481534290847</v>
      </c>
      <c r="D109" s="28">
        <f>Data!L110/Data!L109</f>
        <v>1.010216436240623</v>
      </c>
      <c r="E109" s="28">
        <f>Data!P110/Data!P109</f>
        <v>0.99594305240361358</v>
      </c>
      <c r="F109" s="28"/>
    </row>
    <row r="110" spans="1:6">
      <c r="A110" s="1">
        <v>107</v>
      </c>
      <c r="B110" s="28">
        <f>Data!D111/Data!D110</f>
        <v>0.99296726839218075</v>
      </c>
      <c r="C110" s="28">
        <f>Data!H111/Data!H110</f>
        <v>0.99814746192908244</v>
      </c>
      <c r="D110" s="28">
        <f>Data!L111/Data!L110</f>
        <v>0.99481083642323131</v>
      </c>
      <c r="E110" s="28">
        <f>Data!P111/Data!P110</f>
        <v>1.004914785234629</v>
      </c>
      <c r="F110" s="28"/>
    </row>
    <row r="111" spans="1:6">
      <c r="A111" s="1">
        <v>108</v>
      </c>
      <c r="B111" s="28">
        <f>Data!D112/Data!D111</f>
        <v>1.0045394945644681</v>
      </c>
      <c r="C111" s="28">
        <f>Data!H112/Data!H111</f>
        <v>1.0066482758290267</v>
      </c>
      <c r="D111" s="28">
        <f>Data!L112/Data!L111</f>
        <v>1.0048854335129629</v>
      </c>
      <c r="E111" s="28">
        <f>Data!P112/Data!P111</f>
        <v>1.0007503602802865</v>
      </c>
      <c r="F111" s="28"/>
    </row>
    <row r="112" spans="1:6">
      <c r="A112" s="1">
        <v>109</v>
      </c>
      <c r="B112" s="28">
        <f>Data!D113/Data!D112</f>
        <v>1.0070186216470665</v>
      </c>
      <c r="C112" s="28">
        <f>Data!H113/Data!H112</f>
        <v>1.0032828050901812</v>
      </c>
      <c r="D112" s="28">
        <f>Data!L113/Data!L112</f>
        <v>1.0059270177809363</v>
      </c>
      <c r="E112" s="28">
        <f>Data!P113/Data!P112</f>
        <v>1.0090021908917624</v>
      </c>
      <c r="F112" s="28"/>
    </row>
    <row r="113" spans="1:6">
      <c r="A113" s="1">
        <v>110</v>
      </c>
      <c r="B113" s="28">
        <f>Data!D114/Data!D113</f>
        <v>0.99055520739167324</v>
      </c>
      <c r="C113" s="28">
        <f>Data!H114/Data!H113</f>
        <v>0.99547179019888232</v>
      </c>
      <c r="D113" s="28">
        <f>Data!L114/Data!L113</f>
        <v>0.99591052320988616</v>
      </c>
      <c r="E113" s="28">
        <f>Data!P114/Data!P113</f>
        <v>0.99744281238274746</v>
      </c>
      <c r="F113" s="28"/>
    </row>
    <row r="114" spans="1:6">
      <c r="A114" s="1">
        <v>111</v>
      </c>
      <c r="B114" s="28">
        <f>Data!D115/Data!D114</f>
        <v>0.99875705455522712</v>
      </c>
      <c r="C114" s="28">
        <f>Data!H115/Data!H114</f>
        <v>0.98776680877159861</v>
      </c>
      <c r="D114" s="28">
        <f>Data!L115/Data!L114</f>
        <v>0.98980954973632629</v>
      </c>
      <c r="E114" s="28">
        <f>Data!P115/Data!P114</f>
        <v>0.99348119957671088</v>
      </c>
      <c r="F114" s="28"/>
    </row>
    <row r="115" spans="1:6">
      <c r="A115" s="1">
        <v>112</v>
      </c>
      <c r="B115" s="28">
        <f>Data!D116/Data!D115</f>
        <v>1.0003011126754022</v>
      </c>
      <c r="C115" s="28">
        <f>Data!H116/Data!H115</f>
        <v>1.0010415441697496</v>
      </c>
      <c r="D115" s="28">
        <f>Data!L116/Data!L115</f>
        <v>1.0090439382896119</v>
      </c>
      <c r="E115" s="28">
        <f>Data!P116/Data!P115</f>
        <v>0.99933080847015798</v>
      </c>
      <c r="F115" s="28"/>
    </row>
    <row r="116" spans="1:6">
      <c r="A116" s="1">
        <v>113</v>
      </c>
      <c r="B116" s="28">
        <f>Data!D117/Data!D116</f>
        <v>1.0026043209471305</v>
      </c>
      <c r="C116" s="28">
        <f>Data!H117/Data!H116</f>
        <v>1.0021247750737736</v>
      </c>
      <c r="D116" s="28">
        <f>Data!L117/Data!L116</f>
        <v>1.00616897744355</v>
      </c>
      <c r="E116" s="28">
        <f>Data!P117/Data!P116</f>
        <v>1.0042596660600998</v>
      </c>
      <c r="F116" s="28"/>
    </row>
    <row r="117" spans="1:6">
      <c r="A117" s="1">
        <v>114</v>
      </c>
      <c r="B117" s="28">
        <f>Data!D118/Data!D117</f>
        <v>1.0078557505962882</v>
      </c>
      <c r="C117" s="28">
        <f>Data!H118/Data!H117</f>
        <v>0.99174137267069229</v>
      </c>
      <c r="D117" s="28">
        <f>Data!L118/Data!L117</f>
        <v>0.99636583242088983</v>
      </c>
      <c r="E117" s="28">
        <f>Data!P118/Data!P117</f>
        <v>0.99866153143847014</v>
      </c>
      <c r="F117" s="28"/>
    </row>
    <row r="118" spans="1:6">
      <c r="A118" s="1">
        <v>115</v>
      </c>
      <c r="B118" s="28">
        <f>Data!D119/Data!D118</f>
        <v>1.0041190997402092</v>
      </c>
      <c r="C118" s="28">
        <f>Data!H119/Data!H118</f>
        <v>1.0195295813465661</v>
      </c>
      <c r="D118" s="28">
        <f>Data!L119/Data!L118</f>
        <v>1.0117215150999688</v>
      </c>
      <c r="E118" s="28">
        <f>Data!P119/Data!P118</f>
        <v>1.0115918224763711</v>
      </c>
      <c r="F118" s="28"/>
    </row>
    <row r="119" spans="1:6">
      <c r="A119" s="1">
        <v>116</v>
      </c>
      <c r="B119" s="28">
        <f>Data!D120/Data!D119</f>
        <v>0.99840693468668917</v>
      </c>
      <c r="C119" s="28">
        <f>Data!H120/Data!H119</f>
        <v>1.0034978752168648</v>
      </c>
      <c r="D119" s="28">
        <f>Data!L120/Data!L119</f>
        <v>0.9990152366311793</v>
      </c>
      <c r="E119" s="28">
        <f>Data!P120/Data!P119</f>
        <v>0.99628448873425191</v>
      </c>
      <c r="F119" s="28"/>
    </row>
    <row r="120" spans="1:6">
      <c r="A120" s="1">
        <v>117</v>
      </c>
      <c r="B120" s="28">
        <f>Data!D121/Data!D120</f>
        <v>1.0006519940348473</v>
      </c>
      <c r="C120" s="28">
        <f>Data!H121/Data!H120</f>
        <v>0.99688789235092168</v>
      </c>
      <c r="D120" s="28">
        <f>Data!L121/Data!L120</f>
        <v>0.99691987057767084</v>
      </c>
      <c r="E120" s="28">
        <f>Data!P121/Data!P120</f>
        <v>0.99545525197886331</v>
      </c>
      <c r="F120" s="28"/>
    </row>
    <row r="121" spans="1:6">
      <c r="A121" s="1">
        <v>118</v>
      </c>
      <c r="B121" s="28">
        <f>Data!D122/Data!D121</f>
        <v>1.000360929856402</v>
      </c>
      <c r="C121" s="28">
        <f>Data!H122/Data!H121</f>
        <v>1.0089024184557778</v>
      </c>
      <c r="D121" s="28">
        <f>Data!L122/Data!L121</f>
        <v>1.0013087842253112</v>
      </c>
      <c r="E121" s="28">
        <f>Data!P122/Data!P121</f>
        <v>1.0021617112684973</v>
      </c>
      <c r="F121" s="28"/>
    </row>
    <row r="122" spans="1:6">
      <c r="A122" s="1">
        <v>119</v>
      </c>
      <c r="B122" s="28">
        <f>Data!D123/Data!D122</f>
        <v>1.0000442117712263</v>
      </c>
      <c r="C122" s="28">
        <f>Data!H123/Data!H122</f>
        <v>1.0043694022120115</v>
      </c>
      <c r="D122" s="28">
        <f>Data!L123/Data!L122</f>
        <v>1.0095882916431136</v>
      </c>
      <c r="E122" s="28">
        <f>Data!P123/Data!P122</f>
        <v>0.99177319243951256</v>
      </c>
      <c r="F122" s="28"/>
    </row>
    <row r="123" spans="1:6">
      <c r="A123" s="1">
        <v>120</v>
      </c>
      <c r="B123" s="28">
        <f>Data!D124/Data!D123</f>
        <v>0.99769161600300615</v>
      </c>
      <c r="C123" s="28">
        <f>Data!H124/Data!H123</f>
        <v>0.99040552005683813</v>
      </c>
      <c r="D123" s="28">
        <f>Data!L124/Data!L123</f>
        <v>0.9949085147207456</v>
      </c>
      <c r="E123" s="28">
        <f>Data!P124/Data!P123</f>
        <v>0.99571807580666483</v>
      </c>
      <c r="F123" s="28"/>
    </row>
    <row r="124" spans="1:6">
      <c r="A124" s="1">
        <v>121</v>
      </c>
      <c r="B124" s="28">
        <f>Data!D125/Data!D124</f>
        <v>0.99550548639262271</v>
      </c>
      <c r="C124" s="28">
        <f>Data!H125/Data!H124</f>
        <v>1.0006511344541378</v>
      </c>
      <c r="D124" s="28">
        <f>Data!L125/Data!L124</f>
        <v>1.0016934321438744</v>
      </c>
      <c r="E124" s="28">
        <f>Data!P125/Data!P124</f>
        <v>1.0079258419993182</v>
      </c>
      <c r="F124" s="28"/>
    </row>
    <row r="125" spans="1:6">
      <c r="A125" s="1">
        <v>122</v>
      </c>
      <c r="B125" s="28">
        <f>Data!D126/Data!D125</f>
        <v>1.0058835545826468</v>
      </c>
      <c r="C125" s="28">
        <f>Data!H126/Data!H125</f>
        <v>0.99702094221424775</v>
      </c>
      <c r="D125" s="28">
        <f>Data!L126/Data!L125</f>
        <v>0.99958462246007473</v>
      </c>
      <c r="E125" s="28">
        <f>Data!P126/Data!P125</f>
        <v>1.0100105891641804</v>
      </c>
      <c r="F125" s="28"/>
    </row>
    <row r="126" spans="1:6">
      <c r="A126" s="1">
        <v>123</v>
      </c>
      <c r="B126" s="28">
        <f>Data!D127/Data!D126</f>
        <v>1.0068756247604673</v>
      </c>
      <c r="C126" s="28">
        <f>Data!H127/Data!H126</f>
        <v>1.0153919310927888</v>
      </c>
      <c r="D126" s="28">
        <f>Data!L127/Data!L126</f>
        <v>1.0161893184047497</v>
      </c>
      <c r="E126" s="28">
        <f>Data!P127/Data!P126</f>
        <v>1.0117823052697645</v>
      </c>
      <c r="F126" s="28"/>
    </row>
    <row r="127" spans="1:6">
      <c r="A127" s="1">
        <v>124</v>
      </c>
      <c r="B127" s="28">
        <f>Data!D128/Data!D127</f>
        <v>1.0018168462061268</v>
      </c>
      <c r="C127" s="28">
        <f>Data!H128/Data!H127</f>
        <v>0.99856299343204025</v>
      </c>
      <c r="D127" s="28">
        <f>Data!L128/Data!L127</f>
        <v>1.0004468462468981</v>
      </c>
      <c r="E127" s="28">
        <f>Data!P128/Data!P127</f>
        <v>1.0191138045078736</v>
      </c>
      <c r="F127" s="28"/>
    </row>
    <row r="128" spans="1:6">
      <c r="A128" s="1">
        <v>125</v>
      </c>
      <c r="B128" s="28">
        <f>Data!D129/Data!D128</f>
        <v>1.0002005482173535</v>
      </c>
      <c r="C128" s="28">
        <f>Data!H129/Data!H128</f>
        <v>0.99571030435596075</v>
      </c>
      <c r="D128" s="28">
        <f>Data!L129/Data!L128</f>
        <v>0.99728399047577831</v>
      </c>
      <c r="E128" s="28">
        <f>Data!P129/Data!P128</f>
        <v>1.000217368368018</v>
      </c>
      <c r="F128" s="28"/>
    </row>
    <row r="129" spans="1:6">
      <c r="A129" s="1">
        <v>126</v>
      </c>
      <c r="B129" s="28">
        <f>Data!D130/Data!D129</f>
        <v>1.0014936279965569</v>
      </c>
      <c r="C129" s="28">
        <f>Data!H130/Data!H129</f>
        <v>1.0025153592519589</v>
      </c>
      <c r="D129" s="28">
        <f>Data!L130/Data!L129</f>
        <v>1.0023432369465568</v>
      </c>
      <c r="E129" s="28">
        <f>Data!P130/Data!P129</f>
        <v>0.99686642970867978</v>
      </c>
      <c r="F129" s="28"/>
    </row>
    <row r="130" spans="1:6">
      <c r="A130" s="1">
        <v>127</v>
      </c>
      <c r="B130" s="28">
        <f>Data!D131/Data!D130</f>
        <v>0.99622809432345016</v>
      </c>
      <c r="C130" s="28">
        <f>Data!H131/Data!H130</f>
        <v>0.98896004909538981</v>
      </c>
      <c r="D130" s="28">
        <f>Data!L131/Data!L130</f>
        <v>0.99486160880440533</v>
      </c>
      <c r="E130" s="28">
        <f>Data!P131/Data!P130</f>
        <v>0.99129284722066491</v>
      </c>
      <c r="F130" s="28"/>
    </row>
    <row r="131" spans="1:6">
      <c r="A131" s="1">
        <v>128</v>
      </c>
      <c r="B131" s="28">
        <f>Data!D132/Data!D131</f>
        <v>0.99588724181432386</v>
      </c>
      <c r="C131" s="28">
        <f>Data!H132/Data!H131</f>
        <v>1.003846672267944</v>
      </c>
      <c r="D131" s="28">
        <f>Data!L132/Data!L131</f>
        <v>1.0006275583881818</v>
      </c>
      <c r="E131" s="28">
        <f>Data!P132/Data!P131</f>
        <v>1.0071722081222136</v>
      </c>
      <c r="F131" s="28"/>
    </row>
    <row r="132" spans="1:6">
      <c r="A132" s="1">
        <v>129</v>
      </c>
      <c r="B132" s="28">
        <f>Data!D133/Data!D132</f>
        <v>0.99696201014975538</v>
      </c>
      <c r="C132" s="28">
        <f>Data!H133/Data!H132</f>
        <v>1.0085207034622312</v>
      </c>
      <c r="D132" s="28">
        <f>Data!L133/Data!L132</f>
        <v>1.0059759900468908</v>
      </c>
      <c r="E132" s="28">
        <f>Data!P133/Data!P132</f>
        <v>1.0073836271237777</v>
      </c>
      <c r="F132" s="28"/>
    </row>
    <row r="133" spans="1:6">
      <c r="A133" s="1">
        <v>130</v>
      </c>
      <c r="B133" s="28">
        <f>Data!D134/Data!D133</f>
        <v>0.99879659821561295</v>
      </c>
      <c r="C133" s="28">
        <f>Data!H134/Data!H133</f>
        <v>1.0053399200287418</v>
      </c>
      <c r="D133" s="28">
        <f>Data!L134/Data!L133</f>
        <v>1.0084733841648721</v>
      </c>
      <c r="E133" s="28">
        <f>Data!P134/Data!P133</f>
        <v>1.0059670860140846</v>
      </c>
      <c r="F133" s="28"/>
    </row>
    <row r="134" spans="1:6">
      <c r="A134" s="1">
        <v>131</v>
      </c>
      <c r="B134" s="28">
        <f>Data!D135/Data!D134</f>
        <v>0.96706685897852007</v>
      </c>
      <c r="C134" s="28">
        <f>Data!H135/Data!H134</f>
        <v>0.97815054675638102</v>
      </c>
      <c r="D134" s="28">
        <f>Data!L135/Data!L134</f>
        <v>0.97517374845993798</v>
      </c>
      <c r="E134" s="28">
        <f>Data!P135/Data!P134</f>
        <v>1.0099258181328681</v>
      </c>
      <c r="F134" s="28"/>
    </row>
    <row r="135" spans="1:6">
      <c r="A135" s="1">
        <v>132</v>
      </c>
      <c r="B135" s="28">
        <f>Data!D136/Data!D135</f>
        <v>1.0042885535975061</v>
      </c>
      <c r="C135" s="28">
        <f>Data!H136/Data!H135</f>
        <v>0.97897223698594971</v>
      </c>
      <c r="D135" s="28">
        <f>Data!L136/Data!L135</f>
        <v>0.9846257540479737</v>
      </c>
      <c r="E135" s="28">
        <f>Data!P136/Data!P135</f>
        <v>0.9736662664290745</v>
      </c>
      <c r="F135" s="28"/>
    </row>
    <row r="136" spans="1:6">
      <c r="A136" s="1">
        <v>133</v>
      </c>
      <c r="B136" s="28">
        <f>Data!D137/Data!D136</f>
        <v>0.99720506690641098</v>
      </c>
      <c r="C136" s="28">
        <f>Data!H137/Data!H136</f>
        <v>0.98979357051092332</v>
      </c>
      <c r="D136" s="28">
        <f>Data!L137/Data!L136</f>
        <v>0.98585327972490888</v>
      </c>
      <c r="E136" s="28">
        <f>Data!P137/Data!P136</f>
        <v>0.99843967784610044</v>
      </c>
      <c r="F136" s="28"/>
    </row>
    <row r="137" spans="1:6">
      <c r="A137" s="1">
        <v>134</v>
      </c>
      <c r="B137" s="28">
        <f>Data!D138/Data!D137</f>
        <v>0.9901719259069145</v>
      </c>
      <c r="C137" s="28">
        <f>Data!H138/Data!H137</f>
        <v>0.99318736079977266</v>
      </c>
      <c r="D137" s="28">
        <f>Data!L138/Data!L137</f>
        <v>0.99434957815288405</v>
      </c>
      <c r="E137" s="28">
        <f>Data!P138/Data!P137</f>
        <v>0.99172915470019962</v>
      </c>
      <c r="F137" s="28"/>
    </row>
    <row r="138" spans="1:6">
      <c r="A138" s="1">
        <v>135</v>
      </c>
      <c r="B138" s="28">
        <f>Data!D139/Data!D138</f>
        <v>0.99474249015609906</v>
      </c>
      <c r="C138" s="28">
        <f>Data!H139/Data!H138</f>
        <v>0.98132556782281644</v>
      </c>
      <c r="D138" s="28">
        <f>Data!L139/Data!L138</f>
        <v>0.98735571840423542</v>
      </c>
      <c r="E138" s="28">
        <f>Data!P139/Data!P138</f>
        <v>0.97498014329439564</v>
      </c>
      <c r="F138" s="28"/>
    </row>
    <row r="139" spans="1:6">
      <c r="A139" s="1">
        <v>136</v>
      </c>
      <c r="B139" s="28">
        <f>Data!D140/Data!D139</f>
        <v>1.013043539597408</v>
      </c>
      <c r="C139" s="28">
        <f>Data!H140/Data!H139</f>
        <v>1.0129081176247998</v>
      </c>
      <c r="D139" s="28">
        <f>Data!L140/Data!L139</f>
        <v>1.010204287776675</v>
      </c>
      <c r="E139" s="28">
        <f>Data!P140/Data!P139</f>
        <v>1.0100631980690422</v>
      </c>
      <c r="F139" s="28"/>
    </row>
    <row r="140" spans="1:6">
      <c r="A140" s="1">
        <v>137</v>
      </c>
      <c r="B140" s="28">
        <f>Data!D141/Data!D140</f>
        <v>0.99875978796797737</v>
      </c>
      <c r="C140" s="28">
        <f>Data!H141/Data!H140</f>
        <v>1.0055366549949623</v>
      </c>
      <c r="D140" s="28">
        <f>Data!L141/Data!L140</f>
        <v>1.0063330420690408</v>
      </c>
      <c r="E140" s="28">
        <f>Data!P141/Data!P140</f>
        <v>0.99261083704953235</v>
      </c>
      <c r="F140" s="28"/>
    </row>
    <row r="141" spans="1:6">
      <c r="A141" s="1">
        <v>138</v>
      </c>
      <c r="B141" s="28">
        <f>Data!D142/Data!D141</f>
        <v>1.0055977264618678</v>
      </c>
      <c r="C141" s="28">
        <f>Data!H142/Data!H141</f>
        <v>1.0113554161081164</v>
      </c>
      <c r="D141" s="28">
        <f>Data!L142/Data!L141</f>
        <v>1.0112213505642025</v>
      </c>
      <c r="E141" s="28">
        <f>Data!P142/Data!P141</f>
        <v>1.012650733208283</v>
      </c>
      <c r="F141" s="28"/>
    </row>
    <row r="142" spans="1:6">
      <c r="A142" s="1">
        <v>139</v>
      </c>
      <c r="B142" s="28">
        <f>Data!D143/Data!D142</f>
        <v>1.0012739892502058</v>
      </c>
      <c r="C142" s="28">
        <f>Data!H143/Data!H142</f>
        <v>1.0037452409535079</v>
      </c>
      <c r="D142" s="28">
        <f>Data!L143/Data!L142</f>
        <v>1.0015379582625503</v>
      </c>
      <c r="E142" s="28">
        <f>Data!P143/Data!P142</f>
        <v>0.99785115373727995</v>
      </c>
      <c r="F142" s="28"/>
    </row>
    <row r="143" spans="1:6">
      <c r="A143" s="1">
        <v>140</v>
      </c>
      <c r="B143" s="28">
        <f>Data!D144/Data!D143</f>
        <v>1.0034456579821966</v>
      </c>
      <c r="C143" s="28">
        <f>Data!H144/Data!H143</f>
        <v>0.99664794790775535</v>
      </c>
      <c r="D143" s="28">
        <f>Data!L144/Data!L143</f>
        <v>0.99782268966686016</v>
      </c>
      <c r="E143" s="28">
        <f>Data!P144/Data!P143</f>
        <v>1.0121055910454768</v>
      </c>
      <c r="F143" s="28"/>
    </row>
    <row r="144" spans="1:6">
      <c r="A144" s="1">
        <v>141</v>
      </c>
      <c r="B144" s="28">
        <f>Data!D145/Data!D144</f>
        <v>0.98030136492561648</v>
      </c>
      <c r="C144" s="28">
        <f>Data!H145/Data!H144</f>
        <v>0.98997023452398047</v>
      </c>
      <c r="D144" s="28">
        <f>Data!L145/Data!L144</f>
        <v>0.98955744760455489</v>
      </c>
      <c r="E144" s="28">
        <f>Data!P145/Data!P144</f>
        <v>0.99835908288575403</v>
      </c>
      <c r="F144" s="28"/>
    </row>
    <row r="145" spans="1:6">
      <c r="A145" s="1">
        <v>142</v>
      </c>
      <c r="B145" s="28">
        <f>Data!D146/Data!D145</f>
        <v>1.0047565576566997</v>
      </c>
      <c r="C145" s="28">
        <f>Data!H146/Data!H145</f>
        <v>0.9747564218985113</v>
      </c>
      <c r="D145" s="28">
        <f>Data!L146/Data!L145</f>
        <v>0.97676892864697218</v>
      </c>
      <c r="E145" s="28">
        <f>Data!P146/Data!P145</f>
        <v>0.97612129398715408</v>
      </c>
      <c r="F145" s="28"/>
    </row>
    <row r="146" spans="1:6">
      <c r="A146" s="1">
        <v>143</v>
      </c>
      <c r="B146" s="28">
        <f>Data!D147/Data!D146</f>
        <v>1.0021659221652628</v>
      </c>
      <c r="C146" s="28">
        <f>Data!H147/Data!H146</f>
        <v>1.0235607314500281</v>
      </c>
      <c r="D146" s="28">
        <f>Data!L147/Data!L146</f>
        <v>1.0194314049445634</v>
      </c>
      <c r="E146" s="28">
        <f>Data!P147/Data!P146</f>
        <v>1.0029000526561318</v>
      </c>
      <c r="F146" s="28"/>
    </row>
    <row r="147" spans="1:6">
      <c r="A147" s="1">
        <v>144</v>
      </c>
      <c r="B147" s="28">
        <f>Data!D148/Data!D147</f>
        <v>0.99594808416010949</v>
      </c>
      <c r="C147" s="28">
        <f>Data!H148/Data!H147</f>
        <v>1.002621519960635</v>
      </c>
      <c r="D147" s="28">
        <f>Data!L148/Data!L147</f>
        <v>1.0032251892545692</v>
      </c>
      <c r="E147" s="28">
        <f>Data!P148/Data!P147</f>
        <v>0.99752861063369702</v>
      </c>
      <c r="F147" s="28"/>
    </row>
    <row r="148" spans="1:6">
      <c r="A148" s="1">
        <v>145</v>
      </c>
      <c r="B148" s="28">
        <f>Data!D149/Data!D148</f>
        <v>1.0095587184909511</v>
      </c>
      <c r="C148" s="28">
        <f>Data!H149/Data!H148</f>
        <v>1.0115143607934076</v>
      </c>
      <c r="D148" s="28">
        <f>Data!L149/Data!L148</f>
        <v>1.0134581423657716</v>
      </c>
      <c r="E148" s="28">
        <f>Data!P149/Data!P148</f>
        <v>1.0086800103532723</v>
      </c>
      <c r="F148" s="28"/>
    </row>
    <row r="149" spans="1:6">
      <c r="A149" s="1">
        <v>146</v>
      </c>
      <c r="B149" s="28">
        <f>Data!D150/Data!D149</f>
        <v>1.0050653638874645</v>
      </c>
      <c r="C149" s="28">
        <f>Data!H150/Data!H149</f>
        <v>1.0110860862422797</v>
      </c>
      <c r="D149" s="28">
        <f>Data!L150/Data!L149</f>
        <v>1.0074488420288727</v>
      </c>
      <c r="E149" s="28">
        <f>Data!P150/Data!P149</f>
        <v>1.011269150059638</v>
      </c>
      <c r="F149" s="28"/>
    </row>
    <row r="150" spans="1:6">
      <c r="A150" s="1">
        <v>147</v>
      </c>
      <c r="B150" s="28">
        <f>Data!D151/Data!D150</f>
        <v>1.0140819166510688</v>
      </c>
      <c r="C150" s="28">
        <f>Data!H151/Data!H150</f>
        <v>1.020583108854519</v>
      </c>
      <c r="D150" s="28">
        <f>Data!L151/Data!L150</f>
        <v>1.0224444960591448</v>
      </c>
      <c r="E150" s="28">
        <f>Data!P151/Data!P150</f>
        <v>1.0112096745286172</v>
      </c>
      <c r="F150" s="28"/>
    </row>
    <row r="151" spans="1:6">
      <c r="A151" s="1">
        <v>148</v>
      </c>
      <c r="B151" s="28">
        <f>Data!D152/Data!D151</f>
        <v>1.0015945571592968</v>
      </c>
      <c r="C151" s="28">
        <f>Data!H152/Data!H151</f>
        <v>1.0012960141427245</v>
      </c>
      <c r="D151" s="28">
        <f>Data!L152/Data!L151</f>
        <v>1.0022142090808466</v>
      </c>
      <c r="E151" s="28">
        <f>Data!P152/Data!P151</f>
        <v>1.0029292496461748</v>
      </c>
      <c r="F151" s="28"/>
    </row>
    <row r="152" spans="1:6">
      <c r="A152" s="1">
        <v>149</v>
      </c>
      <c r="B152" s="28">
        <f>Data!D153/Data!D152</f>
        <v>0.99904334665223404</v>
      </c>
      <c r="C152" s="28">
        <f>Data!H153/Data!H152</f>
        <v>0.99518662315847795</v>
      </c>
      <c r="D152" s="28">
        <f>Data!L153/Data!L152</f>
        <v>0.99200197346821073</v>
      </c>
      <c r="E152" s="28">
        <f>Data!P153/Data!P152</f>
        <v>1.0020253184325878</v>
      </c>
      <c r="F152" s="28"/>
    </row>
    <row r="153" spans="1:6">
      <c r="A153" s="1">
        <v>150</v>
      </c>
      <c r="B153" s="28">
        <f>Data!D154/Data!D153</f>
        <v>0.99424335575949141</v>
      </c>
      <c r="C153" s="28">
        <f>Data!H154/Data!H153</f>
        <v>0.99848547004584609</v>
      </c>
      <c r="D153" s="28">
        <f>Data!L154/Data!L153</f>
        <v>1.0029994609843875</v>
      </c>
      <c r="E153" s="28">
        <f>Data!P154/Data!P153</f>
        <v>0.99054073131662412</v>
      </c>
      <c r="F153" s="28"/>
    </row>
    <row r="154" spans="1:6">
      <c r="A154" s="1">
        <v>151</v>
      </c>
      <c r="B154" s="28">
        <f>Data!D155/Data!D154</f>
        <v>0.99218135576404198</v>
      </c>
      <c r="C154" s="28">
        <f>Data!H155/Data!H154</f>
        <v>0.99601419012648251</v>
      </c>
      <c r="D154" s="28">
        <f>Data!L155/Data!L154</f>
        <v>0.9953096313732599</v>
      </c>
      <c r="E154" s="28">
        <f>Data!P155/Data!P154</f>
        <v>1.0061891792425992</v>
      </c>
      <c r="F154" s="28"/>
    </row>
    <row r="155" spans="1:6">
      <c r="A155" s="1">
        <v>152</v>
      </c>
      <c r="B155" s="28">
        <f>Data!D156/Data!D155</f>
        <v>1.0039340311990868</v>
      </c>
      <c r="C155" s="28">
        <f>Data!H156/Data!H155</f>
        <v>1.0078627390698502</v>
      </c>
      <c r="D155" s="28">
        <f>Data!L156/Data!L155</f>
        <v>1.0116292206720225</v>
      </c>
      <c r="E155" s="28">
        <f>Data!P156/Data!P155</f>
        <v>0.98831350693735864</v>
      </c>
      <c r="F155" s="28"/>
    </row>
    <row r="156" spans="1:6">
      <c r="A156" s="1">
        <v>153</v>
      </c>
      <c r="B156" s="28">
        <f>Data!D157/Data!D156</f>
        <v>1.0004534871950603</v>
      </c>
      <c r="C156" s="28">
        <f>Data!H157/Data!H156</f>
        <v>0.99657460817734267</v>
      </c>
      <c r="D156" s="28">
        <f>Data!L157/Data!L156</f>
        <v>0.99886882328762272</v>
      </c>
      <c r="E156" s="28">
        <f>Data!P157/Data!P156</f>
        <v>1.0000162785365803</v>
      </c>
      <c r="F156" s="28"/>
    </row>
    <row r="157" spans="1:6">
      <c r="A157" s="1">
        <v>154</v>
      </c>
      <c r="B157" s="28">
        <f>Data!D158/Data!D157</f>
        <v>1.00226236103073</v>
      </c>
      <c r="C157" s="28">
        <f>Data!H158/Data!H157</f>
        <v>1.0095607091384429</v>
      </c>
      <c r="D157" s="28">
        <f>Data!L158/Data!L157</f>
        <v>1.0067138649655432</v>
      </c>
      <c r="E157" s="28">
        <f>Data!P158/Data!P157</f>
        <v>0.98701078322149971</v>
      </c>
      <c r="F157" s="28"/>
    </row>
    <row r="158" spans="1:6">
      <c r="A158" s="1">
        <v>155</v>
      </c>
      <c r="B158" s="28">
        <f>Data!D159/Data!D158</f>
        <v>1.0103882154365507</v>
      </c>
      <c r="C158" s="28">
        <f>Data!H159/Data!H158</f>
        <v>1.0084197851247649</v>
      </c>
      <c r="D158" s="28">
        <f>Data!L159/Data!L158</f>
        <v>1.0116173012838785</v>
      </c>
      <c r="E158" s="28">
        <f>Data!P159/Data!P158</f>
        <v>1.0044790252622184</v>
      </c>
      <c r="F158" s="28"/>
    </row>
    <row r="159" spans="1:6">
      <c r="A159" s="1">
        <v>156</v>
      </c>
      <c r="B159" s="28">
        <f>Data!D160/Data!D159</f>
        <v>1.0015282636862326</v>
      </c>
      <c r="C159" s="28">
        <f>Data!H160/Data!H159</f>
        <v>0.99912316620458863</v>
      </c>
      <c r="D159" s="28">
        <f>Data!L160/Data!L159</f>
        <v>1.0048788505367181</v>
      </c>
      <c r="E159" s="28">
        <f>Data!P160/Data!P159</f>
        <v>1.0187719392473491</v>
      </c>
      <c r="F159" s="28"/>
    </row>
    <row r="160" spans="1:6">
      <c r="A160" s="1">
        <v>157</v>
      </c>
      <c r="B160" s="28">
        <f>Data!D161/Data!D160</f>
        <v>1.0024564945870129</v>
      </c>
      <c r="C160" s="28">
        <f>Data!H161/Data!H160</f>
        <v>1.0023768772226869</v>
      </c>
      <c r="D160" s="28">
        <f>Data!L161/Data!L160</f>
        <v>1.0049829001655011</v>
      </c>
      <c r="E160" s="28">
        <f>Data!P161/Data!P160</f>
        <v>0.99758654490081222</v>
      </c>
      <c r="F160" s="28"/>
    </row>
    <row r="161" spans="1:6">
      <c r="A161" s="1">
        <v>158</v>
      </c>
      <c r="B161" s="28">
        <f>Data!D162/Data!D161</f>
        <v>1.0010365557053156</v>
      </c>
      <c r="C161" s="28">
        <f>Data!H162/Data!H161</f>
        <v>1.0035097424765429</v>
      </c>
      <c r="D161" s="28">
        <f>Data!L162/Data!L161</f>
        <v>1.0047401685432715</v>
      </c>
      <c r="E161" s="28">
        <f>Data!P162/Data!P161</f>
        <v>1.0054111207239669</v>
      </c>
      <c r="F161" s="28"/>
    </row>
    <row r="162" spans="1:6">
      <c r="A162" s="1">
        <v>159</v>
      </c>
      <c r="B162" s="28">
        <f>Data!D163/Data!D162</f>
        <v>0.99290352596857767</v>
      </c>
      <c r="C162" s="28">
        <f>Data!H163/Data!H162</f>
        <v>1.0025919920272948</v>
      </c>
      <c r="D162" s="28">
        <f>Data!L163/Data!L162</f>
        <v>0.99737733341856272</v>
      </c>
      <c r="E162" s="28">
        <f>Data!P163/Data!P162</f>
        <v>0.99820889372344934</v>
      </c>
      <c r="F162" s="28"/>
    </row>
    <row r="163" spans="1:6">
      <c r="A163" s="1">
        <v>160</v>
      </c>
      <c r="B163" s="28">
        <f>Data!D164/Data!D163</f>
        <v>1.0054739351297834</v>
      </c>
      <c r="C163" s="28">
        <f>Data!H164/Data!H163</f>
        <v>1.0006856006984266</v>
      </c>
      <c r="D163" s="28">
        <f>Data!L164/Data!L163</f>
        <v>1.0036632804500705</v>
      </c>
      <c r="E163" s="28">
        <f>Data!P164/Data!P163</f>
        <v>0.9958339140317406</v>
      </c>
      <c r="F163" s="28"/>
    </row>
    <row r="164" spans="1:6">
      <c r="A164" s="1">
        <v>161</v>
      </c>
      <c r="B164" s="28">
        <f>Data!D165/Data!D164</f>
        <v>1.0047136292954013</v>
      </c>
      <c r="C164" s="28">
        <f>Data!H165/Data!H164</f>
        <v>1.0089501082163865</v>
      </c>
      <c r="D164" s="28">
        <f>Data!L165/Data!L164</f>
        <v>1.0083882302533047</v>
      </c>
      <c r="E164" s="28">
        <f>Data!P165/Data!P164</f>
        <v>0.98703497316904421</v>
      </c>
      <c r="F164" s="28"/>
    </row>
    <row r="165" spans="1:6">
      <c r="A165" s="1">
        <v>162</v>
      </c>
      <c r="B165" s="28">
        <f>Data!D166/Data!D165</f>
        <v>1.0085893500939176</v>
      </c>
      <c r="C165" s="28">
        <f>Data!H166/Data!H165</f>
        <v>1.012037392896064</v>
      </c>
      <c r="D165" s="28">
        <f>Data!L166/Data!L165</f>
        <v>1.0151519427087763</v>
      </c>
      <c r="E165" s="28">
        <f>Data!P166/Data!P165</f>
        <v>1.0109025258142545</v>
      </c>
      <c r="F165" s="28"/>
    </row>
    <row r="166" spans="1:6">
      <c r="A166" s="1">
        <v>163</v>
      </c>
      <c r="B166" s="28">
        <f>Data!D167/Data!D166</f>
        <v>1.0041334983168848</v>
      </c>
      <c r="C166" s="28">
        <f>Data!H167/Data!H166</f>
        <v>1.0046922947205037</v>
      </c>
      <c r="D166" s="28">
        <f>Data!L167/Data!L166</f>
        <v>1.0008381981718284</v>
      </c>
      <c r="E166" s="28">
        <f>Data!P167/Data!P166</f>
        <v>0.99878072620031655</v>
      </c>
      <c r="F166" s="28"/>
    </row>
    <row r="167" spans="1:6">
      <c r="A167" s="1">
        <v>164</v>
      </c>
      <c r="B167" s="28">
        <f>Data!D168/Data!D167</f>
        <v>1.0024113288614143</v>
      </c>
      <c r="C167" s="28">
        <f>Data!H168/Data!H167</f>
        <v>0.99269982907739274</v>
      </c>
      <c r="D167" s="28">
        <f>Data!L168/Data!L167</f>
        <v>0.99729465335837497</v>
      </c>
      <c r="E167" s="28">
        <f>Data!P168/Data!P167</f>
        <v>1.0166752567041064</v>
      </c>
      <c r="F167" s="28"/>
    </row>
    <row r="168" spans="1:6">
      <c r="A168" s="1">
        <v>165</v>
      </c>
      <c r="B168" s="28">
        <f>Data!D169/Data!D168</f>
        <v>1.0003741065180445</v>
      </c>
      <c r="C168" s="28">
        <f>Data!H169/Data!H168</f>
        <v>0.99724120692037066</v>
      </c>
      <c r="D168" s="28">
        <f>Data!L169/Data!L168</f>
        <v>1.000582813348381</v>
      </c>
      <c r="E168" s="28">
        <f>Data!P169/Data!P168</f>
        <v>0.9831158596185724</v>
      </c>
      <c r="F168" s="28"/>
    </row>
    <row r="169" spans="1:6">
      <c r="A169" s="1">
        <v>166</v>
      </c>
      <c r="B169" s="28">
        <f>Data!D170/Data!D169</f>
        <v>1.0119723967356384</v>
      </c>
      <c r="C169" s="28">
        <f>Data!H170/Data!H169</f>
        <v>1.0076258842574923</v>
      </c>
      <c r="D169" s="28">
        <f>Data!L170/Data!L169</f>
        <v>1.0177391202656081</v>
      </c>
      <c r="E169" s="28">
        <f>Data!P170/Data!P169</f>
        <v>0.99940342130678061</v>
      </c>
      <c r="F169" s="28"/>
    </row>
    <row r="170" spans="1:6">
      <c r="A170" s="1">
        <v>167</v>
      </c>
      <c r="B170" s="28">
        <f>Data!D171/Data!D170</f>
        <v>0.99671500804661017</v>
      </c>
      <c r="C170" s="28">
        <f>Data!H171/Data!H170</f>
        <v>0.99731001286688925</v>
      </c>
      <c r="D170" s="28">
        <f>Data!L171/Data!L170</f>
        <v>0.99447389678914044</v>
      </c>
      <c r="E170" s="28">
        <f>Data!P171/Data!P170</f>
        <v>1.001505377189585</v>
      </c>
      <c r="F170" s="28"/>
    </row>
    <row r="171" spans="1:6">
      <c r="A171" s="1">
        <v>168</v>
      </c>
      <c r="B171" s="28">
        <f>Data!D172/Data!D171</f>
        <v>1.0026734987692927</v>
      </c>
      <c r="C171" s="28">
        <f>Data!H172/Data!H171</f>
        <v>0.99349285763994521</v>
      </c>
      <c r="D171" s="28">
        <f>Data!L172/Data!L171</f>
        <v>0.99877716030289299</v>
      </c>
      <c r="E171" s="28">
        <f>Data!P172/Data!P171</f>
        <v>1.0024956768368487</v>
      </c>
      <c r="F171" s="28"/>
    </row>
    <row r="172" spans="1:6">
      <c r="A172" s="1">
        <v>169</v>
      </c>
      <c r="B172" s="28">
        <f>Data!D173/Data!D172</f>
        <v>1.0104948764622963</v>
      </c>
      <c r="C172" s="28">
        <f>Data!H173/Data!H172</f>
        <v>1.0064945416722986</v>
      </c>
      <c r="D172" s="28">
        <f>Data!L173/Data!L172</f>
        <v>1.0131748081373091</v>
      </c>
      <c r="E172" s="28">
        <f>Data!P173/Data!P172</f>
        <v>0.98706186154124187</v>
      </c>
      <c r="F172" s="28"/>
    </row>
    <row r="173" spans="1:6">
      <c r="A173" s="1">
        <v>170</v>
      </c>
      <c r="B173" s="28">
        <f>Data!D174/Data!D173</f>
        <v>1.001192523390189</v>
      </c>
      <c r="C173" s="28">
        <f>Data!H174/Data!H173</f>
        <v>0.99427227273747254</v>
      </c>
      <c r="D173" s="28">
        <f>Data!L174/Data!L173</f>
        <v>0.99557040671003205</v>
      </c>
      <c r="E173" s="28">
        <f>Data!P174/Data!P173</f>
        <v>1.003490539138628</v>
      </c>
      <c r="F173" s="28"/>
    </row>
    <row r="174" spans="1:6">
      <c r="A174" s="1">
        <v>171</v>
      </c>
      <c r="B174" s="28">
        <f>Data!D175/Data!D174</f>
        <v>1.0011781313189119</v>
      </c>
      <c r="C174" s="28">
        <f>Data!H175/Data!H174</f>
        <v>0.99719390473638525</v>
      </c>
      <c r="D174" s="28">
        <f>Data!L175/Data!L174</f>
        <v>1.0015156699025329</v>
      </c>
      <c r="E174" s="28">
        <f>Data!P175/Data!P174</f>
        <v>0.99776488945174224</v>
      </c>
      <c r="F174" s="28"/>
    </row>
    <row r="175" spans="1:6">
      <c r="A175" s="1">
        <v>172</v>
      </c>
      <c r="B175" s="28">
        <f>Data!D176/Data!D175</f>
        <v>1.006930905864976</v>
      </c>
      <c r="C175" s="28">
        <f>Data!H176/Data!H175</f>
        <v>1.0042967688674764</v>
      </c>
      <c r="D175" s="28">
        <f>Data!L176/Data!L175</f>
        <v>1.0054771677016425</v>
      </c>
      <c r="E175" s="28">
        <f>Data!P176/Data!P175</f>
        <v>0.9942744917031171</v>
      </c>
      <c r="F175" s="28"/>
    </row>
    <row r="176" spans="1:6">
      <c r="A176" s="1">
        <v>173</v>
      </c>
      <c r="B176" s="28">
        <f>Data!D177/Data!D176</f>
        <v>1.0073562581555389</v>
      </c>
      <c r="C176" s="28">
        <f>Data!H177/Data!H176</f>
        <v>1.0101626956588787</v>
      </c>
      <c r="D176" s="28">
        <f>Data!L177/Data!L176</f>
        <v>1.0023231711385288</v>
      </c>
      <c r="E176" s="28">
        <f>Data!P177/Data!P176</f>
        <v>1.0170895858087385</v>
      </c>
      <c r="F176" s="28"/>
    </row>
    <row r="177" spans="1:6">
      <c r="A177" s="1">
        <v>174</v>
      </c>
      <c r="B177" s="28">
        <f>Data!D178/Data!D177</f>
        <v>1.0040423560774721</v>
      </c>
      <c r="C177" s="28">
        <f>Data!H178/Data!H177</f>
        <v>1.0032439547333474</v>
      </c>
      <c r="D177" s="28">
        <f>Data!L178/Data!L177</f>
        <v>1.0046470559709797</v>
      </c>
      <c r="E177" s="28">
        <f>Data!P178/Data!P177</f>
        <v>1.0065131409089476</v>
      </c>
      <c r="F177" s="28"/>
    </row>
    <row r="178" spans="1:6">
      <c r="A178" s="1">
        <v>175</v>
      </c>
      <c r="B178" s="28">
        <f>Data!D179/Data!D178</f>
        <v>0.9889439918221159</v>
      </c>
      <c r="C178" s="28">
        <f>Data!H179/Data!H178</f>
        <v>0.98907317885412016</v>
      </c>
      <c r="D178" s="28">
        <f>Data!L179/Data!L178</f>
        <v>0.99062345886077463</v>
      </c>
      <c r="E178" s="28">
        <f>Data!P179/Data!P178</f>
        <v>0.99339638356254767</v>
      </c>
      <c r="F178" s="28"/>
    </row>
    <row r="179" spans="1:6">
      <c r="A179" s="1">
        <v>176</v>
      </c>
      <c r="B179" s="28">
        <f>Data!D180/Data!D179</f>
        <v>1.0084062737180792</v>
      </c>
      <c r="C179" s="28">
        <f>Data!H180/Data!H179</f>
        <v>1.0062240924840617</v>
      </c>
      <c r="D179" s="28">
        <f>Data!L180/Data!L179</f>
        <v>1.0071147415273052</v>
      </c>
      <c r="E179" s="28">
        <f>Data!P180/Data!P179</f>
        <v>0.99238835382274193</v>
      </c>
      <c r="F179" s="28"/>
    </row>
    <row r="180" spans="1:6">
      <c r="A180" s="1">
        <v>177</v>
      </c>
      <c r="B180" s="28">
        <f>Data!D181/Data!D180</f>
        <v>1.0015428230961219</v>
      </c>
      <c r="C180" s="28">
        <f>Data!H181/Data!H180</f>
        <v>0.99743921181886042</v>
      </c>
      <c r="D180" s="28">
        <f>Data!L181/Data!L180</f>
        <v>0.99721240969982139</v>
      </c>
      <c r="E180" s="28">
        <f>Data!P181/Data!P180</f>
        <v>1.0049010898879498</v>
      </c>
      <c r="F180" s="28"/>
    </row>
    <row r="181" spans="1:6">
      <c r="A181" s="1">
        <v>178</v>
      </c>
      <c r="B181" s="28">
        <f>Data!D182/Data!D181</f>
        <v>1.0027766996983543</v>
      </c>
      <c r="C181" s="28">
        <f>Data!H182/Data!H181</f>
        <v>1.0037690840126441</v>
      </c>
      <c r="D181" s="28">
        <f>Data!L182/Data!L181</f>
        <v>1.0081040897478784</v>
      </c>
      <c r="E181" s="28">
        <f>Data!P182/Data!P181</f>
        <v>0.99140992944831641</v>
      </c>
      <c r="F181" s="28"/>
    </row>
    <row r="182" spans="1:6">
      <c r="A182" s="1">
        <v>179</v>
      </c>
      <c r="B182" s="28">
        <f>Data!D183/Data!D182</f>
        <v>1.0077474028380495</v>
      </c>
      <c r="C182" s="28">
        <f>Data!H183/Data!H182</f>
        <v>0.99801062029715171</v>
      </c>
      <c r="D182" s="28">
        <f>Data!L183/Data!L182</f>
        <v>0.99324984251523296</v>
      </c>
      <c r="E182" s="28">
        <f>Data!P183/Data!P182</f>
        <v>0.99743157670983718</v>
      </c>
      <c r="F182" s="28"/>
    </row>
    <row r="183" spans="1:6">
      <c r="A183" s="1">
        <v>180</v>
      </c>
      <c r="B183" s="28">
        <f>Data!D184/Data!D183</f>
        <v>0.99919851892822475</v>
      </c>
      <c r="C183" s="28">
        <f>Data!H184/Data!H183</f>
        <v>0.99917398937978452</v>
      </c>
      <c r="D183" s="28">
        <f>Data!L184/Data!L183</f>
        <v>0.99529496466000966</v>
      </c>
      <c r="E183" s="28">
        <f>Data!P184/Data!P183</f>
        <v>0.99349130933740892</v>
      </c>
      <c r="F183" s="28"/>
    </row>
    <row r="184" spans="1:6">
      <c r="A184" s="1">
        <v>181</v>
      </c>
      <c r="B184" s="28">
        <f>Data!D185/Data!D184</f>
        <v>1.0059220641224276</v>
      </c>
      <c r="C184" s="28">
        <f>Data!H185/Data!H184</f>
        <v>1.0089027819846399</v>
      </c>
      <c r="D184" s="28">
        <f>Data!L185/Data!L184</f>
        <v>1.0125745364931136</v>
      </c>
      <c r="E184" s="28">
        <f>Data!P185/Data!P184</f>
        <v>0.9948334691247589</v>
      </c>
      <c r="F184" s="28"/>
    </row>
    <row r="185" spans="1:6">
      <c r="A185" s="1">
        <v>182</v>
      </c>
      <c r="B185" s="28">
        <f>Data!D186/Data!D185</f>
        <v>0.99899310516776774</v>
      </c>
      <c r="C185" s="28">
        <f>Data!H186/Data!H185</f>
        <v>0.99685163417968925</v>
      </c>
      <c r="D185" s="28">
        <f>Data!L186/Data!L185</f>
        <v>0.99547252495684535</v>
      </c>
      <c r="E185" s="28">
        <f>Data!P186/Data!P185</f>
        <v>1.0058036435192081</v>
      </c>
      <c r="F185" s="28"/>
    </row>
    <row r="186" spans="1:6">
      <c r="A186" s="1">
        <v>183</v>
      </c>
      <c r="B186" s="28">
        <f>Data!D187/Data!D186</f>
        <v>0.99978365015417703</v>
      </c>
      <c r="C186" s="28">
        <f>Data!H187/Data!H186</f>
        <v>0.99817922779809887</v>
      </c>
      <c r="D186" s="28">
        <f>Data!L187/Data!L186</f>
        <v>1.0002380439330245</v>
      </c>
      <c r="E186" s="28">
        <f>Data!P187/Data!P186</f>
        <v>1.0085089155544207</v>
      </c>
      <c r="F186" s="28"/>
    </row>
    <row r="187" spans="1:6">
      <c r="A187" s="1">
        <v>184</v>
      </c>
      <c r="B187" s="28">
        <f>Data!D188/Data!D187</f>
        <v>0.99894386611471975</v>
      </c>
      <c r="C187" s="28">
        <f>Data!H188/Data!H187</f>
        <v>1.0087357133859018</v>
      </c>
      <c r="D187" s="28">
        <f>Data!L188/Data!L187</f>
        <v>1.0070387563038112</v>
      </c>
      <c r="E187" s="28">
        <f>Data!P188/Data!P187</f>
        <v>1.0012530585050607</v>
      </c>
      <c r="F187" s="28"/>
    </row>
    <row r="188" spans="1:6">
      <c r="A188" s="1">
        <v>185</v>
      </c>
      <c r="B188" s="28">
        <f>Data!D189/Data!D188</f>
        <v>0.9937511321082535</v>
      </c>
      <c r="C188" s="28">
        <f>Data!H189/Data!H188</f>
        <v>0.9905457663604087</v>
      </c>
      <c r="D188" s="28">
        <f>Data!L189/Data!L188</f>
        <v>0.98427036424837011</v>
      </c>
      <c r="E188" s="28">
        <f>Data!P189/Data!P188</f>
        <v>0.99962199524113715</v>
      </c>
      <c r="F188" s="28"/>
    </row>
    <row r="189" spans="1:6">
      <c r="A189" s="1">
        <v>186</v>
      </c>
      <c r="B189" s="28">
        <f>Data!D190/Data!D189</f>
        <v>1.0049214612164306</v>
      </c>
      <c r="C189" s="28">
        <f>Data!H190/Data!H189</f>
        <v>1.0004239696891015</v>
      </c>
      <c r="D189" s="28">
        <f>Data!L190/Data!L189</f>
        <v>1.0030001119048637</v>
      </c>
      <c r="E189" s="28">
        <f>Data!P190/Data!P189</f>
        <v>0.98610272481008188</v>
      </c>
      <c r="F189" s="28"/>
    </row>
    <row r="190" spans="1:6">
      <c r="A190" s="1">
        <v>187</v>
      </c>
      <c r="B190" s="28">
        <f>Data!D191/Data!D190</f>
        <v>1.0010409201556494</v>
      </c>
      <c r="C190" s="28">
        <f>Data!H191/Data!H190</f>
        <v>1.0038579483658792</v>
      </c>
      <c r="D190" s="28">
        <f>Data!L191/Data!L190</f>
        <v>1.0018404203993778</v>
      </c>
      <c r="E190" s="28">
        <f>Data!P191/Data!P190</f>
        <v>1.010115624603561</v>
      </c>
      <c r="F190" s="28"/>
    </row>
    <row r="191" spans="1:6">
      <c r="A191" s="1">
        <v>188</v>
      </c>
      <c r="B191" s="28">
        <f>Data!D192/Data!D191</f>
        <v>1.0082639738369126</v>
      </c>
      <c r="C191" s="28">
        <f>Data!H192/Data!H191</f>
        <v>0.99595513492923216</v>
      </c>
      <c r="D191" s="28">
        <f>Data!L192/Data!L191</f>
        <v>0.99376321317215199</v>
      </c>
      <c r="E191" s="28">
        <f>Data!P192/Data!P191</f>
        <v>0.99703165889340395</v>
      </c>
      <c r="F191" s="28"/>
    </row>
    <row r="192" spans="1:6">
      <c r="A192" s="1">
        <v>189</v>
      </c>
      <c r="B192" s="28">
        <f>Data!D193/Data!D192</f>
        <v>0.99960097058038233</v>
      </c>
      <c r="C192" s="28">
        <f>Data!H193/Data!H192</f>
        <v>1.0045991677305994</v>
      </c>
      <c r="D192" s="28">
        <f>Data!L193/Data!L192</f>
        <v>1.0121394512484139</v>
      </c>
      <c r="E192" s="28">
        <f>Data!P193/Data!P192</f>
        <v>1.0139258905968931</v>
      </c>
      <c r="F192" s="28"/>
    </row>
    <row r="193" spans="1:6">
      <c r="A193" s="1">
        <v>190</v>
      </c>
      <c r="B193" s="28">
        <f>Data!D194/Data!D193</f>
        <v>1.0029696998159623</v>
      </c>
      <c r="C193" s="28">
        <f>Data!H194/Data!H193</f>
        <v>1.0087594936436726</v>
      </c>
      <c r="D193" s="28">
        <f>Data!L194/Data!L193</f>
        <v>1.0077974528463158</v>
      </c>
      <c r="E193" s="28">
        <f>Data!P194/Data!P193</f>
        <v>1.0028392149118226</v>
      </c>
      <c r="F193" s="28"/>
    </row>
    <row r="194" spans="1:6">
      <c r="A194" s="1">
        <v>191</v>
      </c>
      <c r="B194" s="28">
        <f>Data!D195/Data!D194</f>
        <v>1.0006006682708875</v>
      </c>
      <c r="C194" s="28">
        <f>Data!H195/Data!H194</f>
        <v>1.0042659360068353</v>
      </c>
      <c r="D194" s="28">
        <f>Data!L195/Data!L194</f>
        <v>0.99795675230783498</v>
      </c>
      <c r="E194" s="28">
        <f>Data!P195/Data!P194</f>
        <v>1.0031112839642193</v>
      </c>
      <c r="F194" s="28"/>
    </row>
    <row r="195" spans="1:6">
      <c r="A195" s="1">
        <v>192</v>
      </c>
      <c r="B195" s="28">
        <f>Data!D196/Data!D195</f>
        <v>0.99408759081390308</v>
      </c>
      <c r="C195" s="28">
        <f>Data!H196/Data!H195</f>
        <v>0.99615293832681628</v>
      </c>
      <c r="D195" s="28">
        <f>Data!L196/Data!L195</f>
        <v>0.99510131297518378</v>
      </c>
      <c r="E195" s="28">
        <f>Data!P196/Data!P195</f>
        <v>1.005298422945043</v>
      </c>
      <c r="F195" s="28"/>
    </row>
    <row r="196" spans="1:6">
      <c r="A196" s="1">
        <v>193</v>
      </c>
      <c r="B196" s="28">
        <f>Data!D197/Data!D196</f>
        <v>0.99045343077762726</v>
      </c>
      <c r="C196" s="28">
        <f>Data!H197/Data!H196</f>
        <v>0.98280853292001702</v>
      </c>
      <c r="D196" s="28">
        <f>Data!L197/Data!L196</f>
        <v>0.98131525994413349</v>
      </c>
      <c r="E196" s="28">
        <f>Data!P197/Data!P196</f>
        <v>1.0042396705016903</v>
      </c>
      <c r="F196" s="28"/>
    </row>
    <row r="197" spans="1:6">
      <c r="A197" s="1">
        <v>194</v>
      </c>
      <c r="B197" s="28">
        <f>Data!D198/Data!D197</f>
        <v>0.98522613431043526</v>
      </c>
      <c r="C197" s="28">
        <f>Data!H198/Data!H197</f>
        <v>0.99174364019560934</v>
      </c>
      <c r="D197" s="28">
        <f>Data!L198/Data!L197</f>
        <v>0.98299523292017998</v>
      </c>
      <c r="E197" s="28">
        <f>Data!P198/Data!P197</f>
        <v>0.99739428816583575</v>
      </c>
      <c r="F197" s="28"/>
    </row>
    <row r="198" spans="1:6">
      <c r="A198" s="1">
        <v>195</v>
      </c>
      <c r="B198" s="28">
        <f>Data!D199/Data!D198</f>
        <v>1.0118838628659812</v>
      </c>
      <c r="C198" s="28">
        <f>Data!H199/Data!H198</f>
        <v>0.99338584267393715</v>
      </c>
      <c r="D198" s="28">
        <f>Data!L199/Data!L198</f>
        <v>0.99117278454500679</v>
      </c>
      <c r="E198" s="28">
        <f>Data!P199/Data!P198</f>
        <v>0.98391556868526819</v>
      </c>
      <c r="F198" s="28"/>
    </row>
    <row r="199" spans="1:6">
      <c r="A199" s="1">
        <v>196</v>
      </c>
      <c r="B199" s="28">
        <f>Data!D200/Data!D199</f>
        <v>1.0000424600298412</v>
      </c>
      <c r="C199" s="28">
        <f>Data!H200/Data!H199</f>
        <v>1.0094385331950573</v>
      </c>
      <c r="D199" s="28">
        <f>Data!L200/Data!L199</f>
        <v>1.0087112375367484</v>
      </c>
      <c r="E199" s="28">
        <f>Data!P200/Data!P199</f>
        <v>1.0017145733886279</v>
      </c>
      <c r="F199" s="28"/>
    </row>
    <row r="200" spans="1:6">
      <c r="A200" s="1">
        <v>197</v>
      </c>
      <c r="B200" s="28">
        <f>Data!D201/Data!D200</f>
        <v>0.9903202691106715</v>
      </c>
      <c r="C200" s="28">
        <f>Data!H201/Data!H200</f>
        <v>0.99600787517494738</v>
      </c>
      <c r="D200" s="28">
        <f>Data!L201/Data!L200</f>
        <v>0.99069351460126065</v>
      </c>
      <c r="E200" s="28">
        <f>Data!P201/Data!P200</f>
        <v>0.99562947473100738</v>
      </c>
      <c r="F200" s="28"/>
    </row>
    <row r="201" spans="1:6">
      <c r="A201" s="1">
        <v>198</v>
      </c>
      <c r="B201" s="28">
        <f>Data!D202/Data!D201</f>
        <v>1.0140910010597961</v>
      </c>
      <c r="C201" s="28">
        <f>Data!H202/Data!H201</f>
        <v>1.0056550689184298</v>
      </c>
      <c r="D201" s="28">
        <f>Data!L202/Data!L201</f>
        <v>1.0053190639556706</v>
      </c>
      <c r="E201" s="28">
        <f>Data!P202/Data!P201</f>
        <v>0.99376347666869214</v>
      </c>
      <c r="F201" s="28"/>
    </row>
    <row r="202" spans="1:6">
      <c r="A202" s="1">
        <v>199</v>
      </c>
      <c r="B202" s="28">
        <f>Data!D203/Data!D202</f>
        <v>1.0052943292526895</v>
      </c>
      <c r="C202" s="28">
        <f>Data!H203/Data!H202</f>
        <v>1.0120189195288993</v>
      </c>
      <c r="D202" s="28">
        <f>Data!L203/Data!L202</f>
        <v>1.0197135591199979</v>
      </c>
      <c r="E202" s="28">
        <f>Data!P203/Data!P202</f>
        <v>1.0013466215632885</v>
      </c>
      <c r="F202" s="28"/>
    </row>
    <row r="203" spans="1:6">
      <c r="A203" s="1">
        <v>200</v>
      </c>
      <c r="B203" s="28">
        <f>Data!D204/Data!D203</f>
        <v>1.0063266716984918</v>
      </c>
      <c r="C203" s="28">
        <f>Data!H204/Data!H203</f>
        <v>1.0162617141957662</v>
      </c>
      <c r="D203" s="28">
        <f>Data!L204/Data!L203</f>
        <v>1.0135126125464042</v>
      </c>
      <c r="E203" s="28">
        <f>Data!P204/Data!P203</f>
        <v>1.0023485356719166</v>
      </c>
      <c r="F203" s="28"/>
    </row>
    <row r="204" spans="1:6">
      <c r="A204" s="1">
        <v>201</v>
      </c>
      <c r="B204" s="28">
        <f>Data!D205/Data!D204</f>
        <v>0.99805711068163894</v>
      </c>
      <c r="C204" s="28">
        <f>Data!H205/Data!H204</f>
        <v>0.99767164291623867</v>
      </c>
      <c r="D204" s="28">
        <f>Data!L205/Data!L204</f>
        <v>0.99930097070217461</v>
      </c>
      <c r="E204" s="28">
        <f>Data!P205/Data!P204</f>
        <v>1.0087628942224791</v>
      </c>
      <c r="F204" s="28"/>
    </row>
    <row r="205" spans="1:6">
      <c r="A205" s="1">
        <v>202</v>
      </c>
      <c r="B205" s="28">
        <f>Data!D206/Data!D205</f>
        <v>1.0016484267221433</v>
      </c>
      <c r="C205" s="28">
        <f>Data!H206/Data!H205</f>
        <v>0.9953043406302956</v>
      </c>
      <c r="D205" s="28">
        <f>Data!L206/Data!L205</f>
        <v>0.99839314051891859</v>
      </c>
      <c r="E205" s="28">
        <f>Data!P206/Data!P205</f>
        <v>1.0030475024551397</v>
      </c>
      <c r="F205" s="28"/>
    </row>
    <row r="206" spans="1:6">
      <c r="A206" s="1">
        <v>203</v>
      </c>
      <c r="B206" s="28">
        <f>Data!D207/Data!D206</f>
        <v>0.98929259238072609</v>
      </c>
      <c r="C206" s="28">
        <f>Data!H207/Data!H206</f>
        <v>1.0026821779912622</v>
      </c>
      <c r="D206" s="28">
        <f>Data!L207/Data!L206</f>
        <v>1.0043688195497802</v>
      </c>
      <c r="E206" s="28">
        <f>Data!P207/Data!P206</f>
        <v>1.0004571387923431</v>
      </c>
      <c r="F206" s="28"/>
    </row>
    <row r="207" spans="1:6">
      <c r="A207" s="1">
        <v>204</v>
      </c>
      <c r="B207" s="28">
        <f>Data!D208/Data!D207</f>
        <v>1.0041825371290982</v>
      </c>
      <c r="C207" s="28">
        <f>Data!H208/Data!H207</f>
        <v>0.99178501498737481</v>
      </c>
      <c r="D207" s="28">
        <f>Data!L208/Data!L207</f>
        <v>0.9881201227607026</v>
      </c>
      <c r="E207" s="28">
        <f>Data!P208/Data!P207</f>
        <v>1.0014905249603494</v>
      </c>
      <c r="F207" s="28"/>
    </row>
    <row r="208" spans="1:6">
      <c r="A208" s="1">
        <v>205</v>
      </c>
      <c r="B208" s="28">
        <f>Data!D209/Data!D208</f>
        <v>0.98629985294378197</v>
      </c>
      <c r="C208" s="28">
        <f>Data!H209/Data!H208</f>
        <v>0.99731306833615752</v>
      </c>
      <c r="D208" s="28">
        <f>Data!L209/Data!L208</f>
        <v>1.0010615709812916</v>
      </c>
      <c r="E208" s="28">
        <f>Data!P209/Data!P208</f>
        <v>0.99371185073339729</v>
      </c>
      <c r="F208" s="28"/>
    </row>
    <row r="209" spans="1:6">
      <c r="A209" s="1">
        <v>206</v>
      </c>
      <c r="B209" s="28">
        <f>Data!D210/Data!D209</f>
        <v>0.99938549100092355</v>
      </c>
      <c r="C209" s="28">
        <f>Data!H210/Data!H209</f>
        <v>1.0035997359537101</v>
      </c>
      <c r="D209" s="28">
        <f>Data!L210/Data!L209</f>
        <v>0.99849023752185384</v>
      </c>
      <c r="E209" s="28">
        <f>Data!P210/Data!P209</f>
        <v>0.99725161506305349</v>
      </c>
      <c r="F209" s="28"/>
    </row>
    <row r="210" spans="1:6">
      <c r="A210" s="1">
        <v>207</v>
      </c>
      <c r="B210" s="28">
        <f>Data!D211/Data!D210</f>
        <v>0.9989222628734914</v>
      </c>
      <c r="C210" s="28">
        <f>Data!H211/Data!H210</f>
        <v>0.99697933606309908</v>
      </c>
      <c r="D210" s="28">
        <f>Data!L211/Data!L210</f>
        <v>0.99242316191318714</v>
      </c>
      <c r="E210" s="28">
        <f>Data!P211/Data!P210</f>
        <v>1.00409296966893</v>
      </c>
      <c r="F210" s="28"/>
    </row>
    <row r="211" spans="1:6">
      <c r="A211" s="1">
        <v>208</v>
      </c>
      <c r="B211" s="28">
        <f>Data!D212/Data!D211</f>
        <v>1.0067530586324738</v>
      </c>
      <c r="C211" s="28">
        <f>Data!H212/Data!H211</f>
        <v>0.99387306167914891</v>
      </c>
      <c r="D211" s="28">
        <f>Data!L212/Data!L211</f>
        <v>0.99575747498714273</v>
      </c>
      <c r="E211" s="28">
        <f>Data!P212/Data!P211</f>
        <v>0.99291859967182616</v>
      </c>
      <c r="F211" s="28"/>
    </row>
    <row r="212" spans="1:6">
      <c r="A212" s="1">
        <v>209</v>
      </c>
      <c r="B212" s="28">
        <f>Data!D213/Data!D212</f>
        <v>0.9995941235041218</v>
      </c>
      <c r="C212" s="28">
        <f>Data!H213/Data!H212</f>
        <v>1.0096187434425383</v>
      </c>
      <c r="D212" s="28">
        <f>Data!L213/Data!L212</f>
        <v>1.0133290523511693</v>
      </c>
      <c r="E212" s="28">
        <f>Data!P213/Data!P212</f>
        <v>1.0006462486775483</v>
      </c>
      <c r="F212" s="28"/>
    </row>
    <row r="213" spans="1:6">
      <c r="A213" s="1">
        <v>210</v>
      </c>
      <c r="B213" s="28">
        <f>Data!D214/Data!D213</f>
        <v>0.99898228914908649</v>
      </c>
      <c r="C213" s="28">
        <f>Data!H214/Data!H213</f>
        <v>1.0074777760378342</v>
      </c>
      <c r="D213" s="28">
        <f>Data!L214/Data!L213</f>
        <v>1.0110898352767788</v>
      </c>
      <c r="E213" s="28">
        <f>Data!P214/Data!P213</f>
        <v>1.0070703258960543</v>
      </c>
      <c r="F213" s="28"/>
    </row>
    <row r="214" spans="1:6">
      <c r="A214" s="1">
        <v>211</v>
      </c>
      <c r="B214" s="28">
        <f>Data!D215/Data!D214</f>
        <v>1.0094573490784287</v>
      </c>
      <c r="C214" s="28">
        <f>Data!H215/Data!H214</f>
        <v>1.0009610433676204</v>
      </c>
      <c r="D214" s="28">
        <f>Data!L215/Data!L214</f>
        <v>1.0046042372858361</v>
      </c>
      <c r="E214" s="28">
        <f>Data!P215/Data!P214</f>
        <v>1.0102531767284957</v>
      </c>
      <c r="F214" s="28"/>
    </row>
    <row r="215" spans="1:6">
      <c r="A215" s="1">
        <v>212</v>
      </c>
      <c r="B215" s="28">
        <f>Data!D216/Data!D215</f>
        <v>1.0030933631218217</v>
      </c>
      <c r="C215" s="28">
        <f>Data!H216/Data!H215</f>
        <v>1.0089161356705758</v>
      </c>
      <c r="D215" s="28">
        <f>Data!L216/Data!L215</f>
        <v>1.0058824937621877</v>
      </c>
      <c r="E215" s="28">
        <f>Data!P216/Data!P215</f>
        <v>1.0000348629220159</v>
      </c>
      <c r="F215" s="28"/>
    </row>
    <row r="216" spans="1:6">
      <c r="A216" s="1">
        <v>213</v>
      </c>
      <c r="B216" s="28">
        <f>Data!D217/Data!D216</f>
        <v>0.99915594411259978</v>
      </c>
      <c r="C216" s="28">
        <f>Data!H217/Data!H216</f>
        <v>0.99628426038213436</v>
      </c>
      <c r="D216" s="28">
        <f>Data!L217/Data!L216</f>
        <v>0.99735106256326556</v>
      </c>
      <c r="E216" s="28">
        <f>Data!P217/Data!P216</f>
        <v>0.99993851094539632</v>
      </c>
      <c r="F216" s="28"/>
    </row>
    <row r="217" spans="1:6">
      <c r="A217" s="1">
        <v>214</v>
      </c>
      <c r="B217" s="28">
        <f>Data!D218/Data!D217</f>
        <v>1.0033790756783214</v>
      </c>
      <c r="C217" s="28">
        <f>Data!H218/Data!H217</f>
        <v>1.0096281820367223</v>
      </c>
      <c r="D217" s="28">
        <f>Data!L218/Data!L217</f>
        <v>1.0094565094080981</v>
      </c>
      <c r="E217" s="28">
        <f>Data!P218/Data!P217</f>
        <v>0.99250915962633379</v>
      </c>
      <c r="F217" s="28"/>
    </row>
    <row r="218" spans="1:6">
      <c r="A218" s="1">
        <v>215</v>
      </c>
      <c r="B218" s="28">
        <f>Data!D219/Data!D218</f>
        <v>1.0028130252841676</v>
      </c>
      <c r="C218" s="28">
        <f>Data!H219/Data!H218</f>
        <v>1.0043749746539723</v>
      </c>
      <c r="D218" s="28">
        <f>Data!L219/Data!L218</f>
        <v>1.0000501666543653</v>
      </c>
      <c r="E218" s="28">
        <f>Data!P219/Data!P218</f>
        <v>1.0057741884415039</v>
      </c>
      <c r="F218" s="28"/>
    </row>
    <row r="219" spans="1:6">
      <c r="A219" s="1">
        <v>216</v>
      </c>
      <c r="B219" s="28">
        <f>Data!D220/Data!D219</f>
        <v>0.98913770506455334</v>
      </c>
      <c r="C219" s="28">
        <f>Data!H220/Data!H219</f>
        <v>0.99207893568158856</v>
      </c>
      <c r="D219" s="28">
        <f>Data!L220/Data!L219</f>
        <v>0.99263250642083312</v>
      </c>
      <c r="E219" s="28">
        <f>Data!P220/Data!P219</f>
        <v>1.0095604216446583</v>
      </c>
      <c r="F219" s="28"/>
    </row>
    <row r="220" spans="1:6">
      <c r="A220" s="1">
        <v>217</v>
      </c>
      <c r="B220" s="28">
        <f>Data!D221/Data!D220</f>
        <v>1.005641511809624</v>
      </c>
      <c r="C220" s="28">
        <f>Data!H221/Data!H220</f>
        <v>1.0027931135749344</v>
      </c>
      <c r="D220" s="28">
        <f>Data!L221/Data!L220</f>
        <v>1.0011083344221028</v>
      </c>
      <c r="E220" s="28">
        <f>Data!P221/Data!P220</f>
        <v>0.99081744538202077</v>
      </c>
      <c r="F220" s="28"/>
    </row>
    <row r="221" spans="1:6">
      <c r="A221" s="1">
        <v>218</v>
      </c>
      <c r="B221" s="28">
        <f>Data!D222/Data!D221</f>
        <v>1.0209060773155141</v>
      </c>
      <c r="C221" s="28">
        <f>Data!H222/Data!H221</f>
        <v>1.009798962650486</v>
      </c>
      <c r="D221" s="28">
        <f>Data!L222/Data!L221</f>
        <v>1.0165701186059986</v>
      </c>
      <c r="E221" s="28">
        <f>Data!P222/Data!P221</f>
        <v>0.99133375360892073</v>
      </c>
      <c r="F221" s="28"/>
    </row>
    <row r="222" spans="1:6">
      <c r="A222" s="1">
        <v>219</v>
      </c>
      <c r="B222" s="28">
        <f>Data!D223/Data!D222</f>
        <v>1.0032838613939241</v>
      </c>
      <c r="C222" s="28">
        <f>Data!H223/Data!H222</f>
        <v>1.0046656163187155</v>
      </c>
      <c r="D222" s="28">
        <f>Data!L223/Data!L222</f>
        <v>1.0027191958823458</v>
      </c>
      <c r="E222" s="28">
        <f>Data!P223/Data!P222</f>
        <v>1.0159938332000173</v>
      </c>
      <c r="F222" s="28"/>
    </row>
    <row r="223" spans="1:6">
      <c r="A223" s="1">
        <v>220</v>
      </c>
      <c r="B223" s="28">
        <f>Data!D224/Data!D223</f>
        <v>1.0046234877491955</v>
      </c>
      <c r="C223" s="28">
        <f>Data!H224/Data!H223</f>
        <v>0.99727750015626959</v>
      </c>
      <c r="D223" s="28">
        <f>Data!L224/Data!L223</f>
        <v>0.99775984784301919</v>
      </c>
      <c r="E223" s="28">
        <f>Data!P224/Data!P223</f>
        <v>0.99897477990889327</v>
      </c>
      <c r="F223" s="28"/>
    </row>
    <row r="224" spans="1:6">
      <c r="A224" s="1">
        <v>221</v>
      </c>
      <c r="B224" s="28">
        <f>Data!D225/Data!D224</f>
        <v>0.99618295751008301</v>
      </c>
      <c r="C224" s="28">
        <f>Data!H225/Data!H224</f>
        <v>0.98985007329890895</v>
      </c>
      <c r="D224" s="28">
        <f>Data!L225/Data!L224</f>
        <v>0.98470217081518174</v>
      </c>
      <c r="E224" s="28">
        <f>Data!P225/Data!P224</f>
        <v>0.99209437802497646</v>
      </c>
      <c r="F224" s="28"/>
    </row>
    <row r="225" spans="1:6">
      <c r="A225" s="1">
        <v>222</v>
      </c>
      <c r="B225" s="28">
        <f>Data!D226/Data!D225</f>
        <v>1.0059052091431233</v>
      </c>
      <c r="C225" s="28">
        <f>Data!H226/Data!H225</f>
        <v>1.0099980213552855</v>
      </c>
      <c r="D225" s="28">
        <f>Data!L226/Data!L225</f>
        <v>1.0127148349423407</v>
      </c>
      <c r="E225" s="28">
        <f>Data!P226/Data!P225</f>
        <v>1.0041221445647746</v>
      </c>
      <c r="F225" s="28"/>
    </row>
    <row r="226" spans="1:6">
      <c r="A226" s="1">
        <v>223</v>
      </c>
      <c r="B226" s="28">
        <f>Data!D227/Data!D226</f>
        <v>0.98933388379340315</v>
      </c>
      <c r="C226" s="28">
        <f>Data!H227/Data!H226</f>
        <v>0.99428119360188072</v>
      </c>
      <c r="D226" s="28">
        <f>Data!L227/Data!L226</f>
        <v>0.98295360138083088</v>
      </c>
      <c r="E226" s="28">
        <f>Data!P227/Data!P226</f>
        <v>1.0089814188047324</v>
      </c>
      <c r="F226" s="28"/>
    </row>
    <row r="227" spans="1:6">
      <c r="A227" s="1">
        <v>224</v>
      </c>
      <c r="B227" s="28">
        <f>Data!D228/Data!D227</f>
        <v>1.0066666281618473</v>
      </c>
      <c r="C227" s="28">
        <f>Data!H228/Data!H227</f>
        <v>1.0073232503371028</v>
      </c>
      <c r="D227" s="28">
        <f>Data!L228/Data!L227</f>
        <v>1.0074745269822172</v>
      </c>
      <c r="E227" s="28">
        <f>Data!P228/Data!P227</f>
        <v>0.98807712406641379</v>
      </c>
      <c r="F227" s="28"/>
    </row>
    <row r="228" spans="1:6">
      <c r="A228" s="1">
        <v>225</v>
      </c>
      <c r="B228" s="28">
        <f>Data!D229/Data!D228</f>
        <v>0.98375793026388081</v>
      </c>
      <c r="C228" s="28">
        <f>Data!H229/Data!H228</f>
        <v>0.98259776824718881</v>
      </c>
      <c r="D228" s="28">
        <f>Data!L229/Data!L228</f>
        <v>0.98362116406245181</v>
      </c>
      <c r="E228" s="28">
        <f>Data!P229/Data!P228</f>
        <v>1.0078678637738112</v>
      </c>
      <c r="F228" s="28"/>
    </row>
    <row r="229" spans="1:6">
      <c r="A229" s="1">
        <v>226</v>
      </c>
      <c r="B229" s="28">
        <f>Data!D230/Data!D229</f>
        <v>1.0050186083641042</v>
      </c>
      <c r="C229" s="28">
        <f>Data!H230/Data!H229</f>
        <v>0.98748243243056932</v>
      </c>
      <c r="D229" s="28">
        <f>Data!L230/Data!L229</f>
        <v>0.97942339066581308</v>
      </c>
      <c r="E229" s="28">
        <f>Data!P230/Data!P229</f>
        <v>0.99540493018757426</v>
      </c>
      <c r="F229" s="28"/>
    </row>
    <row r="230" spans="1:6">
      <c r="A230" s="1">
        <v>227</v>
      </c>
      <c r="B230" s="28">
        <f>Data!D231/Data!D230</f>
        <v>0.97735204148619692</v>
      </c>
      <c r="C230" s="28">
        <f>Data!H231/Data!H230</f>
        <v>0.96706763857786138</v>
      </c>
      <c r="D230" s="28">
        <f>Data!L231/Data!L230</f>
        <v>0.97330333306485273</v>
      </c>
      <c r="E230" s="28">
        <f>Data!P231/Data!P230</f>
        <v>0.99905581313883851</v>
      </c>
      <c r="F230" s="28"/>
    </row>
    <row r="231" spans="1:6">
      <c r="A231" s="1">
        <v>228</v>
      </c>
      <c r="B231" s="28">
        <f>Data!D232/Data!D231</f>
        <v>0.98455494720404468</v>
      </c>
      <c r="C231" s="28">
        <f>Data!H232/Data!H231</f>
        <v>0.98656469373048483</v>
      </c>
      <c r="D231" s="28">
        <f>Data!L232/Data!L231</f>
        <v>0.98990416379484891</v>
      </c>
      <c r="E231" s="28">
        <f>Data!P232/Data!P231</f>
        <v>0.980562643972685</v>
      </c>
      <c r="F231" s="28"/>
    </row>
    <row r="232" spans="1:6">
      <c r="A232" s="1">
        <v>229</v>
      </c>
      <c r="B232" s="28">
        <f>Data!D233/Data!D232</f>
        <v>1.0069986212324178</v>
      </c>
      <c r="C232" s="28">
        <f>Data!H233/Data!H232</f>
        <v>0.99538868448279993</v>
      </c>
      <c r="D232" s="28">
        <f>Data!L233/Data!L232</f>
        <v>1.0023414945681501</v>
      </c>
      <c r="E232" s="28">
        <f>Data!P233/Data!P232</f>
        <v>1.0031887171185361</v>
      </c>
      <c r="F232" s="28"/>
    </row>
    <row r="233" spans="1:6">
      <c r="A233" s="1">
        <v>230</v>
      </c>
      <c r="B233" s="28">
        <f>Data!D234/Data!D233</f>
        <v>0.98904651860901571</v>
      </c>
      <c r="C233" s="28">
        <f>Data!H234/Data!H233</f>
        <v>1.0288645447799039</v>
      </c>
      <c r="D233" s="28">
        <f>Data!L234/Data!L233</f>
        <v>1.019243714298016</v>
      </c>
      <c r="E233" s="28">
        <f>Data!P234/Data!P233</f>
        <v>0.99255165336823881</v>
      </c>
      <c r="F233" s="28"/>
    </row>
    <row r="234" spans="1:6">
      <c r="A234" s="1">
        <v>231</v>
      </c>
      <c r="B234" s="28">
        <f>Data!D235/Data!D234</f>
        <v>1.0113820855147484</v>
      </c>
      <c r="C234" s="28">
        <f>Data!H235/Data!H234</f>
        <v>0.98138083334625803</v>
      </c>
      <c r="D234" s="28">
        <f>Data!L235/Data!L234</f>
        <v>0.98209617604846344</v>
      </c>
      <c r="E234" s="28">
        <f>Data!P235/Data!P234</f>
        <v>0.98238099773552778</v>
      </c>
      <c r="F234" s="28"/>
    </row>
    <row r="235" spans="1:6">
      <c r="A235" s="1">
        <v>232</v>
      </c>
      <c r="B235" s="28">
        <f>Data!D236/Data!D235</f>
        <v>1.0075555459098946</v>
      </c>
      <c r="C235" s="28">
        <f>Data!H236/Data!H235</f>
        <v>1.0095903433096962</v>
      </c>
      <c r="D235" s="28">
        <f>Data!L236/Data!L235</f>
        <v>1.0047738920667997</v>
      </c>
      <c r="E235" s="28">
        <f>Data!P236/Data!P235</f>
        <v>1.0029830118028067</v>
      </c>
      <c r="F235" s="28"/>
    </row>
    <row r="236" spans="1:6">
      <c r="A236" s="1">
        <v>233</v>
      </c>
      <c r="B236" s="28">
        <f>Data!D237/Data!D236</f>
        <v>0.97909729613698837</v>
      </c>
      <c r="C236" s="28">
        <f>Data!H237/Data!H236</f>
        <v>0.99099917210772603</v>
      </c>
      <c r="D236" s="28">
        <f>Data!L237/Data!L236</f>
        <v>0.99183063517197601</v>
      </c>
      <c r="E236" s="28">
        <f>Data!P237/Data!P236</f>
        <v>1.00498626906161</v>
      </c>
      <c r="F236" s="28"/>
    </row>
    <row r="237" spans="1:6">
      <c r="A237" s="1">
        <v>234</v>
      </c>
      <c r="B237" s="28">
        <f>Data!D238/Data!D237</f>
        <v>1.0217624001377645</v>
      </c>
      <c r="C237" s="28">
        <f>Data!H238/Data!H237</f>
        <v>0.99068709411908973</v>
      </c>
      <c r="D237" s="28">
        <f>Data!L238/Data!L237</f>
        <v>0.99058825842598985</v>
      </c>
      <c r="E237" s="28">
        <f>Data!P238/Data!P237</f>
        <v>1.0009684509348324</v>
      </c>
      <c r="F237" s="28"/>
    </row>
    <row r="238" spans="1:6">
      <c r="A238" s="1">
        <v>235</v>
      </c>
      <c r="B238" s="28">
        <f>Data!D239/Data!D238</f>
        <v>1.0026372099031982</v>
      </c>
      <c r="C238" s="28">
        <f>Data!H239/Data!H238</f>
        <v>1.0142221740509167</v>
      </c>
      <c r="D238" s="28">
        <f>Data!L239/Data!L238</f>
        <v>1.0134210149237026</v>
      </c>
      <c r="E238" s="28">
        <f>Data!P239/Data!P238</f>
        <v>0.99536241695934491</v>
      </c>
      <c r="F238" s="28"/>
    </row>
    <row r="239" spans="1:6">
      <c r="A239" s="1">
        <v>236</v>
      </c>
      <c r="B239" s="28">
        <f>Data!D240/Data!D239</f>
        <v>1.0113711928793052</v>
      </c>
      <c r="C239" s="28">
        <f>Data!H240/Data!H239</f>
        <v>1.022213966083281</v>
      </c>
      <c r="D239" s="28">
        <f>Data!L240/Data!L239</f>
        <v>1.0270321781775062</v>
      </c>
      <c r="E239" s="28">
        <f>Data!P240/Data!P239</f>
        <v>0.99592307880114361</v>
      </c>
      <c r="F239" s="28"/>
    </row>
    <row r="240" spans="1:6">
      <c r="A240" s="1">
        <v>237</v>
      </c>
      <c r="B240" s="28">
        <f>Data!D241/Data!D240</f>
        <v>0.97165148859338135</v>
      </c>
      <c r="C240" s="28">
        <f>Data!H241/Data!H240</f>
        <v>0.97662409633794678</v>
      </c>
      <c r="D240" s="28">
        <f>Data!L241/Data!L240</f>
        <v>0.97016485340572511</v>
      </c>
      <c r="E240" s="28">
        <f>Data!P241/Data!P240</f>
        <v>1.0166260765533066</v>
      </c>
      <c r="F240" s="28"/>
    </row>
    <row r="241" spans="1:6">
      <c r="A241" s="1">
        <v>238</v>
      </c>
      <c r="B241" s="28">
        <f>Data!D242/Data!D241</f>
        <v>0.99765347367278845</v>
      </c>
      <c r="C241" s="28">
        <f>Data!H242/Data!H241</f>
        <v>0.95797627421823317</v>
      </c>
      <c r="D241" s="28">
        <f>Data!L242/Data!L241</f>
        <v>0.96682826610543682</v>
      </c>
      <c r="E241" s="28">
        <f>Data!P242/Data!P241</f>
        <v>0.98361990008167055</v>
      </c>
      <c r="F241" s="28"/>
    </row>
    <row r="242" spans="1:6">
      <c r="A242" s="1">
        <v>239</v>
      </c>
      <c r="B242" s="28">
        <f>Data!D243/Data!D242</f>
        <v>0.99977265071142951</v>
      </c>
      <c r="C242" s="28">
        <f>Data!H243/Data!H242</f>
        <v>1.0258459200263039</v>
      </c>
      <c r="D242" s="28">
        <f>Data!L243/Data!L242</f>
        <v>1.0174116808576108</v>
      </c>
      <c r="E242" s="28">
        <f>Data!P243/Data!P242</f>
        <v>0.99714999843773977</v>
      </c>
      <c r="F242" s="28"/>
    </row>
    <row r="243" spans="1:6">
      <c r="A243" s="1">
        <v>240</v>
      </c>
      <c r="B243" s="28">
        <f>Data!D244/Data!D243</f>
        <v>0.98431537570647287</v>
      </c>
      <c r="C243" s="28">
        <f>Data!H244/Data!H243</f>
        <v>0.98216323775231174</v>
      </c>
      <c r="D243" s="28">
        <f>Data!L244/Data!L243</f>
        <v>0.98052470403604286</v>
      </c>
      <c r="E243" s="28">
        <f>Data!P244/Data!P243</f>
        <v>1.0063932960139439</v>
      </c>
      <c r="F243" s="28"/>
    </row>
    <row r="244" spans="1:6">
      <c r="A244" s="1">
        <v>241</v>
      </c>
      <c r="B244" s="28">
        <f>Data!D245/Data!D244</f>
        <v>0.98714782192230821</v>
      </c>
      <c r="C244" s="28">
        <f>Data!H245/Data!H244</f>
        <v>0.98995819158460174</v>
      </c>
      <c r="D244" s="28">
        <f>Data!L245/Data!L244</f>
        <v>0.98608019570478933</v>
      </c>
      <c r="E244" s="28">
        <f>Data!P245/Data!P244</f>
        <v>0.98376641027328748</v>
      </c>
      <c r="F244" s="28"/>
    </row>
    <row r="245" spans="1:6">
      <c r="A245" s="1">
        <v>242</v>
      </c>
      <c r="B245" s="28">
        <f>Data!D246/Data!D245</f>
        <v>0.99878007723844953</v>
      </c>
      <c r="C245" s="28">
        <f>Data!H246/Data!H245</f>
        <v>0.95448557021648217</v>
      </c>
      <c r="D245" s="28">
        <f>Data!L246/Data!L245</f>
        <v>0.96250693768003981</v>
      </c>
      <c r="E245" s="28">
        <f>Data!P246/Data!P245</f>
        <v>1.006058165833561</v>
      </c>
      <c r="F245" s="28"/>
    </row>
    <row r="246" spans="1:6">
      <c r="A246" s="1">
        <v>243</v>
      </c>
      <c r="B246" s="28">
        <f>Data!D247/Data!D246</f>
        <v>1.0181616063796826</v>
      </c>
      <c r="C246" s="28">
        <f>Data!H247/Data!H246</f>
        <v>1.0373389406024476</v>
      </c>
      <c r="D246" s="28">
        <f>Data!L247/Data!L246</f>
        <v>1.0270379914307399</v>
      </c>
      <c r="E246" s="28">
        <f>Data!P247/Data!P246</f>
        <v>0.94956788020575744</v>
      </c>
      <c r="F246" s="28"/>
    </row>
    <row r="247" spans="1:6">
      <c r="A247" s="1">
        <v>244</v>
      </c>
      <c r="B247" s="28">
        <f>Data!D248/Data!D247</f>
        <v>1.0032318786948318</v>
      </c>
      <c r="C247" s="28">
        <f>Data!H248/Data!H247</f>
        <v>1.0022396634958612</v>
      </c>
      <c r="D247" s="28">
        <f>Data!L248/Data!L247</f>
        <v>1.0043582643754139</v>
      </c>
      <c r="E247" s="28">
        <f>Data!P248/Data!P247</f>
        <v>1.0206199788889785</v>
      </c>
      <c r="F247" s="28"/>
    </row>
    <row r="248" spans="1:6">
      <c r="A248" s="1">
        <v>245</v>
      </c>
      <c r="B248" s="28">
        <f>Data!D249/Data!D248</f>
        <v>0.99767630617276426</v>
      </c>
      <c r="C248" s="28">
        <f>Data!H249/Data!H248</f>
        <v>1.0000576737886162</v>
      </c>
      <c r="D248" s="28">
        <f>Data!L249/Data!L248</f>
        <v>1.0044054117648418</v>
      </c>
      <c r="E248" s="28">
        <f>Data!P249/Data!P248</f>
        <v>1.0150646704494388</v>
      </c>
      <c r="F248" s="28"/>
    </row>
    <row r="249" spans="1:6">
      <c r="A249" s="1">
        <v>246</v>
      </c>
      <c r="B249" s="28">
        <f>Data!D250/Data!D249</f>
        <v>1.0110970555028469</v>
      </c>
      <c r="C249" s="28">
        <f>Data!H250/Data!H249</f>
        <v>1.0221125246050491</v>
      </c>
      <c r="D249" s="28">
        <f>Data!L250/Data!L249</f>
        <v>1.0202688803395461</v>
      </c>
      <c r="E249" s="28">
        <f>Data!P250/Data!P249</f>
        <v>0.99395780742172946</v>
      </c>
      <c r="F249" s="28"/>
    </row>
    <row r="250" spans="1:6">
      <c r="A250" s="1">
        <v>247</v>
      </c>
      <c r="B250" s="28">
        <f>Data!D251/Data!D250</f>
        <v>0.99998111230397402</v>
      </c>
      <c r="C250" s="28">
        <f>Data!H251/Data!H250</f>
        <v>1.007377762245756</v>
      </c>
      <c r="D250" s="28">
        <f>Data!L251/Data!L250</f>
        <v>1.0052834394712515</v>
      </c>
      <c r="E250" s="28">
        <f>Data!P251/Data!P250</f>
        <v>1.0153733662387512</v>
      </c>
      <c r="F250" s="28"/>
    </row>
    <row r="251" spans="1:6">
      <c r="A251" s="1">
        <v>248</v>
      </c>
      <c r="B251" s="28">
        <f>Data!D252/Data!D251</f>
        <v>1.0108032106667635</v>
      </c>
      <c r="C251" s="28">
        <f>Data!H252/Data!H251</f>
        <v>1.0056955453587526</v>
      </c>
      <c r="D251" s="28">
        <f>Data!L252/Data!L251</f>
        <v>1.0130132305352226</v>
      </c>
      <c r="E251" s="28">
        <f>Data!P252/Data!P251</f>
        <v>0.99879343329278625</v>
      </c>
      <c r="F251" s="28"/>
    </row>
    <row r="252" spans="1:6">
      <c r="A252" s="1">
        <v>249</v>
      </c>
      <c r="B252" s="28">
        <f>Data!D253/Data!D252</f>
        <v>0.97480953174670204</v>
      </c>
      <c r="C252" s="28">
        <f>Data!H253/Data!H252</f>
        <v>0.98099650287484885</v>
      </c>
      <c r="D252" s="28">
        <f>Data!L253/Data!L252</f>
        <v>0.98330707498243197</v>
      </c>
      <c r="E252" s="28">
        <f>Data!P253/Data!P252</f>
        <v>1.0107418670169326</v>
      </c>
      <c r="F252" s="28"/>
    </row>
    <row r="253" spans="1:6">
      <c r="A253" s="1">
        <v>250</v>
      </c>
      <c r="B253" s="28">
        <f>Data!D254/Data!D253</f>
        <v>1.0189727684339263</v>
      </c>
      <c r="C253" s="28">
        <f>Data!H254/Data!H253</f>
        <v>1.0073666651202013</v>
      </c>
      <c r="D253" s="28">
        <f>Data!L254/Data!L253</f>
        <v>1.0087886292260655</v>
      </c>
      <c r="E253" s="28">
        <f>Data!P254/Data!P253</f>
        <v>0.98194082477716316</v>
      </c>
      <c r="F253" s="28"/>
    </row>
    <row r="254" spans="1:6">
      <c r="A254" s="1">
        <v>251</v>
      </c>
      <c r="B254" s="28">
        <f>Data!D255/Data!D254</f>
        <v>0.99619543256261234</v>
      </c>
      <c r="C254" s="28">
        <f>Data!H255/Data!H254</f>
        <v>1.013516160050882</v>
      </c>
      <c r="D254" s="28">
        <f>Data!L255/Data!L254</f>
        <v>1.0123067419209462</v>
      </c>
      <c r="E254" s="28">
        <f>Data!P255/Data!P254</f>
        <v>1.0026195692299875</v>
      </c>
      <c r="F254" s="28"/>
    </row>
    <row r="255" spans="1:6">
      <c r="A255" s="1">
        <v>252</v>
      </c>
      <c r="B255" s="28">
        <f>Data!D256/Data!D255</f>
        <v>1.008989532983904</v>
      </c>
      <c r="C255" s="28">
        <f>Data!H256/Data!H255</f>
        <v>1.0155532622566701</v>
      </c>
      <c r="D255" s="28">
        <f>Data!L256/Data!L255</f>
        <v>1.0121329643792993</v>
      </c>
      <c r="E255" s="28">
        <f>Data!P256/Data!P255</f>
        <v>1.024645423368544</v>
      </c>
      <c r="F255" s="28"/>
    </row>
    <row r="256" spans="1:6">
      <c r="A256" s="1">
        <v>253</v>
      </c>
      <c r="B256" s="28">
        <f>Data!D257/Data!D256</f>
        <v>1.0068215132200509</v>
      </c>
      <c r="C256" s="28">
        <f>Data!H257/Data!H256</f>
        <v>1.0081999183030967</v>
      </c>
      <c r="D256" s="28">
        <f>Data!L257/Data!L256</f>
        <v>0.99836672435410689</v>
      </c>
      <c r="E256" s="28">
        <f>Data!P257/Data!P256</f>
        <v>0.98864226112656994</v>
      </c>
      <c r="F256" s="28"/>
    </row>
    <row r="257" spans="1:6">
      <c r="A257" s="1">
        <v>254</v>
      </c>
      <c r="B257" s="28">
        <f>Data!D258/Data!D257</f>
        <v>0.98933812977456814</v>
      </c>
      <c r="C257" s="28">
        <f>Data!H258/Data!H257</f>
        <v>0.98810666419851123</v>
      </c>
      <c r="D257" s="28">
        <f>Data!L258/Data!L257</f>
        <v>0.98331597143423288</v>
      </c>
      <c r="E257" s="28">
        <f>Data!P258/Data!P257</f>
        <v>0.99129438048306595</v>
      </c>
      <c r="F257" s="28"/>
    </row>
    <row r="258" spans="1:6">
      <c r="A258" s="1">
        <v>255</v>
      </c>
      <c r="B258" s="28">
        <f>Data!D259/Data!D258</f>
        <v>1.0043500906018352</v>
      </c>
      <c r="C258" s="28">
        <f>Data!H259/Data!H258</f>
        <v>1.0076906870661511</v>
      </c>
      <c r="D258" s="28">
        <f>Data!L259/Data!L258</f>
        <v>1.0074039765474851</v>
      </c>
      <c r="E258" s="28">
        <f>Data!P259/Data!P258</f>
        <v>1.00697194698953</v>
      </c>
      <c r="F258" s="28"/>
    </row>
    <row r="259" spans="1:6">
      <c r="A259" s="1">
        <v>256</v>
      </c>
      <c r="B259" s="28">
        <f>Data!D260/Data!D259</f>
        <v>0.98129436106964185</v>
      </c>
      <c r="C259" s="28">
        <f>Data!H260/Data!H259</f>
        <v>0.98235761113456055</v>
      </c>
      <c r="D259" s="28">
        <f>Data!L260/Data!L259</f>
        <v>0.97895318006259857</v>
      </c>
      <c r="E259" s="28">
        <f>Data!P260/Data!P259</f>
        <v>1.0074401499297871</v>
      </c>
      <c r="F259" s="28"/>
    </row>
    <row r="260" spans="1:6">
      <c r="A260" s="1">
        <v>257</v>
      </c>
      <c r="B260" s="28">
        <f>Data!D261/Data!D260</f>
        <v>1.0011034531143002</v>
      </c>
      <c r="C260" s="28">
        <f>Data!H261/Data!H260</f>
        <v>0.99239167268358752</v>
      </c>
      <c r="D260" s="28">
        <f>Data!L261/Data!L260</f>
        <v>0.99401011729637301</v>
      </c>
      <c r="E260" s="28">
        <f>Data!P261/Data!P260</f>
        <v>0.97922579488735273</v>
      </c>
      <c r="F260" s="28"/>
    </row>
    <row r="261" spans="1:6">
      <c r="A261" s="1">
        <v>258</v>
      </c>
      <c r="B261" s="28">
        <f>Data!D262/Data!D261</f>
        <v>1.0137524423268089</v>
      </c>
      <c r="C261" s="28">
        <f>Data!H262/Data!H261</f>
        <v>1.0247572730895746</v>
      </c>
      <c r="D261" s="28">
        <f>Data!L262/Data!L261</f>
        <v>1.020270634366619</v>
      </c>
      <c r="E261" s="28">
        <f>Data!P262/Data!P261</f>
        <v>0.99999897558520368</v>
      </c>
      <c r="F261" s="28"/>
    </row>
    <row r="262" spans="1:6">
      <c r="A262" s="1">
        <v>259</v>
      </c>
      <c r="B262" s="28">
        <f>Data!D263/Data!D262</f>
        <v>0.9987421468712594</v>
      </c>
      <c r="C262" s="28">
        <f>Data!H263/Data!H262</f>
        <v>1.0043073380701075</v>
      </c>
      <c r="D262" s="28">
        <f>Data!L263/Data!L262</f>
        <v>1.0090751439408308</v>
      </c>
      <c r="E262" s="28">
        <f>Data!P263/Data!P262</f>
        <v>0.99408582777219723</v>
      </c>
      <c r="F262" s="28"/>
    </row>
    <row r="263" spans="1:6">
      <c r="A263" s="1">
        <v>260</v>
      </c>
      <c r="B263" s="28">
        <f>Data!D264/Data!D263</f>
        <v>1.0100235862364717</v>
      </c>
      <c r="C263" s="28">
        <f>Data!H264/Data!H263</f>
        <v>1.0074601067830364</v>
      </c>
      <c r="D263" s="28">
        <f>Data!L264/Data!L263</f>
        <v>1.0101020393094644</v>
      </c>
      <c r="E263" s="28">
        <f>Data!P264/Data!P263</f>
        <v>0.9909932487663774</v>
      </c>
      <c r="F263" s="28"/>
    </row>
    <row r="264" spans="1:6">
      <c r="A264" s="1">
        <v>261</v>
      </c>
      <c r="B264" s="28">
        <f>Data!D265/Data!D264</f>
        <v>1.0013139782255038</v>
      </c>
      <c r="C264" s="28">
        <f>Data!H265/Data!H264</f>
        <v>0.98067286797707565</v>
      </c>
      <c r="D264" s="28">
        <f>Data!L265/Data!L264</f>
        <v>0.99431197710890451</v>
      </c>
      <c r="E264" s="28">
        <f>Data!P265/Data!P264</f>
        <v>1.0223676008077138</v>
      </c>
      <c r="F264" s="28"/>
    </row>
    <row r="265" spans="1:6">
      <c r="A265" s="1">
        <v>262</v>
      </c>
      <c r="B265" s="28">
        <f>Data!D266/Data!D265</f>
        <v>1.0220844008415089</v>
      </c>
      <c r="C265" s="28">
        <f>Data!H266/Data!H265</f>
        <v>0.99164639375829677</v>
      </c>
      <c r="D265" s="28">
        <f>Data!L266/Data!L265</f>
        <v>1.0018830385706963</v>
      </c>
      <c r="E265" s="28">
        <f>Data!P266/Data!P265</f>
        <v>0.97354877791667116</v>
      </c>
      <c r="F265" s="28"/>
    </row>
    <row r="266" spans="1:6">
      <c r="A266" s="1">
        <v>263</v>
      </c>
      <c r="B266" s="28">
        <f>Data!D267/Data!D266</f>
        <v>1.0055439142494682</v>
      </c>
      <c r="C266" s="28">
        <f>Data!H267/Data!H266</f>
        <v>1.0294093773502981</v>
      </c>
      <c r="D266" s="28">
        <f>Data!L267/Data!L266</f>
        <v>1.0393320947538598</v>
      </c>
      <c r="E266" s="28">
        <f>Data!P267/Data!P266</f>
        <v>1.0325867668586275</v>
      </c>
      <c r="F266" s="28"/>
    </row>
    <row r="267" spans="1:6">
      <c r="A267" s="1">
        <v>264</v>
      </c>
      <c r="B267" s="28">
        <f>Data!D268/Data!D267</f>
        <v>0.99646340792555654</v>
      </c>
      <c r="C267" s="28">
        <f>Data!H268/Data!H267</f>
        <v>1.002468751059775</v>
      </c>
      <c r="D267" s="28">
        <f>Data!L268/Data!L267</f>
        <v>1.00174975543734</v>
      </c>
      <c r="E267" s="28">
        <f>Data!P268/Data!P267</f>
        <v>1.0170135168174339</v>
      </c>
      <c r="F267" s="28"/>
    </row>
    <row r="268" spans="1:6">
      <c r="A268" s="1">
        <v>265</v>
      </c>
      <c r="B268" s="28">
        <f>Data!D269/Data!D268</f>
        <v>1.0038854627470635</v>
      </c>
      <c r="C268" s="28">
        <f>Data!H269/Data!H268</f>
        <v>1.0076498140381958</v>
      </c>
      <c r="D268" s="28">
        <f>Data!L269/Data!L268</f>
        <v>1.0026550420672766</v>
      </c>
      <c r="E268" s="28">
        <f>Data!P269/Data!P268</f>
        <v>0.98642991183513162</v>
      </c>
      <c r="F268" s="28"/>
    </row>
    <row r="269" spans="1:6">
      <c r="A269" s="1">
        <v>266</v>
      </c>
      <c r="B269" s="28">
        <f>Data!D270/Data!D269</f>
        <v>0.99699425261157759</v>
      </c>
      <c r="C269" s="28">
        <f>Data!H270/Data!H269</f>
        <v>0.98853186794628545</v>
      </c>
      <c r="D269" s="28">
        <f>Data!L270/Data!L269</f>
        <v>0.99173647236480789</v>
      </c>
      <c r="E269" s="28">
        <f>Data!P270/Data!P269</f>
        <v>1.0146949512628083</v>
      </c>
      <c r="F269" s="28"/>
    </row>
    <row r="270" spans="1:6">
      <c r="A270" s="1">
        <v>267</v>
      </c>
      <c r="B270" s="28">
        <f>Data!D271/Data!D270</f>
        <v>1.0072213170375908</v>
      </c>
      <c r="C270" s="28">
        <f>Data!H271/Data!H270</f>
        <v>1.0052443134708724</v>
      </c>
      <c r="D270" s="28">
        <f>Data!L271/Data!L270</f>
        <v>1.0085749465024791</v>
      </c>
      <c r="E270" s="28">
        <f>Data!P271/Data!P270</f>
        <v>0.99046786968017442</v>
      </c>
      <c r="F270" s="28"/>
    </row>
    <row r="271" spans="1:6">
      <c r="A271" s="1">
        <v>268</v>
      </c>
      <c r="B271" s="28">
        <f>Data!D272/Data!D271</f>
        <v>1.0025068182718879</v>
      </c>
      <c r="C271" s="28">
        <f>Data!H272/Data!H271</f>
        <v>1.0126037260626963</v>
      </c>
      <c r="D271" s="28">
        <f>Data!L272/Data!L271</f>
        <v>1.0096245389221519</v>
      </c>
      <c r="E271" s="28">
        <f>Data!P272/Data!P271</f>
        <v>1.0243886542173515</v>
      </c>
      <c r="F271" s="28"/>
    </row>
    <row r="272" spans="1:6">
      <c r="A272" s="1">
        <v>269</v>
      </c>
      <c r="B272" s="28">
        <f>Data!D273/Data!D272</f>
        <v>0.99875583449651895</v>
      </c>
      <c r="C272" s="28">
        <f>Data!H273/Data!H272</f>
        <v>1.0036284274162048</v>
      </c>
      <c r="D272" s="28">
        <f>Data!L273/Data!L272</f>
        <v>1.0020214178176388</v>
      </c>
      <c r="E272" s="28">
        <f>Data!P273/Data!P272</f>
        <v>1.0028712280310241</v>
      </c>
      <c r="F272" s="28"/>
    </row>
    <row r="273" spans="1:6">
      <c r="A273" s="1">
        <v>270</v>
      </c>
      <c r="B273" s="28">
        <f>Data!D274/Data!D273</f>
        <v>1.013811536432677</v>
      </c>
      <c r="C273" s="28">
        <f>Data!H274/Data!H273</f>
        <v>1.0088580053281972</v>
      </c>
      <c r="D273" s="28">
        <f>Data!L274/Data!L273</f>
        <v>1.0113670547516789</v>
      </c>
      <c r="E273" s="28">
        <f>Data!P274/Data!P273</f>
        <v>0.99803723003282718</v>
      </c>
      <c r="F273" s="28"/>
    </row>
    <row r="274" spans="1:6">
      <c r="A274" s="1">
        <v>271</v>
      </c>
      <c r="B274" s="28">
        <f>Data!D275/Data!D274</f>
        <v>0.997143577130161</v>
      </c>
      <c r="C274" s="28">
        <f>Data!H275/Data!H274</f>
        <v>0.99803265481189485</v>
      </c>
      <c r="D274" s="28">
        <f>Data!L275/Data!L274</f>
        <v>0.99810803637711387</v>
      </c>
      <c r="E274" s="28">
        <f>Data!P275/Data!P274</f>
        <v>1.0098255231096278</v>
      </c>
      <c r="F274" s="28"/>
    </row>
    <row r="275" spans="1:6">
      <c r="A275" s="1">
        <v>272</v>
      </c>
      <c r="B275" s="28">
        <f>Data!D276/Data!D275</f>
        <v>0.99435763857991311</v>
      </c>
      <c r="C275" s="28">
        <f>Data!H276/Data!H275</f>
        <v>1.0034815334826905</v>
      </c>
      <c r="D275" s="28">
        <f>Data!L276/Data!L275</f>
        <v>1.0007666354340343</v>
      </c>
      <c r="E275" s="28">
        <f>Data!P276/Data!P275</f>
        <v>1.0016358492017907</v>
      </c>
      <c r="F275" s="28"/>
    </row>
    <row r="276" spans="1:6">
      <c r="A276" s="1">
        <v>273</v>
      </c>
      <c r="B276" s="28">
        <f>Data!D277/Data!D276</f>
        <v>1.000448165635146</v>
      </c>
      <c r="C276" s="28">
        <f>Data!H277/Data!H276</f>
        <v>1.0040583720391751</v>
      </c>
      <c r="D276" s="28">
        <f>Data!L277/Data!L276</f>
        <v>0.99884391271311046</v>
      </c>
      <c r="E276" s="28">
        <f>Data!P277/Data!P276</f>
        <v>0.99623035047891895</v>
      </c>
      <c r="F276" s="28"/>
    </row>
    <row r="277" spans="1:6">
      <c r="A277" s="1">
        <v>274</v>
      </c>
      <c r="B277" s="28">
        <f>Data!D278/Data!D277</f>
        <v>1.0065620413458698</v>
      </c>
      <c r="C277" s="28">
        <f>Data!H278/Data!H277</f>
        <v>1.0075127094922793</v>
      </c>
      <c r="D277" s="28">
        <f>Data!L278/Data!L277</f>
        <v>1.0072626869321435</v>
      </c>
      <c r="E277" s="28">
        <f>Data!P278/Data!P277</f>
        <v>0.99634077902380247</v>
      </c>
      <c r="F277" s="28"/>
    </row>
    <row r="278" spans="1:6">
      <c r="A278" s="1">
        <v>275</v>
      </c>
      <c r="B278" s="28">
        <f>Data!D279/Data!D278</f>
        <v>1.0070041184387044</v>
      </c>
      <c r="C278" s="28">
        <f>Data!H279/Data!H278</f>
        <v>0.99899251668540689</v>
      </c>
      <c r="D278" s="28">
        <f>Data!L279/Data!L278</f>
        <v>0.9993825125030652</v>
      </c>
      <c r="E278" s="28">
        <f>Data!P279/Data!P278</f>
        <v>1.0030661093623412</v>
      </c>
      <c r="F278" s="28"/>
    </row>
    <row r="279" spans="1:6">
      <c r="A279" s="1">
        <v>276</v>
      </c>
      <c r="B279" s="28">
        <f>Data!D280/Data!D279</f>
        <v>0.99393979186037229</v>
      </c>
      <c r="C279" s="28">
        <f>Data!H280/Data!H279</f>
        <v>1.0076402340251451</v>
      </c>
      <c r="D279" s="28">
        <f>Data!L280/Data!L279</f>
        <v>1.0013622305764971</v>
      </c>
      <c r="E279" s="28">
        <f>Data!P280/Data!P279</f>
        <v>1.0002788633580946</v>
      </c>
      <c r="F279" s="28"/>
    </row>
    <row r="280" spans="1:6">
      <c r="A280" s="1">
        <v>277</v>
      </c>
      <c r="B280" s="28">
        <f>Data!D281/Data!D280</f>
        <v>0.99548466512154188</v>
      </c>
      <c r="C280" s="28">
        <f>Data!H281/Data!H280</f>
        <v>1.0112151590860459</v>
      </c>
      <c r="D280" s="28">
        <f>Data!L281/Data!L280</f>
        <v>1.0094592533248756</v>
      </c>
      <c r="E280" s="28">
        <f>Data!P281/Data!P280</f>
        <v>1.0120414682187049</v>
      </c>
      <c r="F280" s="28"/>
    </row>
    <row r="281" spans="1:6">
      <c r="A281" s="1">
        <v>278</v>
      </c>
      <c r="B281" s="28">
        <f>Data!D282/Data!D281</f>
        <v>1.0055625638596031</v>
      </c>
      <c r="C281" s="28">
        <f>Data!H282/Data!H281</f>
        <v>0.99905616714661827</v>
      </c>
      <c r="D281" s="28">
        <f>Data!L282/Data!L281</f>
        <v>0.99197731595405025</v>
      </c>
      <c r="E281" s="28">
        <f>Data!P282/Data!P281</f>
        <v>0.99394741769104633</v>
      </c>
      <c r="F281" s="28"/>
    </row>
    <row r="282" spans="1:6">
      <c r="A282" s="1">
        <v>279</v>
      </c>
      <c r="B282" s="28">
        <f>Data!D283/Data!D282</f>
        <v>0.99231679661223804</v>
      </c>
      <c r="C282" s="28">
        <f>Data!H283/Data!H282</f>
        <v>0.9908318510472478</v>
      </c>
      <c r="D282" s="28">
        <f>Data!L283/Data!L282</f>
        <v>0.99756920145631633</v>
      </c>
      <c r="E282" s="28">
        <f>Data!P283/Data!P282</f>
        <v>1.0013009290590345</v>
      </c>
      <c r="F282" s="28"/>
    </row>
    <row r="283" spans="1:6">
      <c r="A283" s="1">
        <v>280</v>
      </c>
      <c r="B283" s="28">
        <f>Data!D284/Data!D283</f>
        <v>0.99486156398375392</v>
      </c>
      <c r="C283" s="28">
        <f>Data!H284/Data!H283</f>
        <v>0.99043423068904191</v>
      </c>
      <c r="D283" s="28">
        <f>Data!L284/Data!L283</f>
        <v>0.98951813777551478</v>
      </c>
      <c r="E283" s="28">
        <f>Data!P284/Data!P283</f>
        <v>0.99485061843178246</v>
      </c>
      <c r="F283" s="28"/>
    </row>
    <row r="284" spans="1:6">
      <c r="A284" s="1">
        <v>281</v>
      </c>
      <c r="B284" s="28">
        <f>Data!D285/Data!D284</f>
        <v>0.99853373909468457</v>
      </c>
      <c r="C284" s="28">
        <f>Data!H285/Data!H284</f>
        <v>1.0124671245981345</v>
      </c>
      <c r="D284" s="28">
        <f>Data!L285/Data!L284</f>
        <v>1.0105572383292538</v>
      </c>
      <c r="E284" s="28">
        <f>Data!P285/Data!P284</f>
        <v>0.98841197716347862</v>
      </c>
      <c r="F284" s="28"/>
    </row>
    <row r="285" spans="1:6">
      <c r="A285" s="1">
        <v>282</v>
      </c>
      <c r="B285" s="28">
        <f>Data!D286/Data!D285</f>
        <v>0.99974230774214057</v>
      </c>
      <c r="C285" s="28">
        <f>Data!H286/Data!H285</f>
        <v>0.99399777806068301</v>
      </c>
      <c r="D285" s="28">
        <f>Data!L286/Data!L285</f>
        <v>0.99708420226280681</v>
      </c>
      <c r="E285" s="28">
        <f>Data!P286/Data!P285</f>
        <v>1.0177021756723723</v>
      </c>
      <c r="F285" s="28"/>
    </row>
    <row r="286" spans="1:6">
      <c r="A286" s="1">
        <v>283</v>
      </c>
      <c r="B286" s="28">
        <f>Data!D287/Data!D286</f>
        <v>0.97358045526806913</v>
      </c>
      <c r="C286" s="28">
        <f>Data!H287/Data!H286</f>
        <v>0.98737949496337707</v>
      </c>
      <c r="D286" s="28">
        <f>Data!L287/Data!L286</f>
        <v>0.99294923952554026</v>
      </c>
      <c r="E286" s="28">
        <f>Data!P287/Data!P286</f>
        <v>0.98918925442687911</v>
      </c>
      <c r="F286" s="28"/>
    </row>
    <row r="287" spans="1:6">
      <c r="A287" s="1">
        <v>284</v>
      </c>
      <c r="B287" s="28">
        <f>Data!D288/Data!D287</f>
        <v>1.0033242074778768</v>
      </c>
      <c r="C287" s="28">
        <f>Data!H288/Data!H287</f>
        <v>0.98068847393224579</v>
      </c>
      <c r="D287" s="28">
        <f>Data!L288/Data!L287</f>
        <v>0.97922596473867929</v>
      </c>
      <c r="E287" s="28">
        <f>Data!P288/Data!P287</f>
        <v>0.98518687894556434</v>
      </c>
      <c r="F287" s="28"/>
    </row>
    <row r="288" spans="1:6">
      <c r="A288" s="1">
        <v>285</v>
      </c>
      <c r="B288" s="28">
        <f>Data!D289/Data!D288</f>
        <v>1.0080533825902174</v>
      </c>
      <c r="C288" s="28">
        <f>Data!H289/Data!H288</f>
        <v>1.0188137161264008</v>
      </c>
      <c r="D288" s="28">
        <f>Data!L289/Data!L288</f>
        <v>1.014767282619284</v>
      </c>
      <c r="E288" s="28">
        <f>Data!P289/Data!P288</f>
        <v>0.99541315487587612</v>
      </c>
      <c r="F288" s="28"/>
    </row>
    <row r="289" spans="1:6">
      <c r="A289" s="1">
        <v>286</v>
      </c>
      <c r="B289" s="28">
        <f>Data!D290/Data!D289</f>
        <v>0.99992834282547172</v>
      </c>
      <c r="C289" s="28">
        <f>Data!H290/Data!H289</f>
        <v>0.99431024353416753</v>
      </c>
      <c r="D289" s="28">
        <f>Data!L290/Data!L289</f>
        <v>0.99340130188361886</v>
      </c>
      <c r="E289" s="28">
        <f>Data!P290/Data!P289</f>
        <v>0.9995387684097512</v>
      </c>
      <c r="F289" s="28"/>
    </row>
    <row r="290" spans="1:6">
      <c r="A290" s="1">
        <v>287</v>
      </c>
      <c r="B290" s="28">
        <f>Data!D291/Data!D290</f>
        <v>0.9997564943968118</v>
      </c>
      <c r="C290" s="28">
        <f>Data!H291/Data!H290</f>
        <v>1.015985437070001</v>
      </c>
      <c r="D290" s="28">
        <f>Data!L291/Data!L290</f>
        <v>1.0207534557737343</v>
      </c>
      <c r="E290" s="28">
        <f>Data!P291/Data!P290</f>
        <v>0.99398166477043959</v>
      </c>
      <c r="F290" s="28"/>
    </row>
    <row r="291" spans="1:6">
      <c r="A291" s="1">
        <v>288</v>
      </c>
      <c r="B291" s="28">
        <f>Data!D292/Data!D291</f>
        <v>1.0098581618382787</v>
      </c>
      <c r="C291" s="28">
        <f>Data!H292/Data!H291</f>
        <v>1.0142100747521217</v>
      </c>
      <c r="D291" s="28">
        <f>Data!L292/Data!L291</f>
        <v>1.0117913597875408</v>
      </c>
      <c r="E291" s="28">
        <f>Data!P292/Data!P291</f>
        <v>1.0144876648316412</v>
      </c>
      <c r="F291" s="28"/>
    </row>
    <row r="292" spans="1:6">
      <c r="A292" s="1">
        <v>289</v>
      </c>
      <c r="B292" s="28">
        <f>Data!D293/Data!D292</f>
        <v>1.0046035620387204</v>
      </c>
      <c r="C292" s="28">
        <f>Data!H293/Data!H292</f>
        <v>1.010928941782933</v>
      </c>
      <c r="D292" s="28">
        <f>Data!L293/Data!L292</f>
        <v>1.0082910674979291</v>
      </c>
      <c r="E292" s="28">
        <f>Data!P293/Data!P292</f>
        <v>1.0068086308164936</v>
      </c>
      <c r="F292" s="28"/>
    </row>
    <row r="293" spans="1:6">
      <c r="A293" s="1">
        <v>290</v>
      </c>
      <c r="B293" s="28">
        <f>Data!D294/Data!D293</f>
        <v>0.99439159756197781</v>
      </c>
      <c r="C293" s="28">
        <f>Data!H294/Data!H293</f>
        <v>0.99597866063947771</v>
      </c>
      <c r="D293" s="28">
        <f>Data!L294/Data!L293</f>
        <v>0.99576338498619621</v>
      </c>
      <c r="E293" s="28">
        <f>Data!P294/Data!P293</f>
        <v>0.99700726695846675</v>
      </c>
      <c r="F293" s="28"/>
    </row>
    <row r="294" spans="1:6">
      <c r="A294" s="1">
        <v>291</v>
      </c>
      <c r="B294" s="28">
        <f>Data!D295/Data!D294</f>
        <v>1.0099721079690585</v>
      </c>
      <c r="C294" s="28">
        <f>Data!H295/Data!H294</f>
        <v>1.0144304797210226</v>
      </c>
      <c r="D294" s="28">
        <f>Data!L295/Data!L294</f>
        <v>1.0107919909550367</v>
      </c>
      <c r="E294" s="28">
        <f>Data!P295/Data!P294</f>
        <v>1.0002323133170974</v>
      </c>
      <c r="F294" s="28"/>
    </row>
    <row r="295" spans="1:6">
      <c r="A295" s="1">
        <v>292</v>
      </c>
      <c r="B295" s="28">
        <f>Data!D296/Data!D295</f>
        <v>0.97400289016303654</v>
      </c>
      <c r="C295" s="28">
        <f>Data!H296/Data!H295</f>
        <v>0.98186927753245301</v>
      </c>
      <c r="D295" s="28">
        <f>Data!L296/Data!L295</f>
        <v>0.97772428085792584</v>
      </c>
      <c r="E295" s="28">
        <f>Data!P296/Data!P295</f>
        <v>1.0115296771856046</v>
      </c>
      <c r="F295" s="28"/>
    </row>
    <row r="296" spans="1:6">
      <c r="A296" s="1">
        <v>293</v>
      </c>
      <c r="B296" s="28">
        <f>Data!D297/Data!D296</f>
        <v>1.0020069472953381</v>
      </c>
      <c r="C296" s="28">
        <f>Data!H297/Data!H296</f>
        <v>0.99171606022640058</v>
      </c>
      <c r="D296" s="28">
        <f>Data!L297/Data!L296</f>
        <v>1.0013480930075547</v>
      </c>
      <c r="E296" s="28">
        <f>Data!P297/Data!P296</f>
        <v>0.98010430556135886</v>
      </c>
      <c r="F296" s="28"/>
    </row>
    <row r="297" spans="1:6">
      <c r="A297" s="1">
        <v>294</v>
      </c>
      <c r="B297" s="28">
        <f>Data!D298/Data!D297</f>
        <v>0.99619715927061947</v>
      </c>
      <c r="C297" s="28">
        <f>Data!H298/Data!H297</f>
        <v>0.98873842503008003</v>
      </c>
      <c r="D297" s="28">
        <f>Data!L298/Data!L297</f>
        <v>0.99287897042727202</v>
      </c>
      <c r="E297" s="28">
        <f>Data!P298/Data!P297</f>
        <v>0.9871882711990082</v>
      </c>
      <c r="F297" s="28"/>
    </row>
    <row r="298" spans="1:6">
      <c r="A298" s="1">
        <v>295</v>
      </c>
      <c r="B298" s="28">
        <f>Data!D299/Data!D298</f>
        <v>1.0086787660410237</v>
      </c>
      <c r="C298" s="28">
        <f>Data!H299/Data!H298</f>
        <v>1.0054607739699366</v>
      </c>
      <c r="D298" s="28">
        <f>Data!L299/Data!L298</f>
        <v>1.0100626113360409</v>
      </c>
      <c r="E298" s="28">
        <f>Data!P299/Data!P298</f>
        <v>1.0004744795846949</v>
      </c>
      <c r="F298" s="28"/>
    </row>
    <row r="299" spans="1:6">
      <c r="A299" s="1">
        <v>296</v>
      </c>
      <c r="B299" s="28">
        <f>Data!D300/Data!D299</f>
        <v>0.9735801489502186</v>
      </c>
      <c r="C299" s="28">
        <f>Data!H300/Data!H299</f>
        <v>0.99387801787314189</v>
      </c>
      <c r="D299" s="28">
        <f>Data!L300/Data!L299</f>
        <v>1.0032949586346904</v>
      </c>
      <c r="E299" s="28">
        <f>Data!P300/Data!P299</f>
        <v>0.99985920184762411</v>
      </c>
      <c r="F299" s="28"/>
    </row>
    <row r="300" spans="1:6">
      <c r="A300" s="1">
        <v>297</v>
      </c>
      <c r="B300" s="28">
        <f>Data!D301/Data!D300</f>
        <v>0.99746391358809994</v>
      </c>
      <c r="C300" s="28">
        <f>Data!H301/Data!H300</f>
        <v>1.0014465258143468</v>
      </c>
      <c r="D300" s="28">
        <f>Data!L301/Data!L300</f>
        <v>0.99237792606449726</v>
      </c>
      <c r="E300" s="28">
        <f>Data!P301/Data!P300</f>
        <v>0.98406041221222273</v>
      </c>
      <c r="F300" s="28"/>
    </row>
    <row r="301" spans="1:6">
      <c r="A301" s="1">
        <v>298</v>
      </c>
      <c r="B301" s="28">
        <f>Data!D302/Data!D301</f>
        <v>0.98314901905506358</v>
      </c>
      <c r="C301" s="28">
        <f>Data!H302/Data!H301</f>
        <v>0.98170174941213639</v>
      </c>
      <c r="D301" s="28">
        <f>Data!L302/Data!L301</f>
        <v>0.98020037777967273</v>
      </c>
      <c r="E301" s="28">
        <f>Data!P302/Data!P301</f>
        <v>1.0069119542083624</v>
      </c>
      <c r="F301" s="28"/>
    </row>
    <row r="302" spans="1:6">
      <c r="A302" s="1">
        <v>299</v>
      </c>
      <c r="B302" s="28">
        <f>Data!D303/Data!D302</f>
        <v>0.99576852716530417</v>
      </c>
      <c r="C302" s="28">
        <f>Data!H303/Data!H302</f>
        <v>0.9881506124216719</v>
      </c>
      <c r="D302" s="28">
        <f>Data!L303/Data!L302</f>
        <v>0.99244585162688581</v>
      </c>
      <c r="E302" s="28">
        <f>Data!P303/Data!P302</f>
        <v>0.98653195888052114</v>
      </c>
      <c r="F302" s="28"/>
    </row>
    <row r="303" spans="1:6">
      <c r="A303" s="1">
        <v>300</v>
      </c>
      <c r="B303" s="28">
        <f>Data!D304/Data!D303</f>
        <v>1.0246035626426848</v>
      </c>
      <c r="C303" s="28">
        <f>Data!H304/Data!H303</f>
        <v>1.0103006698408961</v>
      </c>
      <c r="D303" s="28">
        <f>Data!L304/Data!L303</f>
        <v>1.0051347868784375</v>
      </c>
      <c r="E303" s="28">
        <f>Data!P304/Data!P303</f>
        <v>0.98768818872078123</v>
      </c>
      <c r="F303" s="28"/>
    </row>
    <row r="304" spans="1:6">
      <c r="A304" s="1">
        <v>301</v>
      </c>
      <c r="B304" s="28">
        <f>Data!D305/Data!D304</f>
        <v>0.99428274701681585</v>
      </c>
      <c r="C304" s="28">
        <f>Data!H305/Data!H304</f>
        <v>1.0075402562895266</v>
      </c>
      <c r="D304" s="28">
        <f>Data!L305/Data!L304</f>
        <v>1.0197388419590654</v>
      </c>
      <c r="E304" s="28">
        <f>Data!P305/Data!P304</f>
        <v>1.013892246965302</v>
      </c>
      <c r="F304" s="28"/>
    </row>
    <row r="305" spans="1:6">
      <c r="A305" s="1">
        <v>302</v>
      </c>
      <c r="B305" s="28">
        <f>Data!D306/Data!D305</f>
        <v>0.99085784078464145</v>
      </c>
      <c r="C305" s="28">
        <f>Data!H306/Data!H305</f>
        <v>0.97910633053040674</v>
      </c>
      <c r="D305" s="28">
        <f>Data!L306/Data!L305</f>
        <v>0.9861612849205994</v>
      </c>
      <c r="E305" s="28">
        <f>Data!P306/Data!P305</f>
        <v>0.99754655475804299</v>
      </c>
      <c r="F305" s="28"/>
    </row>
    <row r="306" spans="1:6">
      <c r="A306" s="1">
        <v>303</v>
      </c>
      <c r="B306" s="28">
        <f>Data!D307/Data!D306</f>
        <v>1.0050907509887455</v>
      </c>
      <c r="C306" s="28">
        <f>Data!H307/Data!H306</f>
        <v>0.98943807347514867</v>
      </c>
      <c r="D306" s="28">
        <f>Data!L307/Data!L306</f>
        <v>0.99369278756827961</v>
      </c>
      <c r="E306" s="28">
        <f>Data!P307/Data!P306</f>
        <v>0.98714970536879343</v>
      </c>
      <c r="F306" s="28"/>
    </row>
    <row r="307" spans="1:6">
      <c r="A307" s="1">
        <v>304</v>
      </c>
      <c r="B307" s="28">
        <f>Data!D308/Data!D307</f>
        <v>0.9834291963368923</v>
      </c>
      <c r="C307" s="28">
        <f>Data!H308/Data!H307</f>
        <v>0.97586320555967554</v>
      </c>
      <c r="D307" s="28">
        <f>Data!L308/Data!L307</f>
        <v>0.98495572222744365</v>
      </c>
      <c r="E307" s="28">
        <f>Data!P308/Data!P307</f>
        <v>0.99648005914285787</v>
      </c>
      <c r="F307" s="28"/>
    </row>
    <row r="308" spans="1:6">
      <c r="A308" s="1">
        <v>305</v>
      </c>
      <c r="B308" s="28">
        <f>Data!D309/Data!D308</f>
        <v>1.0039896777698549</v>
      </c>
      <c r="C308" s="28">
        <f>Data!H309/Data!H308</f>
        <v>1.0235652542951399</v>
      </c>
      <c r="D308" s="28">
        <f>Data!L309/Data!L308</f>
        <v>1.0224821287823631</v>
      </c>
      <c r="E308" s="28">
        <f>Data!P309/Data!P308</f>
        <v>1.0114157240436958</v>
      </c>
      <c r="F308" s="28"/>
    </row>
    <row r="309" spans="1:6">
      <c r="A309" s="1">
        <v>306</v>
      </c>
      <c r="B309" s="28">
        <f>Data!D310/Data!D309</f>
        <v>0.98377419458975857</v>
      </c>
      <c r="C309" s="28">
        <f>Data!H310/Data!H309</f>
        <v>0.97052365037459942</v>
      </c>
      <c r="D309" s="28">
        <f>Data!L310/Data!L309</f>
        <v>0.98012893652021782</v>
      </c>
      <c r="E309" s="28">
        <f>Data!P310/Data!P309</f>
        <v>0.99107683825494808</v>
      </c>
      <c r="F309" s="28"/>
    </row>
    <row r="310" spans="1:6">
      <c r="A310" s="1">
        <v>307</v>
      </c>
      <c r="B310" s="28">
        <f>Data!D311/Data!D310</f>
        <v>0.99565592419431459</v>
      </c>
      <c r="C310" s="28">
        <f>Data!H311/Data!H310</f>
        <v>1.0243446494208028</v>
      </c>
      <c r="D310" s="28">
        <f>Data!L311/Data!L310</f>
        <v>1.0152286291290278</v>
      </c>
      <c r="E310" s="28">
        <f>Data!P311/Data!P310</f>
        <v>1.0215612625441386</v>
      </c>
      <c r="F310" s="28"/>
    </row>
    <row r="311" spans="1:6">
      <c r="A311" s="1">
        <v>308</v>
      </c>
      <c r="B311" s="28">
        <f>Data!D312/Data!D311</f>
        <v>1.0168714256119227</v>
      </c>
      <c r="C311" s="28">
        <f>Data!H312/Data!H311</f>
        <v>0.99452137461971046</v>
      </c>
      <c r="D311" s="28">
        <f>Data!L312/Data!L311</f>
        <v>0.99704230492282919</v>
      </c>
      <c r="E311" s="28">
        <f>Data!P312/Data!P311</f>
        <v>1.0029186370931247</v>
      </c>
      <c r="F311" s="28"/>
    </row>
    <row r="312" spans="1:6">
      <c r="A312" s="1">
        <v>309</v>
      </c>
      <c r="B312" s="28">
        <f>Data!D313/Data!D312</f>
        <v>1.0255439697988338</v>
      </c>
      <c r="C312" s="28">
        <f>Data!H313/Data!H312</f>
        <v>1.0276459483324565</v>
      </c>
      <c r="D312" s="28">
        <f>Data!L313/Data!L312</f>
        <v>1.0162795940795284</v>
      </c>
      <c r="E312" s="28">
        <f>Data!P313/Data!P312</f>
        <v>0.9828791368159856</v>
      </c>
      <c r="F312" s="28"/>
    </row>
    <row r="313" spans="1:6">
      <c r="A313" s="1">
        <v>310</v>
      </c>
      <c r="B313" s="28">
        <f>Data!D314/Data!D313</f>
        <v>1.0016765178393385</v>
      </c>
      <c r="C313" s="28">
        <f>Data!H314/Data!H313</f>
        <v>1.0025737904278058</v>
      </c>
      <c r="D313" s="28">
        <f>Data!L314/Data!L313</f>
        <v>1.0075273901437296</v>
      </c>
      <c r="E313" s="28">
        <f>Data!P314/Data!P313</f>
        <v>1.0264609179218889</v>
      </c>
      <c r="F313" s="28"/>
    </row>
    <row r="314" spans="1:6">
      <c r="A314" s="1">
        <v>311</v>
      </c>
      <c r="B314" s="28">
        <f>Data!D315/Data!D314</f>
        <v>1.0045065517404574</v>
      </c>
      <c r="C314" s="28">
        <f>Data!H315/Data!H314</f>
        <v>1.0099919291829955</v>
      </c>
      <c r="D314" s="28">
        <f>Data!L315/Data!L314</f>
        <v>1.0066982587958895</v>
      </c>
      <c r="E314" s="28">
        <f>Data!P315/Data!P314</f>
        <v>0.99973001851139398</v>
      </c>
      <c r="F314" s="28"/>
    </row>
    <row r="315" spans="1:6">
      <c r="A315" s="1">
        <v>312</v>
      </c>
      <c r="B315" s="28">
        <f>Data!D316/Data!D315</f>
        <v>0.99572605468855169</v>
      </c>
      <c r="C315" s="28">
        <f>Data!H316/Data!H315</f>
        <v>0.99827269724719125</v>
      </c>
      <c r="D315" s="28">
        <f>Data!L316/Data!L315</f>
        <v>0.99144039893068514</v>
      </c>
      <c r="E315" s="28">
        <f>Data!P316/Data!P315</f>
        <v>1.0004021251364463</v>
      </c>
      <c r="F315" s="28"/>
    </row>
    <row r="316" spans="1:6">
      <c r="A316" s="1">
        <v>313</v>
      </c>
      <c r="B316" s="28">
        <f>Data!D317/Data!D316</f>
        <v>0.99505504120673816</v>
      </c>
      <c r="C316" s="28">
        <f>Data!H317/Data!H316</f>
        <v>0.98470683466104258</v>
      </c>
      <c r="D316" s="28">
        <f>Data!L317/Data!L316</f>
        <v>0.99164072600504261</v>
      </c>
      <c r="E316" s="28">
        <f>Data!P317/Data!P316</f>
        <v>0.99816074341391636</v>
      </c>
      <c r="F316" s="28"/>
    </row>
    <row r="317" spans="1:6">
      <c r="A317" s="1">
        <v>314</v>
      </c>
      <c r="B317" s="28">
        <f>Data!D318/Data!D317</f>
        <v>1.0148112309632698</v>
      </c>
      <c r="C317" s="28">
        <f>Data!H318/Data!H317</f>
        <v>1.0127471222778417</v>
      </c>
      <c r="D317" s="28">
        <f>Data!L318/Data!L317</f>
        <v>1.0134367570840042</v>
      </c>
      <c r="E317" s="28">
        <f>Data!P318/Data!P317</f>
        <v>0.99640578366820431</v>
      </c>
      <c r="F317" s="28"/>
    </row>
    <row r="318" spans="1:6">
      <c r="A318" s="1">
        <v>315</v>
      </c>
      <c r="B318" s="28">
        <f>Data!D319/Data!D318</f>
        <v>1.0130108233866073</v>
      </c>
      <c r="C318" s="28">
        <f>Data!H319/Data!H318</f>
        <v>0.99765360055321073</v>
      </c>
      <c r="D318" s="28">
        <f>Data!L319/Data!L318</f>
        <v>1.0002502365505059</v>
      </c>
      <c r="E318" s="28">
        <f>Data!P319/Data!P318</f>
        <v>1.0130633723924438</v>
      </c>
      <c r="F318" s="28"/>
    </row>
    <row r="319" spans="1:6">
      <c r="A319" s="1">
        <v>316</v>
      </c>
      <c r="B319" s="28">
        <f>Data!D320/Data!D319</f>
        <v>1.0004177713623239</v>
      </c>
      <c r="C319" s="28">
        <f>Data!H320/Data!H319</f>
        <v>1.0127311317904406</v>
      </c>
      <c r="D319" s="28">
        <f>Data!L320/Data!L319</f>
        <v>1.0099970335775164</v>
      </c>
      <c r="E319" s="28">
        <f>Data!P320/Data!P319</f>
        <v>1.0023934951754376</v>
      </c>
      <c r="F319" s="28"/>
    </row>
    <row r="320" spans="1:6">
      <c r="A320" s="1">
        <v>317</v>
      </c>
      <c r="B320" s="28">
        <f>Data!D321/Data!D320</f>
        <v>1.0074455546112533</v>
      </c>
      <c r="C320" s="28">
        <f>Data!H321/Data!H320</f>
        <v>1.0098436639109059</v>
      </c>
      <c r="D320" s="28">
        <f>Data!L321/Data!L320</f>
        <v>1.009916575806405</v>
      </c>
      <c r="E320" s="28">
        <f>Data!P321/Data!P320</f>
        <v>0.99763843240222772</v>
      </c>
      <c r="F320" s="28"/>
    </row>
    <row r="321" spans="1:6">
      <c r="A321" s="1">
        <v>318</v>
      </c>
      <c r="B321" s="28">
        <f>Data!D322/Data!D321</f>
        <v>0.97856346201618261</v>
      </c>
      <c r="C321" s="28">
        <f>Data!H322/Data!H321</f>
        <v>0.99215561805385744</v>
      </c>
      <c r="D321" s="28">
        <f>Data!L322/Data!L321</f>
        <v>0.99398855436474409</v>
      </c>
      <c r="E321" s="28">
        <f>Data!P322/Data!P321</f>
        <v>1.0084590807624061</v>
      </c>
      <c r="F321" s="28"/>
    </row>
    <row r="322" spans="1:6">
      <c r="A322" s="1">
        <v>319</v>
      </c>
      <c r="B322" s="28">
        <f>Data!D323/Data!D322</f>
        <v>1.0030619150033835</v>
      </c>
      <c r="C322" s="28">
        <f>Data!H323/Data!H322</f>
        <v>1.0067514098164019</v>
      </c>
      <c r="D322" s="28">
        <f>Data!L323/Data!L322</f>
        <v>1.0023584031187214</v>
      </c>
      <c r="E322" s="28">
        <f>Data!P323/Data!P322</f>
        <v>0.98741721061497001</v>
      </c>
      <c r="F322" s="28"/>
    </row>
    <row r="323" spans="1:6">
      <c r="A323" s="1">
        <v>320</v>
      </c>
      <c r="B323" s="28">
        <f>Data!D324/Data!D323</f>
        <v>1.0032700257534937</v>
      </c>
      <c r="C323" s="28">
        <f>Data!H324/Data!H323</f>
        <v>0.96643522563446049</v>
      </c>
      <c r="D323" s="28">
        <f>Data!L324/Data!L323</f>
        <v>0.96848700579578773</v>
      </c>
      <c r="E323" s="28">
        <f>Data!P324/Data!P323</f>
        <v>0.97603068080980615</v>
      </c>
      <c r="F323" s="28"/>
    </row>
    <row r="324" spans="1:6">
      <c r="A324" s="1">
        <v>321</v>
      </c>
      <c r="B324" s="28">
        <f>Data!D325/Data!D324</f>
        <v>0.98682419536675658</v>
      </c>
      <c r="C324" s="28">
        <f>Data!H325/Data!H324</f>
        <v>0.99622548634121233</v>
      </c>
      <c r="D324" s="28">
        <f>Data!L325/Data!L324</f>
        <v>0.99100569228466362</v>
      </c>
      <c r="E324" s="28">
        <f>Data!P325/Data!P324</f>
        <v>0.98783641059675631</v>
      </c>
      <c r="F324" s="28"/>
    </row>
    <row r="325" spans="1:6">
      <c r="A325" s="1">
        <v>322</v>
      </c>
      <c r="B325" s="28">
        <f>Data!D326/Data!D325</f>
        <v>0.98705757560992069</v>
      </c>
      <c r="C325" s="28">
        <f>Data!H326/Data!H325</f>
        <v>0.97917962046045992</v>
      </c>
      <c r="D325" s="28">
        <f>Data!L326/Data!L325</f>
        <v>0.97975654009893587</v>
      </c>
      <c r="E325" s="28">
        <f>Data!P326/Data!P325</f>
        <v>0.98397887814859442</v>
      </c>
      <c r="F325" s="28"/>
    </row>
    <row r="326" spans="1:6">
      <c r="A326" s="1">
        <v>323</v>
      </c>
      <c r="B326" s="28">
        <f>Data!D327/Data!D326</f>
        <v>1.0049570143994166</v>
      </c>
      <c r="C326" s="28">
        <f>Data!H327/Data!H326</f>
        <v>1.0016784156043548</v>
      </c>
      <c r="D326" s="28">
        <f>Data!L327/Data!L326</f>
        <v>1.0008714036031157</v>
      </c>
      <c r="E326" s="28">
        <f>Data!P327/Data!P326</f>
        <v>0.99751471958521598</v>
      </c>
      <c r="F326" s="28"/>
    </row>
    <row r="327" spans="1:6">
      <c r="A327" s="1">
        <v>324</v>
      </c>
      <c r="B327" s="28">
        <f>Data!D328/Data!D327</f>
        <v>0.9980955936420034</v>
      </c>
      <c r="C327" s="28">
        <f>Data!H328/Data!H327</f>
        <v>0.99358724042027946</v>
      </c>
      <c r="D327" s="28">
        <f>Data!L328/Data!L327</f>
        <v>0.99682595836108812</v>
      </c>
      <c r="E327" s="28">
        <f>Data!P328/Data!P327</f>
        <v>0.98694341737737357</v>
      </c>
      <c r="F327" s="28"/>
    </row>
    <row r="328" spans="1:6">
      <c r="A328" s="1">
        <v>325</v>
      </c>
      <c r="B328" s="28">
        <f>Data!D329/Data!D328</f>
        <v>1.0029052181109344</v>
      </c>
      <c r="C328" s="28">
        <f>Data!H329/Data!H328</f>
        <v>0.99858383639053971</v>
      </c>
      <c r="D328" s="28">
        <f>Data!L329/Data!L328</f>
        <v>0.99938857408379889</v>
      </c>
      <c r="E328" s="28">
        <f>Data!P329/Data!P328</f>
        <v>1.0041468558805611</v>
      </c>
      <c r="F328" s="28"/>
    </row>
    <row r="329" spans="1:6">
      <c r="A329" s="1">
        <v>326</v>
      </c>
      <c r="B329" s="28">
        <f>Data!D330/Data!D329</f>
        <v>1.0154775458188505</v>
      </c>
      <c r="C329" s="28">
        <f>Data!H330/Data!H329</f>
        <v>1.0153795948815831</v>
      </c>
      <c r="D329" s="28">
        <f>Data!L330/Data!L329</f>
        <v>1.0186145531710253</v>
      </c>
      <c r="E329" s="28">
        <f>Data!P330/Data!P329</f>
        <v>1.0059962618357401</v>
      </c>
      <c r="F329" s="28"/>
    </row>
    <row r="330" spans="1:6">
      <c r="A330" s="1">
        <v>327</v>
      </c>
      <c r="B330" s="28">
        <f>Data!D331/Data!D330</f>
        <v>0.99323155386542661</v>
      </c>
      <c r="C330" s="28">
        <f>Data!H331/Data!H330</f>
        <v>1.0119872610824228</v>
      </c>
      <c r="D330" s="28">
        <f>Data!L331/Data!L330</f>
        <v>1.0181653548800511</v>
      </c>
      <c r="E330" s="28">
        <f>Data!P331/Data!P330</f>
        <v>1.0180224262287916</v>
      </c>
      <c r="F330" s="28"/>
    </row>
    <row r="331" spans="1:6">
      <c r="A331" s="1">
        <v>328</v>
      </c>
      <c r="B331" s="28">
        <f>Data!D332/Data!D331</f>
        <v>1.0004685765527586</v>
      </c>
      <c r="C331" s="28">
        <f>Data!H332/Data!H331</f>
        <v>0.99913987044786789</v>
      </c>
      <c r="D331" s="28">
        <f>Data!L332/Data!L331</f>
        <v>1.0092220941556533</v>
      </c>
      <c r="E331" s="28">
        <f>Data!P332/Data!P331</f>
        <v>0.99244834005687366</v>
      </c>
      <c r="F331" s="28"/>
    </row>
    <row r="332" spans="1:6">
      <c r="A332" s="1">
        <v>329</v>
      </c>
      <c r="B332" s="28">
        <f>Data!D333/Data!D332</f>
        <v>0.9576765298480383</v>
      </c>
      <c r="C332" s="28">
        <f>Data!H333/Data!H332</f>
        <v>0.9710767749124084</v>
      </c>
      <c r="D332" s="28">
        <f>Data!L333/Data!L332</f>
        <v>0.97265057176499004</v>
      </c>
      <c r="E332" s="28">
        <f>Data!P333/Data!P332</f>
        <v>1.0031858450351838</v>
      </c>
      <c r="F332" s="28"/>
    </row>
    <row r="333" spans="1:6">
      <c r="A333" s="1">
        <v>330</v>
      </c>
      <c r="B333" s="28">
        <f>Data!D334/Data!D333</f>
        <v>1.0021335637467599</v>
      </c>
      <c r="C333" s="28">
        <f>Data!H334/Data!H333</f>
        <v>0.99853978367380647</v>
      </c>
      <c r="D333" s="28">
        <f>Data!L334/Data!L333</f>
        <v>0.99727776023044201</v>
      </c>
      <c r="E333" s="28">
        <f>Data!P334/Data!P333</f>
        <v>0.98283149685326476</v>
      </c>
      <c r="F333" s="28"/>
    </row>
    <row r="334" spans="1:6">
      <c r="A334" s="1">
        <v>331</v>
      </c>
      <c r="B334" s="28">
        <f>Data!D335/Data!D334</f>
        <v>0.98141335522382012</v>
      </c>
      <c r="C334" s="28">
        <f>Data!H335/Data!H334</f>
        <v>1.0022672581045295</v>
      </c>
      <c r="D334" s="28">
        <f>Data!L335/Data!L334</f>
        <v>1.0075598680140407</v>
      </c>
      <c r="E334" s="28">
        <f>Data!P335/Data!P334</f>
        <v>0.99262396906791539</v>
      </c>
      <c r="F334" s="28"/>
    </row>
    <row r="335" spans="1:6">
      <c r="A335" s="1">
        <v>332</v>
      </c>
      <c r="B335" s="28">
        <f>Data!D336/Data!D335</f>
        <v>1.0116164259949305</v>
      </c>
      <c r="C335" s="28">
        <f>Data!H336/Data!H335</f>
        <v>0.97921613108127747</v>
      </c>
      <c r="D335" s="28">
        <f>Data!L336/Data!L335</f>
        <v>0.98599006201379968</v>
      </c>
      <c r="E335" s="28">
        <f>Data!P336/Data!P335</f>
        <v>1.0064112603559707</v>
      </c>
      <c r="F335" s="28"/>
    </row>
    <row r="336" spans="1:6">
      <c r="A336" s="1">
        <v>333</v>
      </c>
      <c r="B336" s="28">
        <f>Data!D337/Data!D336</f>
        <v>1.0092483025540799</v>
      </c>
      <c r="C336" s="28">
        <f>Data!H337/Data!H336</f>
        <v>0.99162368957252478</v>
      </c>
      <c r="D336" s="28">
        <f>Data!L337/Data!L336</f>
        <v>0.99810141614660997</v>
      </c>
      <c r="E336" s="28">
        <f>Data!P337/Data!P336</f>
        <v>0.98608381140657786</v>
      </c>
      <c r="F336" s="28"/>
    </row>
    <row r="337" spans="1:6">
      <c r="A337" s="1">
        <v>334</v>
      </c>
      <c r="B337" s="28">
        <f>Data!D338/Data!D337</f>
        <v>0.98079916969382452</v>
      </c>
      <c r="C337" s="28">
        <f>Data!H338/Data!H337</f>
        <v>0.99708079476081268</v>
      </c>
      <c r="D337" s="28">
        <f>Data!L338/Data!L337</f>
        <v>0.99845183980363938</v>
      </c>
      <c r="E337" s="28">
        <f>Data!P338/Data!P337</f>
        <v>0.98486383536908173</v>
      </c>
      <c r="F337" s="28"/>
    </row>
    <row r="338" spans="1:6">
      <c r="A338" s="1">
        <v>335</v>
      </c>
      <c r="B338" s="28">
        <f>Data!D339/Data!D338</f>
        <v>0.99165575942187645</v>
      </c>
      <c r="C338" s="28">
        <f>Data!H339/Data!H338</f>
        <v>0.9780567726487791</v>
      </c>
      <c r="D338" s="28">
        <f>Data!L339/Data!L338</f>
        <v>0.98161551952028925</v>
      </c>
      <c r="E338" s="28">
        <f>Data!P339/Data!P338</f>
        <v>1.0106026538383905</v>
      </c>
      <c r="F338" s="28"/>
    </row>
    <row r="339" spans="1:6">
      <c r="A339" s="1">
        <v>336</v>
      </c>
      <c r="B339" s="28">
        <f>Data!D340/Data!D339</f>
        <v>0.99720424826275422</v>
      </c>
      <c r="C339" s="28">
        <f>Data!H340/Data!H339</f>
        <v>0.98302332909867607</v>
      </c>
      <c r="D339" s="28">
        <f>Data!L340/Data!L339</f>
        <v>0.98375867351417001</v>
      </c>
      <c r="E339" s="28">
        <f>Data!P340/Data!P339</f>
        <v>0.96631643522765043</v>
      </c>
      <c r="F339" s="28"/>
    </row>
    <row r="340" spans="1:6">
      <c r="A340" s="1">
        <v>337</v>
      </c>
      <c r="B340" s="28">
        <f>Data!D341/Data!D340</f>
        <v>0.97537734153901434</v>
      </c>
      <c r="C340" s="28">
        <f>Data!H341/Data!H340</f>
        <v>0.99925070677512795</v>
      </c>
      <c r="D340" s="28">
        <f>Data!L341/Data!L340</f>
        <v>0.98721913748316603</v>
      </c>
      <c r="E340" s="28">
        <f>Data!P341/Data!P340</f>
        <v>1.017892416528366</v>
      </c>
      <c r="F340" s="28"/>
    </row>
    <row r="341" spans="1:6">
      <c r="A341" s="1">
        <v>338</v>
      </c>
      <c r="B341" s="28">
        <f>Data!D342/Data!D341</f>
        <v>0.99507287068814509</v>
      </c>
      <c r="C341" s="28">
        <f>Data!H342/Data!H341</f>
        <v>0.98819782865915362</v>
      </c>
      <c r="D341" s="28">
        <f>Data!L342/Data!L341</f>
        <v>0.98326768419686439</v>
      </c>
      <c r="E341" s="28">
        <f>Data!P342/Data!P341</f>
        <v>1.0062108981692519</v>
      </c>
      <c r="F341" s="28"/>
    </row>
    <row r="342" spans="1:6">
      <c r="A342" s="1">
        <v>339</v>
      </c>
      <c r="B342" s="28">
        <f>Data!D343/Data!D342</f>
        <v>0.98941178415280229</v>
      </c>
      <c r="C342" s="28">
        <f>Data!H343/Data!H342</f>
        <v>0.97610271802937487</v>
      </c>
      <c r="D342" s="28">
        <f>Data!L343/Data!L342</f>
        <v>0.950239801729172</v>
      </c>
      <c r="E342" s="28">
        <f>Data!P343/Data!P342</f>
        <v>0.90918491614918895</v>
      </c>
      <c r="F342" s="28"/>
    </row>
    <row r="343" spans="1:6">
      <c r="A343" s="1">
        <v>340</v>
      </c>
      <c r="B343" s="28">
        <f>Data!D344/Data!D343</f>
        <v>1.0249749607181908</v>
      </c>
      <c r="C343" s="28">
        <f>Data!H344/Data!H343</f>
        <v>0.971581307417832</v>
      </c>
      <c r="D343" s="28">
        <f>Data!L344/Data!L343</f>
        <v>0.95360327371354536</v>
      </c>
      <c r="E343" s="28">
        <f>Data!P344/Data!P343</f>
        <v>1.0308809994802743</v>
      </c>
      <c r="F343" s="28"/>
    </row>
    <row r="344" spans="1:6">
      <c r="A344" s="1">
        <v>341</v>
      </c>
      <c r="B344" s="28">
        <f>Data!D345/Data!D344</f>
        <v>1.0088376933652916</v>
      </c>
      <c r="C344" s="28">
        <f>Data!H345/Data!H344</f>
        <v>1.0593852137260764</v>
      </c>
      <c r="D344" s="28">
        <f>Data!L345/Data!L344</f>
        <v>1.0712975350662388</v>
      </c>
      <c r="E344" s="28">
        <f>Data!P345/Data!P344</f>
        <v>1.0115630827017876</v>
      </c>
      <c r="F344" s="28"/>
    </row>
    <row r="345" spans="1:6">
      <c r="A345" s="1">
        <v>342</v>
      </c>
      <c r="B345" s="28">
        <f>Data!D346/Data!D345</f>
        <v>0.98615030282075289</v>
      </c>
      <c r="C345" s="28">
        <f>Data!H346/Data!H345</f>
        <v>1.0047194481733195</v>
      </c>
      <c r="D345" s="28">
        <f>Data!L346/Data!L345</f>
        <v>0.99156271692581854</v>
      </c>
      <c r="E345" s="28">
        <f>Data!P346/Data!P345</f>
        <v>1.0348556918346923</v>
      </c>
      <c r="F345" s="28"/>
    </row>
    <row r="346" spans="1:6">
      <c r="A346" s="1">
        <v>343</v>
      </c>
      <c r="B346" s="28">
        <f>Data!D347/Data!D346</f>
        <v>1.0144767378516069</v>
      </c>
      <c r="C346" s="28">
        <f>Data!H347/Data!H346</f>
        <v>0.98844090496479842</v>
      </c>
      <c r="D346" s="28">
        <f>Data!L347/Data!L346</f>
        <v>1.0005040797243243</v>
      </c>
      <c r="E346" s="28">
        <f>Data!P347/Data!P346</f>
        <v>0.96487342573509116</v>
      </c>
      <c r="F346" s="28"/>
    </row>
    <row r="347" spans="1:6">
      <c r="A347" s="1">
        <v>344</v>
      </c>
      <c r="B347" s="28">
        <f>Data!D348/Data!D347</f>
        <v>1.0077851143703633</v>
      </c>
      <c r="C347" s="28">
        <f>Data!H348/Data!H347</f>
        <v>1.0166352847691271</v>
      </c>
      <c r="D347" s="28">
        <f>Data!L348/Data!L347</f>
        <v>1.0172563683150933</v>
      </c>
      <c r="E347" s="28">
        <f>Data!P348/Data!P347</f>
        <v>1.0286188980452533</v>
      </c>
      <c r="F347" s="28"/>
    </row>
    <row r="348" spans="1:6">
      <c r="A348" s="1">
        <v>345</v>
      </c>
      <c r="B348" s="28">
        <f>Data!D349/Data!D348</f>
        <v>0.99699766832528069</v>
      </c>
      <c r="C348" s="28">
        <f>Data!H349/Data!H348</f>
        <v>0.99240992140924855</v>
      </c>
      <c r="D348" s="28">
        <f>Data!L349/Data!L348</f>
        <v>0.98757563114940961</v>
      </c>
      <c r="E348" s="28">
        <f>Data!P349/Data!P348</f>
        <v>0.98610530059926427</v>
      </c>
      <c r="F348" s="28"/>
    </row>
    <row r="349" spans="1:6">
      <c r="A349" s="1">
        <v>346</v>
      </c>
      <c r="B349" s="28">
        <f>Data!D350/Data!D349</f>
        <v>1.0166786816182494</v>
      </c>
      <c r="C349" s="28">
        <f>Data!H350/Data!H349</f>
        <v>1.0071287974480885</v>
      </c>
      <c r="D349" s="28">
        <f>Data!L350/Data!L349</f>
        <v>1.0005558980125071</v>
      </c>
      <c r="E349" s="28">
        <f>Data!P350/Data!P349</f>
        <v>1.028409096813387</v>
      </c>
      <c r="F349" s="28"/>
    </row>
    <row r="350" spans="1:6">
      <c r="A350" s="1">
        <v>347</v>
      </c>
      <c r="B350" s="28">
        <f>Data!D351/Data!D350</f>
        <v>1.0073381310887595</v>
      </c>
      <c r="C350" s="28">
        <f>Data!H351/Data!H350</f>
        <v>1.0153003780162067</v>
      </c>
      <c r="D350" s="28">
        <f>Data!L351/Data!L350</f>
        <v>1.023445245336388</v>
      </c>
      <c r="E350" s="28">
        <f>Data!P351/Data!P350</f>
        <v>0.99364223327976708</v>
      </c>
      <c r="F350" s="28"/>
    </row>
    <row r="351" spans="1:6">
      <c r="A351" s="1">
        <v>348</v>
      </c>
      <c r="B351" s="28">
        <f>Data!D352/Data!D351</f>
        <v>0.99152253085765807</v>
      </c>
      <c r="C351" s="28">
        <f>Data!H352/Data!H351</f>
        <v>1.0031072509668295</v>
      </c>
      <c r="D351" s="28">
        <f>Data!L352/Data!L351</f>
        <v>0.99866798829309811</v>
      </c>
      <c r="E351" s="28">
        <f>Data!P352/Data!P351</f>
        <v>1.0217636678705633</v>
      </c>
      <c r="F351" s="28"/>
    </row>
    <row r="352" spans="1:6">
      <c r="A352" s="1">
        <v>349</v>
      </c>
      <c r="B352" s="28">
        <f>Data!D353/Data!D352</f>
        <v>0.97071426084038503</v>
      </c>
      <c r="C352" s="28">
        <f>Data!H353/Data!H352</f>
        <v>0.9682771961231319</v>
      </c>
      <c r="D352" s="28">
        <f>Data!L353/Data!L352</f>
        <v>0.94918415862949901</v>
      </c>
      <c r="E352" s="28">
        <f>Data!P353/Data!P352</f>
        <v>0.9904616822174761</v>
      </c>
      <c r="F352" s="28"/>
    </row>
    <row r="353" spans="1:6">
      <c r="A353" s="1">
        <v>350</v>
      </c>
      <c r="B353" s="28">
        <f>Data!D354/Data!D353</f>
        <v>0.99469797711071972</v>
      </c>
      <c r="C353" s="28">
        <f>Data!H354/Data!H353</f>
        <v>0.99901861100996847</v>
      </c>
      <c r="D353" s="28">
        <f>Data!L354/Data!L353</f>
        <v>1.0093182761389325</v>
      </c>
      <c r="E353" s="28">
        <f>Data!P354/Data!P353</f>
        <v>0.95459094109168219</v>
      </c>
      <c r="F353" s="28"/>
    </row>
    <row r="354" spans="1:6">
      <c r="A354" s="1">
        <v>351</v>
      </c>
      <c r="B354" s="28">
        <f>Data!D355/Data!D354</f>
        <v>1.0038442307849935</v>
      </c>
      <c r="C354" s="28">
        <f>Data!H355/Data!H354</f>
        <v>0.96500408508875257</v>
      </c>
      <c r="D354" s="28">
        <f>Data!L355/Data!L354</f>
        <v>0.97038414845600018</v>
      </c>
      <c r="E354" s="28">
        <f>Data!P355/Data!P354</f>
        <v>1.0093726465802066</v>
      </c>
      <c r="F354" s="28"/>
    </row>
    <row r="355" spans="1:6">
      <c r="A355" s="1">
        <v>352</v>
      </c>
      <c r="B355" s="28">
        <f>Data!D356/Data!D355</f>
        <v>0.99470319261860041</v>
      </c>
      <c r="C355" s="28">
        <f>Data!H356/Data!H355</f>
        <v>1.0129625853381736</v>
      </c>
      <c r="D355" s="28">
        <f>Data!L356/Data!L355</f>
        <v>0.99657092433765171</v>
      </c>
      <c r="E355" s="28">
        <f>Data!P356/Data!P355</f>
        <v>0.97800721804335489</v>
      </c>
      <c r="F355" s="28"/>
    </row>
    <row r="356" spans="1:6">
      <c r="A356" s="1">
        <v>353</v>
      </c>
      <c r="B356" s="28">
        <f>Data!D357/Data!D356</f>
        <v>1.0157016876359062</v>
      </c>
      <c r="C356" s="28">
        <f>Data!H357/Data!H356</f>
        <v>1.0291336873862673</v>
      </c>
      <c r="D356" s="28">
        <f>Data!L357/Data!L356</f>
        <v>1.034577168926855</v>
      </c>
      <c r="E356" s="28">
        <f>Data!P357/Data!P356</f>
        <v>1.0005488313057309</v>
      </c>
      <c r="F356" s="28"/>
    </row>
    <row r="357" spans="1:6">
      <c r="A357" s="1">
        <v>354</v>
      </c>
      <c r="B357" s="28">
        <f>Data!D358/Data!D357</f>
        <v>1.0144527660523655</v>
      </c>
      <c r="C357" s="28">
        <f>Data!H358/Data!H357</f>
        <v>0.99610807266447576</v>
      </c>
      <c r="D357" s="28">
        <f>Data!L358/Data!L357</f>
        <v>1.0011355452660433</v>
      </c>
      <c r="E357" s="28">
        <f>Data!P358/Data!P357</f>
        <v>0.9960486034408097</v>
      </c>
      <c r="F357" s="28"/>
    </row>
    <row r="358" spans="1:6">
      <c r="A358" s="1">
        <v>355</v>
      </c>
      <c r="B358" s="28">
        <f>Data!D359/Data!D358</f>
        <v>0.98603755186325304</v>
      </c>
      <c r="C358" s="28">
        <f>Data!H359/Data!H358</f>
        <v>1.0044997872591481</v>
      </c>
      <c r="D358" s="28">
        <f>Data!L359/Data!L358</f>
        <v>1.0046199460227776</v>
      </c>
      <c r="E358" s="28">
        <f>Data!P359/Data!P358</f>
        <v>1.0433849910107154</v>
      </c>
      <c r="F358" s="28"/>
    </row>
    <row r="359" spans="1:6">
      <c r="A359" s="1">
        <v>356</v>
      </c>
      <c r="B359" s="28">
        <f>Data!D360/Data!D359</f>
        <v>0.99767552343140242</v>
      </c>
      <c r="C359" s="28">
        <f>Data!H360/Data!H359</f>
        <v>0.97990973838396067</v>
      </c>
      <c r="D359" s="28">
        <f>Data!L360/Data!L359</f>
        <v>0.98673960671926819</v>
      </c>
      <c r="E359" s="28">
        <f>Data!P360/Data!P359</f>
        <v>1.0048236410991647</v>
      </c>
      <c r="F359" s="28"/>
    </row>
    <row r="360" spans="1:6">
      <c r="A360" s="1">
        <v>357</v>
      </c>
      <c r="B360" s="28">
        <f>Data!D361/Data!D360</f>
        <v>0.99910999246044574</v>
      </c>
      <c r="C360" s="28">
        <f>Data!H361/Data!H360</f>
        <v>1.0249395380309148</v>
      </c>
      <c r="D360" s="28">
        <f>Data!L361/Data!L360</f>
        <v>1.0276731131455534</v>
      </c>
      <c r="E360" s="28">
        <f>Data!P361/Data!P360</f>
        <v>1.0106870247893462</v>
      </c>
      <c r="F360" s="28"/>
    </row>
    <row r="361" spans="1:6">
      <c r="A361" s="1">
        <v>358</v>
      </c>
      <c r="B361" s="28">
        <f>Data!D362/Data!D361</f>
        <v>1.0072982406085003</v>
      </c>
      <c r="C361" s="28">
        <f>Data!H362/Data!H361</f>
        <v>0.98229940238732949</v>
      </c>
      <c r="D361" s="28">
        <f>Data!L362/Data!L361</f>
        <v>0.97856177621445728</v>
      </c>
      <c r="E361" s="28">
        <f>Data!P362/Data!P361</f>
        <v>0.96308211992776493</v>
      </c>
      <c r="F361" s="28"/>
    </row>
    <row r="362" spans="1:6">
      <c r="A362" s="1">
        <v>359</v>
      </c>
      <c r="B362" s="28">
        <f>Data!D363/Data!D362</f>
        <v>0.9884962574211853</v>
      </c>
      <c r="C362" s="28">
        <f>Data!H363/Data!H362</f>
        <v>1.0166118600960818</v>
      </c>
      <c r="D362" s="28">
        <f>Data!L363/Data!L362</f>
        <v>1.0194213899661981</v>
      </c>
      <c r="E362" s="28">
        <f>Data!P363/Data!P362</f>
        <v>1.0333662337384988</v>
      </c>
      <c r="F362" s="28"/>
    </row>
    <row r="363" spans="1:6">
      <c r="A363" s="1">
        <v>360</v>
      </c>
      <c r="B363" s="28">
        <f>Data!D364/Data!D363</f>
        <v>1.0078734645034719</v>
      </c>
      <c r="C363" s="28">
        <f>Data!H364/Data!H363</f>
        <v>0.99607725460974328</v>
      </c>
      <c r="D363" s="28">
        <f>Data!L364/Data!L363</f>
        <v>0.99455884203661948</v>
      </c>
      <c r="E363" s="28">
        <f>Data!P364/Data!P363</f>
        <v>0.9913503259405998</v>
      </c>
      <c r="F363" s="28"/>
    </row>
    <row r="364" spans="1:6">
      <c r="A364" s="1">
        <v>361</v>
      </c>
      <c r="B364" s="28">
        <f>Data!D365/Data!D364</f>
        <v>1.0152814550012841</v>
      </c>
      <c r="C364" s="28">
        <f>Data!H365/Data!H364</f>
        <v>1.0194201282255122</v>
      </c>
      <c r="D364" s="28">
        <f>Data!L365/Data!L364</f>
        <v>1.0206893390480842</v>
      </c>
      <c r="E364" s="28">
        <f>Data!P365/Data!P364</f>
        <v>1.0198988472579131</v>
      </c>
      <c r="F364" s="28"/>
    </row>
    <row r="365" spans="1:6">
      <c r="A365" s="1">
        <v>362</v>
      </c>
      <c r="B365" s="28">
        <f>Data!D366/Data!D365</f>
        <v>1.0091247408557686</v>
      </c>
      <c r="C365" s="28">
        <f>Data!H366/Data!H365</f>
        <v>1.0168683052635603</v>
      </c>
      <c r="D365" s="28">
        <f>Data!L366/Data!L365</f>
        <v>1.0143986949474395</v>
      </c>
      <c r="E365" s="28">
        <f>Data!P366/Data!P365</f>
        <v>0.99760366686194735</v>
      </c>
      <c r="F365" s="28"/>
    </row>
    <row r="366" spans="1:6">
      <c r="A366" s="1">
        <v>363</v>
      </c>
      <c r="B366" s="28">
        <f>Data!D367/Data!D366</f>
        <v>1.0007378840386854</v>
      </c>
      <c r="C366" s="28">
        <f>Data!H367/Data!H366</f>
        <v>1.0064594990651292</v>
      </c>
      <c r="D366" s="28">
        <f>Data!L367/Data!L366</f>
        <v>1.0136257651828693</v>
      </c>
      <c r="E366" s="28">
        <f>Data!P367/Data!P366</f>
        <v>1.0257096528109204</v>
      </c>
      <c r="F366" s="28"/>
    </row>
    <row r="367" spans="1:6">
      <c r="A367" s="1">
        <v>364</v>
      </c>
      <c r="B367" s="28">
        <f>Data!D368/Data!D367</f>
        <v>0.99116925103274856</v>
      </c>
      <c r="C367" s="28">
        <f>Data!H368/Data!H367</f>
        <v>0.9823089131302819</v>
      </c>
      <c r="D367" s="28">
        <f>Data!L368/Data!L367</f>
        <v>0.98450254915335089</v>
      </c>
      <c r="E367" s="28">
        <f>Data!P368/Data!P367</f>
        <v>0.99949782324643954</v>
      </c>
      <c r="F367" s="28"/>
    </row>
    <row r="368" spans="1:6">
      <c r="A368" s="1">
        <v>365</v>
      </c>
      <c r="B368" s="28">
        <f>Data!D369/Data!D368</f>
        <v>0.97490180556946404</v>
      </c>
      <c r="C368" s="28">
        <f>Data!H369/Data!H368</f>
        <v>0.98615702907276015</v>
      </c>
      <c r="D368" s="28">
        <f>Data!L369/Data!L368</f>
        <v>0.98467287260828373</v>
      </c>
      <c r="E368" s="28">
        <f>Data!P369/Data!P368</f>
        <v>0.9925125384663761</v>
      </c>
      <c r="F368" s="28"/>
    </row>
    <row r="369" spans="1:6">
      <c r="A369" s="1">
        <v>366</v>
      </c>
      <c r="B369" s="28">
        <f>Data!D370/Data!D369</f>
        <v>0.99938938840196667</v>
      </c>
      <c r="C369" s="28">
        <f>Data!H370/Data!H369</f>
        <v>0.98550411434567209</v>
      </c>
      <c r="D369" s="28">
        <f>Data!L370/Data!L369</f>
        <v>0.99133478622501781</v>
      </c>
      <c r="E369" s="28">
        <f>Data!P370/Data!P369</f>
        <v>0.96165409759179032</v>
      </c>
      <c r="F369" s="28"/>
    </row>
    <row r="370" spans="1:6">
      <c r="A370" s="1">
        <v>367</v>
      </c>
      <c r="B370" s="28">
        <f>Data!D371/Data!D370</f>
        <v>0.99632104022383738</v>
      </c>
      <c r="C370" s="28">
        <f>Data!H371/Data!H370</f>
        <v>0.99305219522781862</v>
      </c>
      <c r="D370" s="28">
        <f>Data!L371/Data!L370</f>
        <v>0.98817864909556274</v>
      </c>
      <c r="E370" s="28">
        <f>Data!P371/Data!P370</f>
        <v>1.0058448855568483</v>
      </c>
      <c r="F370" s="28"/>
    </row>
    <row r="371" spans="1:6">
      <c r="A371" s="1">
        <v>368</v>
      </c>
      <c r="B371" s="28">
        <f>Data!D372/Data!D371</f>
        <v>1.0033724148094778</v>
      </c>
      <c r="C371" s="28">
        <f>Data!H372/Data!H371</f>
        <v>1.0167155087429038</v>
      </c>
      <c r="D371" s="28">
        <f>Data!L372/Data!L371</f>
        <v>1.0195479015050399</v>
      </c>
      <c r="E371" s="28">
        <f>Data!P372/Data!P371</f>
        <v>0.98720687779957073</v>
      </c>
      <c r="F371" s="28"/>
    </row>
    <row r="372" spans="1:6">
      <c r="A372" s="1">
        <v>369</v>
      </c>
      <c r="B372" s="28">
        <f>Data!D373/Data!D372</f>
        <v>0.98248876580070643</v>
      </c>
      <c r="C372" s="28">
        <f>Data!H373/Data!H372</f>
        <v>0.99487367716869046</v>
      </c>
      <c r="D372" s="28">
        <f>Data!L373/Data!L372</f>
        <v>0.9892634367749954</v>
      </c>
      <c r="E372" s="28">
        <f>Data!P373/Data!P372</f>
        <v>1.0273578707340545</v>
      </c>
      <c r="F372" s="28"/>
    </row>
    <row r="373" spans="1:6">
      <c r="A373" s="1">
        <v>370</v>
      </c>
      <c r="B373" s="28">
        <f>Data!D374/Data!D373</f>
        <v>0.98781600928209146</v>
      </c>
      <c r="C373" s="28">
        <f>Data!H374/Data!H373</f>
        <v>0.99077970728889431</v>
      </c>
      <c r="D373" s="28">
        <f>Data!L374/Data!L373</f>
        <v>0.98721704561637857</v>
      </c>
      <c r="E373" s="28">
        <f>Data!P374/Data!P373</f>
        <v>0.96829720018574461</v>
      </c>
      <c r="F373" s="28"/>
    </row>
    <row r="374" spans="1:6">
      <c r="A374" s="1">
        <v>371</v>
      </c>
      <c r="B374" s="28">
        <f>Data!D375/Data!D374</f>
        <v>0.98709063377303419</v>
      </c>
      <c r="C374" s="28">
        <f>Data!H375/Data!H374</f>
        <v>0.9888045607525352</v>
      </c>
      <c r="D374" s="28">
        <f>Data!L375/Data!L374</f>
        <v>0.98966039871873945</v>
      </c>
      <c r="E374" s="28">
        <f>Data!P375/Data!P374</f>
        <v>0.99155929978143453</v>
      </c>
      <c r="F374" s="28"/>
    </row>
    <row r="375" spans="1:6">
      <c r="A375" s="1">
        <v>372</v>
      </c>
      <c r="B375" s="28">
        <f>Data!D376/Data!D375</f>
        <v>1.0354901768716753</v>
      </c>
      <c r="C375" s="28">
        <f>Data!H376/Data!H375</f>
        <v>1.00442327333009</v>
      </c>
      <c r="D375" s="28">
        <f>Data!L376/Data!L375</f>
        <v>1.0104953156979459</v>
      </c>
      <c r="E375" s="28">
        <f>Data!P376/Data!P375</f>
        <v>0.99965914611527329</v>
      </c>
      <c r="F375" s="28"/>
    </row>
    <row r="376" spans="1:6">
      <c r="A376" s="1">
        <v>373</v>
      </c>
      <c r="B376" s="28">
        <f>Data!D377/Data!D376</f>
        <v>0.99616922531486474</v>
      </c>
      <c r="C376" s="28">
        <f>Data!H377/Data!H376</f>
        <v>1.0238776876584028</v>
      </c>
      <c r="D376" s="28">
        <f>Data!L377/Data!L376</f>
        <v>1.0260075081663591</v>
      </c>
      <c r="E376" s="28">
        <f>Data!P377/Data!P376</f>
        <v>1.0207877015577944</v>
      </c>
      <c r="F376" s="28"/>
    </row>
    <row r="377" spans="1:6">
      <c r="A377" s="1">
        <v>374</v>
      </c>
      <c r="B377" s="28">
        <f>Data!D378/Data!D377</f>
        <v>1.002931403506454</v>
      </c>
      <c r="C377" s="28">
        <f>Data!H378/Data!H377</f>
        <v>0.99033416216493675</v>
      </c>
      <c r="D377" s="28">
        <f>Data!L378/Data!L377</f>
        <v>0.99143883908063668</v>
      </c>
      <c r="E377" s="28">
        <f>Data!P378/Data!P377</f>
        <v>0.98414099576161396</v>
      </c>
      <c r="F377" s="28"/>
    </row>
    <row r="378" spans="1:6">
      <c r="A378" s="1">
        <v>375</v>
      </c>
      <c r="B378" s="28">
        <f>Data!D379/Data!D378</f>
        <v>0.98397380480728225</v>
      </c>
      <c r="C378" s="28">
        <f>Data!H379/Data!H378</f>
        <v>0.98841113520420831</v>
      </c>
      <c r="D378" s="28">
        <f>Data!L379/Data!L378</f>
        <v>0.99302234394200517</v>
      </c>
      <c r="E378" s="28">
        <f>Data!P379/Data!P378</f>
        <v>0.98830416978300717</v>
      </c>
      <c r="F378" s="28"/>
    </row>
    <row r="379" spans="1:6">
      <c r="A379" s="1">
        <v>376</v>
      </c>
      <c r="B379" s="28">
        <f>Data!D380/Data!D379</f>
        <v>1.0017705497992233</v>
      </c>
      <c r="C379" s="28">
        <f>Data!H380/Data!H379</f>
        <v>0.94800592778205817</v>
      </c>
      <c r="D379" s="28">
        <f>Data!L380/Data!L379</f>
        <v>0.97480265235238406</v>
      </c>
      <c r="E379" s="28">
        <f>Data!P380/Data!P379</f>
        <v>0.99569507302169513</v>
      </c>
      <c r="F379" s="28"/>
    </row>
    <row r="380" spans="1:6">
      <c r="A380" s="1">
        <v>377</v>
      </c>
      <c r="B380" s="28">
        <f>Data!D381/Data!D380</f>
        <v>1.0351153709620162</v>
      </c>
      <c r="C380" s="28">
        <f>Data!H381/Data!H380</f>
        <v>1.0460100201940501</v>
      </c>
      <c r="D380" s="28">
        <f>Data!L381/Data!L380</f>
        <v>1.0355077134227739</v>
      </c>
      <c r="E380" s="28">
        <f>Data!P381/Data!P380</f>
        <v>1.001245040584378</v>
      </c>
      <c r="F380" s="28"/>
    </row>
    <row r="381" spans="1:6">
      <c r="A381" s="1">
        <v>378</v>
      </c>
      <c r="B381" s="28">
        <f>Data!D382/Data!D381</f>
        <v>0.97635697259506837</v>
      </c>
      <c r="C381" s="28">
        <f>Data!H382/Data!H381</f>
        <v>0.97183869440964699</v>
      </c>
      <c r="D381" s="28">
        <f>Data!L382/Data!L381</f>
        <v>0.98532252312518476</v>
      </c>
      <c r="E381" s="28">
        <f>Data!P382/Data!P381</f>
        <v>1.0133146612713031</v>
      </c>
      <c r="F381" s="28"/>
    </row>
    <row r="382" spans="1:6">
      <c r="A382" s="1">
        <v>379</v>
      </c>
      <c r="B382" s="28">
        <f>Data!D383/Data!D382</f>
        <v>1.035781170710582</v>
      </c>
      <c r="C382" s="28">
        <f>Data!H383/Data!H382</f>
        <v>1.0330571950853948</v>
      </c>
      <c r="D382" s="28">
        <f>Data!L383/Data!L382</f>
        <v>1.0268103674753484</v>
      </c>
      <c r="E382" s="28">
        <f>Data!P383/Data!P382</f>
        <v>1.0319576023851287</v>
      </c>
      <c r="F382" s="28"/>
    </row>
    <row r="383" spans="1:6">
      <c r="A383" s="1">
        <v>380</v>
      </c>
      <c r="B383" s="28">
        <f>Data!D384/Data!D383</f>
        <v>0.99124363659575832</v>
      </c>
      <c r="C383" s="28">
        <f>Data!H384/Data!H383</f>
        <v>0.99604988031606323</v>
      </c>
      <c r="D383" s="28">
        <f>Data!L384/Data!L383</f>
        <v>1.0072598853773875</v>
      </c>
      <c r="E383" s="28">
        <f>Data!P384/Data!P383</f>
        <v>1.0065265570090456</v>
      </c>
      <c r="F383" s="28"/>
    </row>
    <row r="384" spans="1:6">
      <c r="A384" s="1">
        <v>381</v>
      </c>
      <c r="B384" s="28">
        <f>Data!D385/Data!D384</f>
        <v>0.99030818990152014</v>
      </c>
      <c r="C384" s="28">
        <f>Data!H385/Data!H384</f>
        <v>1.0139727727883301</v>
      </c>
      <c r="D384" s="28">
        <f>Data!L385/Data!L384</f>
        <v>1.0115538630778984</v>
      </c>
      <c r="E384" s="28">
        <f>Data!P385/Data!P384</f>
        <v>0.98452005547395227</v>
      </c>
      <c r="F384" s="28"/>
    </row>
    <row r="385" spans="1:6">
      <c r="A385" s="1">
        <v>382</v>
      </c>
      <c r="B385" s="28">
        <f>Data!D386/Data!D385</f>
        <v>0.99300465110229985</v>
      </c>
      <c r="C385" s="28">
        <f>Data!H386/Data!H385</f>
        <v>0.98544118184615892</v>
      </c>
      <c r="D385" s="28">
        <f>Data!L386/Data!L385</f>
        <v>0.99248872293486634</v>
      </c>
      <c r="E385" s="28">
        <f>Data!P386/Data!P385</f>
        <v>1.018759875297482</v>
      </c>
      <c r="F385" s="28"/>
    </row>
    <row r="386" spans="1:6">
      <c r="A386" s="1">
        <v>383</v>
      </c>
      <c r="B386" s="28">
        <f>Data!D387/Data!D386</f>
        <v>1.0038055400936445</v>
      </c>
      <c r="C386" s="28">
        <f>Data!H387/Data!H386</f>
        <v>1.0009110038307509</v>
      </c>
      <c r="D386" s="28">
        <f>Data!L387/Data!L386</f>
        <v>1.0079334420227644</v>
      </c>
      <c r="E386" s="28">
        <f>Data!P387/Data!P386</f>
        <v>0.97895879832367261</v>
      </c>
      <c r="F386" s="28"/>
    </row>
    <row r="387" spans="1:6">
      <c r="A387" s="1">
        <v>384</v>
      </c>
      <c r="B387" s="28">
        <f>Data!D388/Data!D387</f>
        <v>1.0319231437287621</v>
      </c>
      <c r="C387" s="28">
        <f>Data!H388/Data!H387</f>
        <v>1.0201966901965611</v>
      </c>
      <c r="D387" s="28">
        <f>Data!L388/Data!L387</f>
        <v>1.0174805456928828</v>
      </c>
      <c r="E387" s="28">
        <f>Data!P388/Data!P387</f>
        <v>0.98723629987985284</v>
      </c>
      <c r="F387" s="28"/>
    </row>
    <row r="388" spans="1:6">
      <c r="A388" s="1">
        <v>385</v>
      </c>
      <c r="B388" s="28">
        <f>Data!D389/Data!D388</f>
        <v>0.99640914277766712</v>
      </c>
      <c r="C388" s="28">
        <f>Data!H389/Data!H388</f>
        <v>1.0137834259585259</v>
      </c>
      <c r="D388" s="28">
        <f>Data!L389/Data!L388</f>
        <v>1.0103926549028803</v>
      </c>
      <c r="E388" s="28">
        <f>Data!P389/Data!P388</f>
        <v>1.0336853518339542</v>
      </c>
      <c r="F388" s="28"/>
    </row>
    <row r="389" spans="1:6">
      <c r="A389" s="1">
        <v>386</v>
      </c>
      <c r="B389" s="28">
        <f>Data!D390/Data!D389</f>
        <v>1.0013569758551883</v>
      </c>
      <c r="C389" s="28">
        <f>Data!H390/Data!H389</f>
        <v>1.0028281376730201</v>
      </c>
      <c r="D389" s="28">
        <f>Data!L390/Data!L389</f>
        <v>0.99664942440013504</v>
      </c>
      <c r="E389" s="28">
        <f>Data!P390/Data!P389</f>
        <v>1.0193738985350258</v>
      </c>
      <c r="F389" s="28"/>
    </row>
    <row r="390" spans="1:6">
      <c r="A390" s="1">
        <v>387</v>
      </c>
      <c r="B390" s="28">
        <f>Data!D391/Data!D390</f>
        <v>0.99868446376256037</v>
      </c>
      <c r="C390" s="28">
        <f>Data!H391/Data!H390</f>
        <v>1.009016238636639</v>
      </c>
      <c r="D390" s="28">
        <f>Data!L391/Data!L390</f>
        <v>1.0096070806320683</v>
      </c>
      <c r="E390" s="28">
        <f>Data!P391/Data!P390</f>
        <v>0.9996216698485757</v>
      </c>
      <c r="F390" s="28"/>
    </row>
    <row r="391" spans="1:6">
      <c r="A391" s="1">
        <v>388</v>
      </c>
      <c r="B391" s="28">
        <f>Data!D392/Data!D391</f>
        <v>1.0002387104244288</v>
      </c>
      <c r="C391" s="28">
        <f>Data!H392/Data!H391</f>
        <v>1.0090001548215275</v>
      </c>
      <c r="D391" s="28">
        <f>Data!L392/Data!L391</f>
        <v>1.0068602072753423</v>
      </c>
      <c r="E391" s="28">
        <f>Data!P392/Data!P391</f>
        <v>1.0023375806216388</v>
      </c>
      <c r="F391" s="28"/>
    </row>
    <row r="392" spans="1:6">
      <c r="A392" s="1">
        <v>389</v>
      </c>
      <c r="B392" s="28">
        <f>Data!D393/Data!D392</f>
        <v>0.99714646582775879</v>
      </c>
      <c r="C392" s="28">
        <f>Data!H393/Data!H392</f>
        <v>0.98519814841391484</v>
      </c>
      <c r="D392" s="28">
        <f>Data!L393/Data!L392</f>
        <v>0.99339042440063074</v>
      </c>
      <c r="E392" s="28">
        <f>Data!P393/Data!P392</f>
        <v>0.9846650515608617</v>
      </c>
      <c r="F392" s="28"/>
    </row>
    <row r="393" spans="1:6">
      <c r="A393" s="1">
        <v>390</v>
      </c>
      <c r="B393" s="28">
        <f>Data!D394/Data!D393</f>
        <v>0.99608951340760976</v>
      </c>
      <c r="C393" s="28">
        <f>Data!H394/Data!H393</f>
        <v>1.0019427923380095</v>
      </c>
      <c r="D393" s="28">
        <f>Data!L394/Data!L393</f>
        <v>0.99670580269703346</v>
      </c>
      <c r="E393" s="28">
        <f>Data!P394/Data!P393</f>
        <v>0.99234992482436091</v>
      </c>
      <c r="F393" s="28"/>
    </row>
    <row r="394" spans="1:6">
      <c r="A394" s="1">
        <v>391</v>
      </c>
      <c r="B394" s="28">
        <f>Data!D395/Data!D394</f>
        <v>1.004368074103994</v>
      </c>
      <c r="C394" s="28">
        <f>Data!H395/Data!H394</f>
        <v>0.9991810911818757</v>
      </c>
      <c r="D394" s="28">
        <f>Data!L395/Data!L394</f>
        <v>0.99759723365192243</v>
      </c>
      <c r="E394" s="28">
        <f>Data!P395/Data!P394</f>
        <v>1.0000037501988857</v>
      </c>
      <c r="F394" s="28"/>
    </row>
    <row r="395" spans="1:6">
      <c r="A395" s="1">
        <v>392</v>
      </c>
      <c r="B395" s="28">
        <f>Data!D396/Data!D395</f>
        <v>0.9796089327752866</v>
      </c>
      <c r="C395" s="28">
        <f>Data!H396/Data!H395</f>
        <v>0.98473583567086675</v>
      </c>
      <c r="D395" s="28">
        <f>Data!L396/Data!L395</f>
        <v>0.98922063794531723</v>
      </c>
      <c r="E395" s="28">
        <f>Data!P396/Data!P395</f>
        <v>1.0281131653989917</v>
      </c>
      <c r="F395" s="28"/>
    </row>
    <row r="396" spans="1:6">
      <c r="A396" s="1">
        <v>393</v>
      </c>
      <c r="B396" s="28">
        <f>Data!D397/Data!D396</f>
        <v>0.9981047298996707</v>
      </c>
      <c r="C396" s="28">
        <f>Data!H397/Data!H396</f>
        <v>0.99533250696739461</v>
      </c>
      <c r="D396" s="28">
        <f>Data!L397/Data!L396</f>
        <v>0.99470609653842657</v>
      </c>
      <c r="E396" s="28">
        <f>Data!P397/Data!P396</f>
        <v>0.97316934832678592</v>
      </c>
      <c r="F396" s="28"/>
    </row>
    <row r="397" spans="1:6">
      <c r="A397" s="1">
        <v>394</v>
      </c>
      <c r="B397" s="28">
        <f>Data!D398/Data!D397</f>
        <v>1.0049105596948804</v>
      </c>
      <c r="C397" s="28">
        <f>Data!H398/Data!H397</f>
        <v>1.0019857394729257</v>
      </c>
      <c r="D397" s="28">
        <f>Data!L398/Data!L397</f>
        <v>1.0005995594099077</v>
      </c>
      <c r="E397" s="28">
        <f>Data!P398/Data!P397</f>
        <v>0.99940541776599157</v>
      </c>
      <c r="F397" s="28"/>
    </row>
    <row r="398" spans="1:6">
      <c r="A398" s="1">
        <v>395</v>
      </c>
      <c r="B398" s="28">
        <f>Data!D399/Data!D398</f>
        <v>1.0207725478808038</v>
      </c>
      <c r="C398" s="28">
        <f>Data!H399/Data!H398</f>
        <v>1.0305719940025779</v>
      </c>
      <c r="D398" s="28">
        <f>Data!L399/Data!L398</f>
        <v>1.0249612211746646</v>
      </c>
      <c r="E398" s="28">
        <f>Data!P399/Data!P398</f>
        <v>1.0123736166524611</v>
      </c>
      <c r="F398" s="28"/>
    </row>
    <row r="399" spans="1:6">
      <c r="A399" s="1">
        <v>396</v>
      </c>
      <c r="B399" s="28">
        <f>Data!D400/Data!D399</f>
        <v>1.0000966775415694</v>
      </c>
      <c r="C399" s="28">
        <f>Data!H400/Data!H399</f>
        <v>0.9939731068109966</v>
      </c>
      <c r="D399" s="28">
        <f>Data!L400/Data!L399</f>
        <v>0.99858327538162828</v>
      </c>
      <c r="E399" s="28">
        <f>Data!P400/Data!P399</f>
        <v>1.00862885240251</v>
      </c>
      <c r="F399" s="28"/>
    </row>
    <row r="400" spans="1:6">
      <c r="A400" s="1">
        <v>397</v>
      </c>
      <c r="B400" s="28">
        <f>Data!D401/Data!D400</f>
        <v>1.0181347950832338</v>
      </c>
      <c r="C400" s="28">
        <f>Data!H401/Data!H400</f>
        <v>1.0186926078897101</v>
      </c>
      <c r="D400" s="28">
        <f>Data!L401/Data!L400</f>
        <v>1.0095569232486679</v>
      </c>
      <c r="E400" s="28">
        <f>Data!P401/Data!P400</f>
        <v>0.98570846984312488</v>
      </c>
      <c r="F400" s="28"/>
    </row>
    <row r="401" spans="1:6">
      <c r="A401" s="1">
        <v>398</v>
      </c>
      <c r="B401" s="28">
        <f>Data!D402/Data!D401</f>
        <v>0.99810574223151971</v>
      </c>
      <c r="C401" s="28">
        <f>Data!H402/Data!H401</f>
        <v>0.99121535773793368</v>
      </c>
      <c r="D401" s="28">
        <f>Data!L402/Data!L401</f>
        <v>1.0013105193912346</v>
      </c>
      <c r="E401" s="28">
        <f>Data!P402/Data!P401</f>
        <v>1.0294391643319385</v>
      </c>
      <c r="F401" s="28"/>
    </row>
    <row r="402" spans="1:6">
      <c r="A402" s="1">
        <v>399</v>
      </c>
      <c r="B402" s="28">
        <f>Data!D403/Data!D402</f>
        <v>0.99182925250798826</v>
      </c>
      <c r="C402" s="28">
        <f>Data!H403/Data!H402</f>
        <v>1.0038721928764944</v>
      </c>
      <c r="D402" s="28">
        <f>Data!L403/Data!L402</f>
        <v>0.99580769067983188</v>
      </c>
      <c r="E402" s="28">
        <f>Data!P403/Data!P402</f>
        <v>0.98856592332747206</v>
      </c>
      <c r="F402" s="28"/>
    </row>
    <row r="403" spans="1:6">
      <c r="A403" s="1">
        <v>400</v>
      </c>
      <c r="B403" s="28">
        <f>Data!D404/Data!D403</f>
        <v>1.0033796558710024</v>
      </c>
      <c r="C403" s="28">
        <f>Data!H404/Data!H403</f>
        <v>1.0009258670949568</v>
      </c>
      <c r="D403" s="28">
        <f>Data!L404/Data!L403</f>
        <v>1.0086556067683501</v>
      </c>
      <c r="E403" s="28">
        <f>Data!P404/Data!P403</f>
        <v>0.99815390963981709</v>
      </c>
      <c r="F403" s="28"/>
    </row>
    <row r="404" spans="1:6">
      <c r="A404" s="1">
        <v>401</v>
      </c>
      <c r="B404" s="28">
        <f>Data!D405/Data!D404</f>
        <v>1.0067169570061474</v>
      </c>
      <c r="C404" s="28">
        <f>Data!H405/Data!H404</f>
        <v>0.99082519460781004</v>
      </c>
      <c r="D404" s="28">
        <f>Data!L405/Data!L404</f>
        <v>0.98583249052487576</v>
      </c>
      <c r="E404" s="28">
        <f>Data!P405/Data!P404</f>
        <v>0.99334566676288871</v>
      </c>
      <c r="F404" s="28"/>
    </row>
    <row r="405" spans="1:6">
      <c r="A405" s="1">
        <v>402</v>
      </c>
      <c r="B405" s="28">
        <f>Data!D406/Data!D405</f>
        <v>1.0033395724942504</v>
      </c>
      <c r="C405" s="28">
        <f>Data!H406/Data!H405</f>
        <v>1.0147892877501949</v>
      </c>
      <c r="D405" s="28">
        <f>Data!L406/Data!L405</f>
        <v>1.0071827327342919</v>
      </c>
      <c r="E405" s="28">
        <f>Data!P406/Data!P405</f>
        <v>1.0227426317989365</v>
      </c>
      <c r="F405" s="28"/>
    </row>
    <row r="406" spans="1:6">
      <c r="A406" s="1">
        <v>403</v>
      </c>
      <c r="B406" s="28">
        <f>Data!D407/Data!D406</f>
        <v>0.99844010096293312</v>
      </c>
      <c r="C406" s="28">
        <f>Data!H407/Data!H406</f>
        <v>1.0029530935915438</v>
      </c>
      <c r="D406" s="28">
        <f>Data!L407/Data!L406</f>
        <v>1.0058356922314309</v>
      </c>
      <c r="E406" s="28">
        <f>Data!P407/Data!P406</f>
        <v>0.99877589426429025</v>
      </c>
      <c r="F406" s="28"/>
    </row>
    <row r="407" spans="1:6">
      <c r="A407" s="1">
        <v>404</v>
      </c>
      <c r="B407" s="28">
        <f>Data!D408/Data!D407</f>
        <v>0.99598966729465688</v>
      </c>
      <c r="C407" s="28">
        <f>Data!H408/Data!H407</f>
        <v>0.99222580294869389</v>
      </c>
      <c r="D407" s="28">
        <f>Data!L408/Data!L407</f>
        <v>0.99226512163525205</v>
      </c>
      <c r="E407" s="28">
        <f>Data!P408/Data!P407</f>
        <v>0.99661514252486927</v>
      </c>
      <c r="F407" s="28"/>
    </row>
    <row r="408" spans="1:6">
      <c r="A408" s="1">
        <v>405</v>
      </c>
      <c r="B408" s="28">
        <f>Data!D409/Data!D408</f>
        <v>1.0185700145006331</v>
      </c>
      <c r="C408" s="28">
        <f>Data!H409/Data!H408</f>
        <v>1.0183275131747813</v>
      </c>
      <c r="D408" s="28">
        <f>Data!L409/Data!L408</f>
        <v>1.0038583618674783</v>
      </c>
      <c r="E408" s="28">
        <f>Data!P409/Data!P408</f>
        <v>1.0065862352017938</v>
      </c>
      <c r="F408" s="28"/>
    </row>
    <row r="409" spans="1:6">
      <c r="A409" s="1">
        <v>406</v>
      </c>
      <c r="B409" s="28">
        <f>Data!D410/Data!D409</f>
        <v>0.98132591015607051</v>
      </c>
      <c r="C409" s="28">
        <f>Data!H410/Data!H409</f>
        <v>0.99528356731690582</v>
      </c>
      <c r="D409" s="28">
        <f>Data!L410/Data!L409</f>
        <v>1.0004880610418689</v>
      </c>
      <c r="E409" s="28">
        <f>Data!P410/Data!P409</f>
        <v>1.0035975192563256</v>
      </c>
      <c r="F409" s="28"/>
    </row>
    <row r="410" spans="1:6">
      <c r="A410" s="1">
        <v>407</v>
      </c>
      <c r="B410" s="28">
        <f>Data!D411/Data!D410</f>
        <v>1.0040915067873126</v>
      </c>
      <c r="C410" s="28">
        <f>Data!H411/Data!H410</f>
        <v>1.0040801932577346</v>
      </c>
      <c r="D410" s="28">
        <f>Data!L411/Data!L410</f>
        <v>0.99764857825541176</v>
      </c>
      <c r="E410" s="28">
        <f>Data!P411/Data!P410</f>
        <v>1.0051214918471316</v>
      </c>
      <c r="F410" s="28"/>
    </row>
    <row r="411" spans="1:6">
      <c r="A411" s="1">
        <v>408</v>
      </c>
      <c r="B411" s="28">
        <f>Data!D412/Data!D411</f>
        <v>0.9906037097082564</v>
      </c>
      <c r="C411" s="28">
        <f>Data!H412/Data!H411</f>
        <v>0.9843001154938148</v>
      </c>
      <c r="D411" s="28">
        <f>Data!L412/Data!L411</f>
        <v>0.98196202860850634</v>
      </c>
      <c r="E411" s="28">
        <f>Data!P412/Data!P411</f>
        <v>0.98305055529443242</v>
      </c>
      <c r="F411" s="28"/>
    </row>
    <row r="412" spans="1:6">
      <c r="A412" s="1">
        <v>409</v>
      </c>
      <c r="B412" s="28">
        <f>Data!D413/Data!D412</f>
        <v>1.0102127118723854</v>
      </c>
      <c r="C412" s="28">
        <f>Data!H413/Data!H412</f>
        <v>1.0103415647771723</v>
      </c>
      <c r="D412" s="28">
        <f>Data!L413/Data!L412</f>
        <v>1.0076644953630167</v>
      </c>
      <c r="E412" s="28">
        <f>Data!P413/Data!P412</f>
        <v>1.0021742358362558</v>
      </c>
      <c r="F412" s="28"/>
    </row>
    <row r="413" spans="1:6">
      <c r="A413" s="1">
        <v>410</v>
      </c>
      <c r="B413" s="28">
        <f>Data!D414/Data!D413</f>
        <v>0.99659289921986949</v>
      </c>
      <c r="C413" s="28">
        <f>Data!H414/Data!H413</f>
        <v>0.99111649303565641</v>
      </c>
      <c r="D413" s="28">
        <f>Data!L414/Data!L413</f>
        <v>1.0035800569868751</v>
      </c>
      <c r="E413" s="28">
        <f>Data!P414/Data!P413</f>
        <v>1.0077250322681959</v>
      </c>
      <c r="F413" s="28"/>
    </row>
    <row r="414" spans="1:6">
      <c r="A414" s="1">
        <v>411</v>
      </c>
      <c r="B414" s="28">
        <f>Data!D415/Data!D414</f>
        <v>1.0051589051899208</v>
      </c>
      <c r="C414" s="28">
        <f>Data!H415/Data!H414</f>
        <v>0.99819243135695412</v>
      </c>
      <c r="D414" s="28">
        <f>Data!L415/Data!L414</f>
        <v>1.0092849977846812</v>
      </c>
      <c r="E414" s="28">
        <f>Data!P415/Data!P414</f>
        <v>1.0040257693380157</v>
      </c>
      <c r="F414" s="28"/>
    </row>
    <row r="415" spans="1:6">
      <c r="A415" s="1">
        <v>412</v>
      </c>
      <c r="B415" s="28">
        <f>Data!D416/Data!D415</f>
        <v>1.0073094450620932</v>
      </c>
      <c r="C415" s="28">
        <f>Data!H416/Data!H415</f>
        <v>1.0081938308646863</v>
      </c>
      <c r="D415" s="28">
        <f>Data!L416/Data!L415</f>
        <v>1.0018426377402272</v>
      </c>
      <c r="E415" s="28">
        <f>Data!P416/Data!P415</f>
        <v>1.0137676751344906</v>
      </c>
      <c r="F415" s="28"/>
    </row>
    <row r="416" spans="1:6">
      <c r="A416" s="1">
        <v>413</v>
      </c>
      <c r="B416" s="28">
        <f>Data!D417/Data!D416</f>
        <v>0.99954897611420601</v>
      </c>
      <c r="C416" s="28">
        <f>Data!H417/Data!H416</f>
        <v>1.0121795905105675</v>
      </c>
      <c r="D416" s="28">
        <f>Data!L417/Data!L416</f>
        <v>1.008900031218837</v>
      </c>
      <c r="E416" s="28">
        <f>Data!P417/Data!P416</f>
        <v>1.0047343758568441</v>
      </c>
      <c r="F416" s="28"/>
    </row>
    <row r="417" spans="1:6">
      <c r="A417" s="1">
        <v>414</v>
      </c>
      <c r="B417" s="28">
        <f>Data!D418/Data!D417</f>
        <v>1.0031847722302647</v>
      </c>
      <c r="C417" s="28">
        <f>Data!H418/Data!H417</f>
        <v>1.0089157154700159</v>
      </c>
      <c r="D417" s="28">
        <f>Data!L418/Data!L417</f>
        <v>1.0101016312877287</v>
      </c>
      <c r="E417" s="28">
        <f>Data!P418/Data!P417</f>
        <v>0.99968346434363875</v>
      </c>
      <c r="F417" s="28"/>
    </row>
    <row r="418" spans="1:6">
      <c r="A418" s="1">
        <v>415</v>
      </c>
      <c r="B418" s="28">
        <f>Data!D419/Data!D418</f>
        <v>0.98468855156829516</v>
      </c>
      <c r="C418" s="28">
        <f>Data!H419/Data!H418</f>
        <v>0.98081856073788998</v>
      </c>
      <c r="D418" s="28">
        <f>Data!L419/Data!L418</f>
        <v>0.99087776768143032</v>
      </c>
      <c r="E418" s="28">
        <f>Data!P419/Data!P418</f>
        <v>0.99844097224607153</v>
      </c>
      <c r="F418" s="28"/>
    </row>
    <row r="419" spans="1:6">
      <c r="A419" s="1">
        <v>416</v>
      </c>
      <c r="B419" s="28">
        <f>Data!D420/Data!D419</f>
        <v>0.98226707658153456</v>
      </c>
      <c r="C419" s="28">
        <f>Data!H420/Data!H419</f>
        <v>0.99886311184212262</v>
      </c>
      <c r="D419" s="28">
        <f>Data!L420/Data!L419</f>
        <v>1.0029051452917863</v>
      </c>
      <c r="E419" s="28">
        <f>Data!P420/Data!P419</f>
        <v>0.98891789384063411</v>
      </c>
      <c r="F419" s="28"/>
    </row>
    <row r="420" spans="1:6">
      <c r="A420" s="1">
        <v>417</v>
      </c>
      <c r="B420" s="28">
        <f>Data!D421/Data!D420</f>
        <v>1.0019387057888978</v>
      </c>
      <c r="C420" s="28">
        <f>Data!H421/Data!H420</f>
        <v>1.0059697766707236</v>
      </c>
      <c r="D420" s="28">
        <f>Data!L421/Data!L420</f>
        <v>0.99693558459882736</v>
      </c>
      <c r="E420" s="28">
        <f>Data!P421/Data!P420</f>
        <v>0.99717932362669282</v>
      </c>
      <c r="F420" s="28"/>
    </row>
    <row r="421" spans="1:6">
      <c r="A421" s="1">
        <v>418</v>
      </c>
      <c r="B421" s="28">
        <f>Data!D422/Data!D421</f>
        <v>0.98843700348972952</v>
      </c>
      <c r="C421" s="28">
        <f>Data!H422/Data!H421</f>
        <v>0.98509298114715227</v>
      </c>
      <c r="D421" s="28">
        <f>Data!L422/Data!L421</f>
        <v>0.98436327723345551</v>
      </c>
      <c r="E421" s="28">
        <f>Data!P422/Data!P421</f>
        <v>1.0080381690634528</v>
      </c>
      <c r="F421" s="28"/>
    </row>
    <row r="422" spans="1:6">
      <c r="A422" s="1">
        <v>419</v>
      </c>
      <c r="B422" s="28">
        <f>Data!D423/Data!D422</f>
        <v>1.0055065735121955</v>
      </c>
      <c r="C422" s="28">
        <f>Data!H423/Data!H422</f>
        <v>0.99165314859022713</v>
      </c>
      <c r="D422" s="28">
        <f>Data!L423/Data!L422</f>
        <v>0.99151446907427332</v>
      </c>
      <c r="E422" s="28">
        <f>Data!P423/Data!P422</f>
        <v>0.98456226220375742</v>
      </c>
      <c r="F422" s="28"/>
    </row>
    <row r="423" spans="1:6">
      <c r="A423" s="1">
        <v>420</v>
      </c>
      <c r="B423" s="28">
        <f>Data!D424/Data!D423</f>
        <v>1.0036403192451597</v>
      </c>
      <c r="C423" s="28">
        <f>Data!H424/Data!H423</f>
        <v>1.004876139716059</v>
      </c>
      <c r="D423" s="28">
        <f>Data!L424/Data!L423</f>
        <v>1.0071393036637997</v>
      </c>
      <c r="E423" s="28">
        <f>Data!P424/Data!P423</f>
        <v>0.98064244512359855</v>
      </c>
      <c r="F423" s="28"/>
    </row>
    <row r="424" spans="1:6">
      <c r="A424" s="1">
        <v>421</v>
      </c>
      <c r="B424" s="28">
        <f>Data!D425/Data!D424</f>
        <v>1.0041440269715094</v>
      </c>
      <c r="C424" s="28">
        <f>Data!H425/Data!H424</f>
        <v>0.99783482721748462</v>
      </c>
      <c r="D424" s="28">
        <f>Data!L425/Data!L424</f>
        <v>0.99489994849138597</v>
      </c>
      <c r="E424" s="28">
        <f>Data!P425/Data!P424</f>
        <v>1.0238224860238494</v>
      </c>
      <c r="F424" s="28"/>
    </row>
    <row r="425" spans="1:6">
      <c r="A425" s="1">
        <v>422</v>
      </c>
      <c r="B425" s="28">
        <f>Data!D426/Data!D425</f>
        <v>0.99937530740410974</v>
      </c>
      <c r="C425" s="28">
        <f>Data!H426/Data!H425</f>
        <v>0.99724073726213525</v>
      </c>
      <c r="D425" s="28">
        <f>Data!L426/Data!L425</f>
        <v>1.0081829738687798</v>
      </c>
      <c r="E425" s="28">
        <f>Data!P426/Data!P425</f>
        <v>1.0136174147240815</v>
      </c>
      <c r="F425" s="28"/>
    </row>
    <row r="426" spans="1:6">
      <c r="A426" s="1">
        <v>423</v>
      </c>
      <c r="B426" s="28">
        <f>Data!D427/Data!D426</f>
        <v>0.98935776274061737</v>
      </c>
      <c r="C426" s="28">
        <f>Data!H427/Data!H426</f>
        <v>0.98614029959742211</v>
      </c>
      <c r="D426" s="28">
        <f>Data!L427/Data!L426</f>
        <v>0.98346688162954421</v>
      </c>
      <c r="E426" s="28">
        <f>Data!P427/Data!P426</f>
        <v>1.0169110254345382</v>
      </c>
      <c r="F426" s="28"/>
    </row>
    <row r="427" spans="1:6">
      <c r="A427" s="1">
        <v>424</v>
      </c>
      <c r="B427" s="28">
        <f>Data!D428/Data!D427</f>
        <v>0.99192486776041244</v>
      </c>
      <c r="C427" s="28">
        <f>Data!H428/Data!H427</f>
        <v>1.009777207464017</v>
      </c>
      <c r="D427" s="28">
        <f>Data!L428/Data!L427</f>
        <v>1.0054557957686701</v>
      </c>
      <c r="E427" s="28">
        <f>Data!P428/Data!P427</f>
        <v>0.97736768985883715</v>
      </c>
      <c r="F427" s="28"/>
    </row>
    <row r="428" spans="1:6">
      <c r="A428" s="1">
        <v>425</v>
      </c>
      <c r="B428" s="28">
        <f>Data!D429/Data!D428</f>
        <v>0.99900264858480103</v>
      </c>
      <c r="C428" s="28">
        <f>Data!H429/Data!H428</f>
        <v>0.97912416639171329</v>
      </c>
      <c r="D428" s="28">
        <f>Data!L429/Data!L428</f>
        <v>0.985465327327953</v>
      </c>
      <c r="E428" s="28">
        <f>Data!P429/Data!P428</f>
        <v>1.0181581148269117</v>
      </c>
      <c r="F428" s="28"/>
    </row>
    <row r="429" spans="1:6">
      <c r="A429" s="1">
        <v>426</v>
      </c>
      <c r="B429" s="28">
        <f>Data!D430/Data!D429</f>
        <v>1.0172689032224742</v>
      </c>
      <c r="C429" s="28">
        <f>Data!H430/Data!H429</f>
        <v>1.0047350446688685</v>
      </c>
      <c r="D429" s="28">
        <f>Data!L430/Data!L429</f>
        <v>1.0039538713488987</v>
      </c>
      <c r="E429" s="28">
        <f>Data!P430/Data!P429</f>
        <v>0.98334561101748152</v>
      </c>
      <c r="F429" s="28"/>
    </row>
    <row r="430" spans="1:6">
      <c r="A430" s="1">
        <v>427</v>
      </c>
      <c r="B430" s="28">
        <f>Data!D431/Data!D430</f>
        <v>0.96869042282685869</v>
      </c>
      <c r="C430" s="28">
        <f>Data!H431/Data!H430</f>
        <v>0.99284937471751611</v>
      </c>
      <c r="D430" s="28">
        <f>Data!L431/Data!L430</f>
        <v>0.98983813052503811</v>
      </c>
      <c r="E430" s="28">
        <f>Data!P431/Data!P430</f>
        <v>1.0179208149390655</v>
      </c>
      <c r="F430" s="28"/>
    </row>
    <row r="431" spans="1:6">
      <c r="A431" s="1">
        <v>428</v>
      </c>
      <c r="B431" s="28">
        <f>Data!D432/Data!D431</f>
        <v>1.0057748646375333</v>
      </c>
      <c r="C431" s="28">
        <f>Data!H432/Data!H431</f>
        <v>0.99849160668341574</v>
      </c>
      <c r="D431" s="28">
        <f>Data!L432/Data!L431</f>
        <v>1.0003744128400833</v>
      </c>
      <c r="E431" s="28">
        <f>Data!P432/Data!P431</f>
        <v>0.97181852891993126</v>
      </c>
      <c r="F431" s="28"/>
    </row>
    <row r="432" spans="1:6">
      <c r="A432" s="1">
        <v>429</v>
      </c>
      <c r="B432" s="28">
        <f>Data!D433/Data!D432</f>
        <v>1.0007687096101732</v>
      </c>
      <c r="C432" s="28">
        <f>Data!H433/Data!H432</f>
        <v>0.97945409277522111</v>
      </c>
      <c r="D432" s="28">
        <f>Data!L433/Data!L432</f>
        <v>0.97635633199112781</v>
      </c>
      <c r="E432" s="28">
        <f>Data!P433/Data!P432</f>
        <v>0.97837209762432376</v>
      </c>
      <c r="F432" s="28"/>
    </row>
    <row r="433" spans="1:6">
      <c r="A433" s="1">
        <v>430</v>
      </c>
      <c r="B433" s="28">
        <f>Data!D434/Data!D433</f>
        <v>0.98323889156501021</v>
      </c>
      <c r="C433" s="28">
        <f>Data!H434/Data!H433</f>
        <v>0.98758506472771557</v>
      </c>
      <c r="D433" s="28">
        <f>Data!L434/Data!L433</f>
        <v>0.98261122400047929</v>
      </c>
      <c r="E433" s="28">
        <f>Data!P434/Data!P433</f>
        <v>1.0155552926496998</v>
      </c>
      <c r="F433" s="28"/>
    </row>
    <row r="434" spans="1:6">
      <c r="A434" s="1">
        <v>431</v>
      </c>
      <c r="B434" s="28">
        <f>Data!D435/Data!D434</f>
        <v>1.0047841029744855</v>
      </c>
      <c r="C434" s="28">
        <f>Data!H435/Data!H434</f>
        <v>1.0026211191951646</v>
      </c>
      <c r="D434" s="28">
        <f>Data!L435/Data!L434</f>
        <v>0.99471597880899354</v>
      </c>
      <c r="E434" s="28">
        <f>Data!P435/Data!P434</f>
        <v>0.96778867599390717</v>
      </c>
      <c r="F434" s="28"/>
    </row>
    <row r="435" spans="1:6">
      <c r="A435" s="1">
        <v>432</v>
      </c>
      <c r="B435" s="28">
        <f>Data!D436/Data!D435</f>
        <v>1.0136530830419106</v>
      </c>
      <c r="C435" s="28">
        <f>Data!H436/Data!H435</f>
        <v>1.0015061459747927</v>
      </c>
      <c r="D435" s="28">
        <f>Data!L436/Data!L435</f>
        <v>0.99737330276136893</v>
      </c>
      <c r="E435" s="28">
        <f>Data!P436/Data!P435</f>
        <v>1.0062226303823874</v>
      </c>
      <c r="F435" s="28"/>
    </row>
    <row r="436" spans="1:6">
      <c r="A436" s="1">
        <v>433</v>
      </c>
      <c r="B436" s="28">
        <f>Data!D437/Data!D436</f>
        <v>0.99689047601636416</v>
      </c>
      <c r="C436" s="28">
        <f>Data!H437/Data!H436</f>
        <v>1.0083437289999222</v>
      </c>
      <c r="D436" s="28">
        <f>Data!L437/Data!L436</f>
        <v>1.0022907351282293</v>
      </c>
      <c r="E436" s="28">
        <f>Data!P437/Data!P436</f>
        <v>1.0247730951868961</v>
      </c>
      <c r="F436" s="28"/>
    </row>
    <row r="437" spans="1:6">
      <c r="A437" s="1">
        <v>434</v>
      </c>
      <c r="B437" s="28">
        <f>Data!D438/Data!D437</f>
        <v>0.99113380954399188</v>
      </c>
      <c r="C437" s="28">
        <f>Data!H438/Data!H437</f>
        <v>1.0059472433846341</v>
      </c>
      <c r="D437" s="28">
        <f>Data!L438/Data!L437</f>
        <v>1.008945997464985</v>
      </c>
      <c r="E437" s="28">
        <f>Data!P438/Data!P437</f>
        <v>1.0008760857725205</v>
      </c>
      <c r="F437" s="28"/>
    </row>
    <row r="438" spans="1:6">
      <c r="A438" s="1">
        <v>435</v>
      </c>
      <c r="B438" s="28">
        <f>Data!D439/Data!D438</f>
        <v>0.98920750310436423</v>
      </c>
      <c r="C438" s="28">
        <f>Data!H439/Data!H438</f>
        <v>0.98500491083046315</v>
      </c>
      <c r="D438" s="28">
        <f>Data!L439/Data!L438</f>
        <v>0.98634394164178263</v>
      </c>
      <c r="E438" s="28">
        <f>Data!P439/Data!P438</f>
        <v>1.0095200460854807</v>
      </c>
      <c r="F438" s="28"/>
    </row>
    <row r="439" spans="1:6">
      <c r="A439" s="1">
        <v>436</v>
      </c>
      <c r="B439" s="28">
        <f>Data!D440/Data!D439</f>
        <v>1.0028289824807592</v>
      </c>
      <c r="C439" s="28">
        <f>Data!H440/Data!H439</f>
        <v>0.99800557957901515</v>
      </c>
      <c r="D439" s="28">
        <f>Data!L440/Data!L439</f>
        <v>0.99238257097487659</v>
      </c>
      <c r="E439" s="28">
        <f>Data!P440/Data!P439</f>
        <v>0.97695129869142994</v>
      </c>
      <c r="F439" s="28"/>
    </row>
    <row r="440" spans="1:6">
      <c r="A440" s="1">
        <v>437</v>
      </c>
      <c r="B440" s="28">
        <f>Data!D441/Data!D440</f>
        <v>0.98172939105983625</v>
      </c>
      <c r="C440" s="28">
        <f>Data!H441/Data!H440</f>
        <v>0.98690214870380466</v>
      </c>
      <c r="D440" s="28">
        <f>Data!L441/Data!L440</f>
        <v>0.99117246145718618</v>
      </c>
      <c r="E440" s="28">
        <f>Data!P441/Data!P440</f>
        <v>0.99210962796869639</v>
      </c>
      <c r="F440" s="28"/>
    </row>
    <row r="441" spans="1:6">
      <c r="A441" s="1">
        <v>438</v>
      </c>
      <c r="B441" s="28">
        <f>Data!D442/Data!D441</f>
        <v>0.9999721347092595</v>
      </c>
      <c r="C441" s="28">
        <f>Data!H442/Data!H441</f>
        <v>0.99998732040141081</v>
      </c>
      <c r="D441" s="28">
        <f>Data!L442/Data!L441</f>
        <v>0.99101565959423465</v>
      </c>
      <c r="E441" s="28">
        <f>Data!P442/Data!P441</f>
        <v>0.98905007991730731</v>
      </c>
      <c r="F441" s="28"/>
    </row>
    <row r="442" spans="1:6">
      <c r="A442" s="1">
        <v>439</v>
      </c>
      <c r="B442" s="28">
        <f>Data!D443/Data!D442</f>
        <v>0.99705041900432001</v>
      </c>
      <c r="C442" s="28">
        <f>Data!H443/Data!H442</f>
        <v>1.0002022178469687</v>
      </c>
      <c r="D442" s="28">
        <f>Data!L443/Data!L442</f>
        <v>0.9986217843515901</v>
      </c>
      <c r="E442" s="28">
        <f>Data!P443/Data!P442</f>
        <v>1.0013777555299281</v>
      </c>
      <c r="F442" s="28"/>
    </row>
    <row r="443" spans="1:6">
      <c r="A443" s="1">
        <v>440</v>
      </c>
      <c r="B443" s="28">
        <f>Data!D444/Data!D443</f>
        <v>1.0003726467148228</v>
      </c>
      <c r="C443" s="28">
        <f>Data!H444/Data!H443</f>
        <v>1.0039911224803069</v>
      </c>
      <c r="D443" s="28">
        <f>Data!L444/Data!L443</f>
        <v>1.0120832480398978</v>
      </c>
      <c r="E443" s="28">
        <f>Data!P444/Data!P443</f>
        <v>0.99433536954502788</v>
      </c>
      <c r="F443" s="28"/>
    </row>
    <row r="444" spans="1:6">
      <c r="A444" s="1">
        <v>441</v>
      </c>
      <c r="B444" s="28">
        <f>Data!D445/Data!D444</f>
        <v>0.96965669163880619</v>
      </c>
      <c r="C444" s="28">
        <f>Data!H445/Data!H444</f>
        <v>0.98428958749533491</v>
      </c>
      <c r="D444" s="28">
        <f>Data!L445/Data!L444</f>
        <v>0.98725342397546634</v>
      </c>
      <c r="E444" s="28">
        <f>Data!P445/Data!P444</f>
        <v>1.0085880865310966</v>
      </c>
      <c r="F444" s="28"/>
    </row>
    <row r="445" spans="1:6">
      <c r="A445" s="1">
        <v>442</v>
      </c>
      <c r="B445" s="28">
        <f>Data!D446/Data!D445</f>
        <v>0.9906656701666402</v>
      </c>
      <c r="C445" s="28">
        <f>Data!H446/Data!H445</f>
        <v>1.00332945148518</v>
      </c>
      <c r="D445" s="28">
        <f>Data!L446/Data!L445</f>
        <v>0.99363393808433742</v>
      </c>
      <c r="E445" s="28">
        <f>Data!P446/Data!P445</f>
        <v>0.98958415546484513</v>
      </c>
      <c r="F445" s="28"/>
    </row>
    <row r="446" spans="1:6">
      <c r="A446" s="1">
        <v>443</v>
      </c>
      <c r="B446" s="28">
        <f>Data!D447/Data!D446</f>
        <v>1.0003084648936105</v>
      </c>
      <c r="C446" s="28">
        <f>Data!H447/Data!H446</f>
        <v>1.01669602935001</v>
      </c>
      <c r="D446" s="28">
        <f>Data!L447/Data!L446</f>
        <v>1.0088525427688957</v>
      </c>
      <c r="E446" s="28">
        <f>Data!P447/Data!P446</f>
        <v>0.99657069129011888</v>
      </c>
      <c r="F446" s="28"/>
    </row>
    <row r="447" spans="1:6">
      <c r="A447" s="1">
        <v>444</v>
      </c>
      <c r="B447" s="28">
        <f>Data!D448/Data!D447</f>
        <v>1.0028414071881875</v>
      </c>
      <c r="C447" s="28">
        <f>Data!H448/Data!H447</f>
        <v>0.97468487784865165</v>
      </c>
      <c r="D447" s="28">
        <f>Data!L448/Data!L447</f>
        <v>0.97873121514585681</v>
      </c>
      <c r="E447" s="28">
        <f>Data!P448/Data!P447</f>
        <v>0.99865147336548643</v>
      </c>
      <c r="F447" s="28"/>
    </row>
    <row r="448" spans="1:6">
      <c r="A448" s="1">
        <v>445</v>
      </c>
      <c r="B448" s="28">
        <f>Data!D449/Data!D448</f>
        <v>0.98535000957630559</v>
      </c>
      <c r="C448" s="28">
        <f>Data!H449/Data!H448</f>
        <v>0.99061659766459831</v>
      </c>
      <c r="D448" s="28">
        <f>Data!L449/Data!L448</f>
        <v>0.99676231648210267</v>
      </c>
      <c r="E448" s="28">
        <f>Data!P449/Data!P448</f>
        <v>0.98593563807261975</v>
      </c>
      <c r="F448" s="28"/>
    </row>
    <row r="449" spans="1:6">
      <c r="A449" s="1">
        <v>446</v>
      </c>
      <c r="B449" s="28">
        <f>Data!D450/Data!D449</f>
        <v>1.0065106268016346</v>
      </c>
      <c r="C449" s="28">
        <f>Data!H450/Data!H449</f>
        <v>1.0044568672511998</v>
      </c>
      <c r="D449" s="28">
        <f>Data!L450/Data!L449</f>
        <v>1.0013667309766892</v>
      </c>
      <c r="E449" s="28">
        <f>Data!P450/Data!P449</f>
        <v>0.99308704172134177</v>
      </c>
      <c r="F449" s="28"/>
    </row>
    <row r="450" spans="1:6">
      <c r="A450" s="1">
        <v>447</v>
      </c>
      <c r="B450" s="28">
        <f>Data!D451/Data!D450</f>
        <v>0.99498871863741323</v>
      </c>
      <c r="C450" s="28">
        <f>Data!H451/Data!H450</f>
        <v>0.99989020813552543</v>
      </c>
      <c r="D450" s="28">
        <f>Data!L451/Data!L450</f>
        <v>0.99654589323107146</v>
      </c>
      <c r="E450" s="28">
        <f>Data!P451/Data!P450</f>
        <v>0.99926611240520469</v>
      </c>
      <c r="F450" s="28"/>
    </row>
    <row r="451" spans="1:6">
      <c r="A451" s="1">
        <v>448</v>
      </c>
      <c r="B451" s="28">
        <f>Data!D452/Data!D451</f>
        <v>1.0135550696405613</v>
      </c>
      <c r="C451" s="28">
        <f>Data!H452/Data!H451</f>
        <v>0.98805548376413277</v>
      </c>
      <c r="D451" s="28">
        <f>Data!L452/Data!L451</f>
        <v>0.98550224882486359</v>
      </c>
      <c r="E451" s="28">
        <f>Data!P452/Data!P451</f>
        <v>0.9783492778785472</v>
      </c>
      <c r="F451" s="28"/>
    </row>
    <row r="452" spans="1:6">
      <c r="A452" s="1">
        <v>449</v>
      </c>
      <c r="B452" s="28">
        <f>Data!D453/Data!D452</f>
        <v>0.97920189455394813</v>
      </c>
      <c r="C452" s="28">
        <f>Data!H453/Data!H452</f>
        <v>1.0198822755693995</v>
      </c>
      <c r="D452" s="28">
        <f>Data!L453/Data!L452</f>
        <v>1.0184934663336782</v>
      </c>
      <c r="E452" s="28">
        <f>Data!P453/Data!P452</f>
        <v>1.0023015344500368</v>
      </c>
      <c r="F452" s="28"/>
    </row>
    <row r="453" spans="1:6">
      <c r="A453" s="1">
        <v>450</v>
      </c>
      <c r="B453" s="28">
        <f>Data!D454/Data!D453</f>
        <v>1.0073182721772891</v>
      </c>
      <c r="C453" s="28">
        <f>Data!H454/Data!H453</f>
        <v>0.97749573503618348</v>
      </c>
      <c r="D453" s="28">
        <f>Data!L454/Data!L453</f>
        <v>0.97878607122322947</v>
      </c>
      <c r="E453" s="28">
        <f>Data!P454/Data!P453</f>
        <v>1.0033095978176441</v>
      </c>
      <c r="F453" s="28"/>
    </row>
    <row r="454" spans="1:6">
      <c r="A454" s="1">
        <v>451</v>
      </c>
      <c r="B454" s="28">
        <f>Data!D455/Data!D454</f>
        <v>0.98855821790325427</v>
      </c>
      <c r="C454" s="28">
        <f>Data!H455/Data!H454</f>
        <v>0.97826156524013164</v>
      </c>
      <c r="D454" s="28">
        <f>Data!L455/Data!L454</f>
        <v>0.9761524981560088</v>
      </c>
      <c r="E454" s="28">
        <f>Data!P455/Data!P454</f>
        <v>1.005892926556385</v>
      </c>
      <c r="F454" s="28"/>
    </row>
    <row r="455" spans="1:6">
      <c r="A455" s="1">
        <v>452</v>
      </c>
      <c r="B455" s="28">
        <f>Data!D456/Data!D455</f>
        <v>0.99591461316296326</v>
      </c>
      <c r="C455" s="28">
        <f>Data!H456/Data!H455</f>
        <v>1.0090967095240275</v>
      </c>
      <c r="D455" s="28">
        <f>Data!L456/Data!L455</f>
        <v>1.0094125732355217</v>
      </c>
      <c r="E455" s="28">
        <f>Data!P456/Data!P455</f>
        <v>0.99389252446953791</v>
      </c>
      <c r="F455" s="28"/>
    </row>
    <row r="456" spans="1:6">
      <c r="A456" s="1">
        <v>453</v>
      </c>
      <c r="B456" s="28">
        <f>Data!D457/Data!D456</f>
        <v>0.99161932088005722</v>
      </c>
      <c r="C456" s="28">
        <f>Data!H457/Data!H456</f>
        <v>0.9821740638769737</v>
      </c>
      <c r="D456" s="28">
        <f>Data!L457/Data!L456</f>
        <v>0.98505243696046618</v>
      </c>
      <c r="E456" s="28">
        <f>Data!P457/Data!P456</f>
        <v>0.99989138344860662</v>
      </c>
      <c r="F456" s="28"/>
    </row>
    <row r="457" spans="1:6">
      <c r="A457" s="1">
        <v>454</v>
      </c>
      <c r="B457" s="28">
        <f>Data!D458/Data!D457</f>
        <v>1.0252441496222591</v>
      </c>
      <c r="C457" s="28">
        <f>Data!H458/Data!H457</f>
        <v>0.99160976603473783</v>
      </c>
      <c r="D457" s="28">
        <f>Data!L458/Data!L457</f>
        <v>1.0030198169872941</v>
      </c>
      <c r="E457" s="28">
        <f>Data!P458/Data!P457</f>
        <v>0.99628911023600442</v>
      </c>
      <c r="F457" s="28"/>
    </row>
    <row r="458" spans="1:6">
      <c r="A458" s="1">
        <v>455</v>
      </c>
      <c r="B458" s="28">
        <f>Data!D459/Data!D458</f>
        <v>1.018451359873586</v>
      </c>
      <c r="C458" s="28">
        <f>Data!H459/Data!H458</f>
        <v>1.0317961632118087</v>
      </c>
      <c r="D458" s="28">
        <f>Data!L459/Data!L458</f>
        <v>1.0316892499227908</v>
      </c>
      <c r="E458" s="28">
        <f>Data!P459/Data!P458</f>
        <v>1.0023135900655089</v>
      </c>
      <c r="F458" s="28"/>
    </row>
    <row r="459" spans="1:6">
      <c r="A459" s="1">
        <v>456</v>
      </c>
      <c r="B459" s="28">
        <f>Data!D460/Data!D459</f>
        <v>1.0043602238556923</v>
      </c>
      <c r="C459" s="28">
        <f>Data!H460/Data!H459</f>
        <v>1.0116722564892828</v>
      </c>
      <c r="D459" s="28">
        <f>Data!L460/Data!L459</f>
        <v>1.0154262382839119</v>
      </c>
      <c r="E459" s="28">
        <f>Data!P460/Data!P459</f>
        <v>0.98303771551723629</v>
      </c>
      <c r="F459" s="28"/>
    </row>
    <row r="460" spans="1:6">
      <c r="A460" s="1">
        <v>457</v>
      </c>
      <c r="B460" s="28">
        <f>Data!D461/Data!D460</f>
        <v>1.0092140525391486</v>
      </c>
      <c r="C460" s="28">
        <f>Data!H461/Data!H460</f>
        <v>0.99786215800473355</v>
      </c>
      <c r="D460" s="28">
        <f>Data!L461/Data!L460</f>
        <v>1.0053736728069389</v>
      </c>
      <c r="E460" s="28">
        <f>Data!P461/Data!P460</f>
        <v>1.028235891382649</v>
      </c>
      <c r="F460" s="28"/>
    </row>
    <row r="461" spans="1:6">
      <c r="A461" s="1">
        <v>458</v>
      </c>
      <c r="B461" s="28">
        <f>Data!D462/Data!D461</f>
        <v>1.0025753070458951</v>
      </c>
      <c r="C461" s="28">
        <f>Data!H462/Data!H461</f>
        <v>1.0160461137992116</v>
      </c>
      <c r="D461" s="28">
        <f>Data!L462/Data!L461</f>
        <v>1.0098741304385148</v>
      </c>
      <c r="E461" s="28">
        <f>Data!P462/Data!P461</f>
        <v>1.0009037208690226</v>
      </c>
      <c r="F461" s="28"/>
    </row>
    <row r="462" spans="1:6">
      <c r="A462" s="1">
        <v>459</v>
      </c>
      <c r="B462" s="28">
        <f>Data!D463/Data!D462</f>
        <v>0.97566276204869529</v>
      </c>
      <c r="C462" s="28">
        <f>Data!H463/Data!H462</f>
        <v>0.97712599851664661</v>
      </c>
      <c r="D462" s="28">
        <f>Data!L463/Data!L462</f>
        <v>0.98467499482196008</v>
      </c>
      <c r="E462" s="28">
        <f>Data!P463/Data!P462</f>
        <v>1.0237106268176455</v>
      </c>
      <c r="F462" s="28"/>
    </row>
    <row r="463" spans="1:6">
      <c r="A463" s="1">
        <v>460</v>
      </c>
      <c r="B463" s="28">
        <f>Data!D464/Data!D463</f>
        <v>1.0018864632822522</v>
      </c>
      <c r="C463" s="28">
        <f>Data!H464/Data!H463</f>
        <v>1.0004563729432927</v>
      </c>
      <c r="D463" s="28">
        <f>Data!L464/Data!L463</f>
        <v>1.0067134469030519</v>
      </c>
      <c r="E463" s="28">
        <f>Data!P464/Data!P463</f>
        <v>0.97780556378502681</v>
      </c>
      <c r="F463" s="28"/>
    </row>
    <row r="464" spans="1:6">
      <c r="A464" s="1">
        <v>461</v>
      </c>
      <c r="B464" s="28">
        <f>Data!D465/Data!D464</f>
        <v>0.97892740018415769</v>
      </c>
      <c r="C464" s="28">
        <f>Data!H465/Data!H464</f>
        <v>0.99442475338908942</v>
      </c>
      <c r="D464" s="28">
        <f>Data!L465/Data!L464</f>
        <v>0.99215153360345176</v>
      </c>
      <c r="E464" s="28">
        <f>Data!P465/Data!P464</f>
        <v>1.004031805262884</v>
      </c>
      <c r="F464" s="28"/>
    </row>
    <row r="465" spans="1:6">
      <c r="A465" s="1">
        <v>462</v>
      </c>
      <c r="B465" s="28">
        <f>Data!D466/Data!D465</f>
        <v>1.0239401747179968</v>
      </c>
      <c r="C465" s="28">
        <f>Data!H466/Data!H465</f>
        <v>0.99601285977542209</v>
      </c>
      <c r="D465" s="28">
        <f>Data!L466/Data!L465</f>
        <v>0.99004702021215563</v>
      </c>
      <c r="E465" s="28">
        <f>Data!P466/Data!P465</f>
        <v>0.9802557266831351</v>
      </c>
      <c r="F465" s="28"/>
    </row>
    <row r="466" spans="1:6">
      <c r="A466" s="1">
        <v>463</v>
      </c>
      <c r="B466" s="28">
        <f>Data!D467/Data!D466</f>
        <v>1.0163306883227639</v>
      </c>
      <c r="C466" s="28">
        <f>Data!H467/Data!H466</f>
        <v>1.0183100969411631</v>
      </c>
      <c r="D466" s="28">
        <f>Data!L467/Data!L466</f>
        <v>1.0161531537957442</v>
      </c>
      <c r="E466" s="28">
        <f>Data!P467/Data!P466</f>
        <v>1.0157380840061598</v>
      </c>
      <c r="F466" s="28"/>
    </row>
    <row r="467" spans="1:6">
      <c r="A467" s="1">
        <v>464</v>
      </c>
      <c r="B467" s="28">
        <f>Data!D468/Data!D467</f>
        <v>0.98224486325169269</v>
      </c>
      <c r="C467" s="28">
        <f>Data!H468/Data!H467</f>
        <v>0.99923408860841545</v>
      </c>
      <c r="D467" s="28">
        <f>Data!L468/Data!L467</f>
        <v>1.0009421924005624</v>
      </c>
      <c r="E467" s="28">
        <f>Data!P468/Data!P467</f>
        <v>1.0018784919723744</v>
      </c>
      <c r="F467" s="28"/>
    </row>
    <row r="468" spans="1:6">
      <c r="A468" s="1">
        <v>465</v>
      </c>
      <c r="B468" s="28">
        <f>Data!D469/Data!D468</f>
        <v>0.99545615142177635</v>
      </c>
      <c r="C468" s="28">
        <f>Data!H469/Data!H468</f>
        <v>0.98588453144168176</v>
      </c>
      <c r="D468" s="28">
        <f>Data!L469/Data!L468</f>
        <v>0.97979130086967792</v>
      </c>
      <c r="E468" s="28">
        <f>Data!P469/Data!P468</f>
        <v>0.98381819910467472</v>
      </c>
      <c r="F468" s="28"/>
    </row>
    <row r="469" spans="1:6">
      <c r="A469" s="1">
        <v>466</v>
      </c>
      <c r="B469" s="28">
        <f>Data!D470/Data!D469</f>
        <v>0.99627681365174214</v>
      </c>
      <c r="C469" s="28">
        <f>Data!H470/Data!H469</f>
        <v>0.98942961488082826</v>
      </c>
      <c r="D469" s="28">
        <f>Data!L470/Data!L469</f>
        <v>0.99512931702380714</v>
      </c>
      <c r="E469" s="28">
        <f>Data!P470/Data!P469</f>
        <v>0.98355746677414746</v>
      </c>
      <c r="F469" s="28"/>
    </row>
    <row r="470" spans="1:6">
      <c r="A470" s="1">
        <v>467</v>
      </c>
      <c r="B470" s="28">
        <f>Data!D471/Data!D470</f>
        <v>1.0293881240501057</v>
      </c>
      <c r="C470" s="28">
        <f>Data!H471/Data!H470</f>
        <v>1.0196626495742154</v>
      </c>
      <c r="D470" s="28">
        <f>Data!L471/Data!L470</f>
        <v>1.0166038251297842</v>
      </c>
      <c r="E470" s="28">
        <f>Data!P471/Data!P470</f>
        <v>0.99792110374459597</v>
      </c>
      <c r="F470" s="28"/>
    </row>
    <row r="471" spans="1:6">
      <c r="A471" s="1">
        <v>468</v>
      </c>
      <c r="B471" s="28">
        <f>Data!D472/Data!D471</f>
        <v>1.0034694213125777</v>
      </c>
      <c r="C471" s="28">
        <f>Data!H472/Data!H471</f>
        <v>1.0036325978760821</v>
      </c>
      <c r="D471" s="28">
        <f>Data!L472/Data!L471</f>
        <v>1.0097515338970509</v>
      </c>
      <c r="E471" s="28">
        <f>Data!P472/Data!P471</f>
        <v>1.0160942005371498</v>
      </c>
      <c r="F471" s="28"/>
    </row>
    <row r="472" spans="1:6">
      <c r="A472" s="1">
        <v>469</v>
      </c>
      <c r="B472" s="28">
        <f>Data!D473/Data!D472</f>
        <v>0.98072763804609964</v>
      </c>
      <c r="C472" s="28">
        <f>Data!H473/Data!H472</f>
        <v>0.99515683936427202</v>
      </c>
      <c r="D472" s="28">
        <f>Data!L473/Data!L472</f>
        <v>0.9991184562293095</v>
      </c>
      <c r="E472" s="28">
        <f>Data!P473/Data!P472</f>
        <v>0.98613387069867531</v>
      </c>
      <c r="F472" s="28"/>
    </row>
    <row r="473" spans="1:6">
      <c r="A473" s="1">
        <v>470</v>
      </c>
      <c r="B473" s="28">
        <f>Data!D474/Data!D473</f>
        <v>1.0264962476260624</v>
      </c>
      <c r="C473" s="28">
        <f>Data!H474/Data!H473</f>
        <v>0.98744722453537426</v>
      </c>
      <c r="D473" s="28">
        <f>Data!L474/Data!L473</f>
        <v>0.9851530869570605</v>
      </c>
      <c r="E473" s="28">
        <f>Data!P474/Data!P473</f>
        <v>0.99793560419777072</v>
      </c>
      <c r="F473" s="28"/>
    </row>
    <row r="474" spans="1:6">
      <c r="A474" s="1">
        <v>471</v>
      </c>
      <c r="B474" s="28">
        <f>Data!D475/Data!D474</f>
        <v>1.0040931217147651</v>
      </c>
      <c r="C474" s="28">
        <f>Data!H475/Data!H474</f>
        <v>1.0104782668828252</v>
      </c>
      <c r="D474" s="28">
        <f>Data!L475/Data!L474</f>
        <v>1.008261550923923</v>
      </c>
      <c r="E474" s="28">
        <f>Data!P475/Data!P474</f>
        <v>1.0225326276278528</v>
      </c>
      <c r="F474" s="28"/>
    </row>
    <row r="475" spans="1:6">
      <c r="A475" s="1">
        <v>472</v>
      </c>
      <c r="B475" s="28">
        <f>Data!D476/Data!D475</f>
        <v>0.98812800502446452</v>
      </c>
      <c r="C475" s="28">
        <f>Data!H476/Data!H475</f>
        <v>0.99019372686421125</v>
      </c>
      <c r="D475" s="28">
        <f>Data!L476/Data!L475</f>
        <v>0.98965342095399211</v>
      </c>
      <c r="E475" s="28">
        <f>Data!P476/Data!P475</f>
        <v>0.99205569086446321</v>
      </c>
      <c r="F475" s="28"/>
    </row>
    <row r="476" spans="1:6">
      <c r="A476" s="1">
        <v>473</v>
      </c>
      <c r="B476" s="28">
        <f>Data!D477/Data!D476</f>
        <v>0.99059392036225991</v>
      </c>
      <c r="C476" s="28">
        <f>Data!H477/Data!H476</f>
        <v>0.96573508194489788</v>
      </c>
      <c r="D476" s="28">
        <f>Data!L477/Data!L476</f>
        <v>0.97168344922151229</v>
      </c>
      <c r="E476" s="28">
        <f>Data!P477/Data!P476</f>
        <v>0.9887332785386449</v>
      </c>
      <c r="F476" s="28"/>
    </row>
    <row r="477" spans="1:6">
      <c r="A477" s="1">
        <v>474</v>
      </c>
      <c r="B477" s="28">
        <f>Data!D478/Data!D477</f>
        <v>1.0071941635104953</v>
      </c>
      <c r="C477" s="28">
        <f>Data!H478/Data!H477</f>
        <v>1.0144201897956999</v>
      </c>
      <c r="D477" s="28">
        <f>Data!L478/Data!L477</f>
        <v>1.0060189539443023</v>
      </c>
      <c r="E477" s="28">
        <f>Data!P478/Data!P477</f>
        <v>0.98637829682332256</v>
      </c>
      <c r="F477" s="28"/>
    </row>
    <row r="478" spans="1:6">
      <c r="A478" s="1">
        <v>475</v>
      </c>
      <c r="B478" s="28">
        <f>Data!D479/Data!D478</f>
        <v>1.0037853189542292</v>
      </c>
      <c r="C478" s="28">
        <f>Data!H479/Data!H478</f>
        <v>0.98590115389328947</v>
      </c>
      <c r="D478" s="28">
        <f>Data!L479/Data!L478</f>
        <v>0.99319562514078252</v>
      </c>
      <c r="E478" s="28">
        <f>Data!P479/Data!P478</f>
        <v>0.99691728160611948</v>
      </c>
      <c r="F478" s="28"/>
    </row>
    <row r="479" spans="1:6">
      <c r="A479" s="1">
        <v>476</v>
      </c>
      <c r="B479" s="28">
        <f>Data!D480/Data!D479</f>
        <v>0.98451873515210253</v>
      </c>
      <c r="C479" s="28">
        <f>Data!H480/Data!H479</f>
        <v>1.0005509779373314</v>
      </c>
      <c r="D479" s="28">
        <f>Data!L480/Data!L479</f>
        <v>1.0001017508968966</v>
      </c>
      <c r="E479" s="28">
        <f>Data!P480/Data!P479</f>
        <v>1.0128677654135427</v>
      </c>
      <c r="F479" s="28"/>
    </row>
    <row r="480" spans="1:6" ht="15" thickBot="1">
      <c r="A480" s="1">
        <v>477</v>
      </c>
      <c r="B480" s="28">
        <f>Data!D481/Data!D480</f>
        <v>0.98860218182325021</v>
      </c>
      <c r="C480" s="28">
        <f>Data!H481/Data!H480</f>
        <v>0.97424852456929434</v>
      </c>
      <c r="D480" s="28">
        <f>Data!L481/Data!L480</f>
        <v>0.97391454851152204</v>
      </c>
      <c r="E480" s="28">
        <f>Data!P481/Data!P480</f>
        <v>0.98190210056180705</v>
      </c>
      <c r="F480" s="28"/>
    </row>
    <row r="481" spans="1:12">
      <c r="A481" s="1">
        <v>478</v>
      </c>
      <c r="B481" s="28">
        <f>Data!D482/Data!D481</f>
        <v>1.0060694978653661</v>
      </c>
      <c r="C481" s="28">
        <f>Data!H482/Data!H481</f>
        <v>1.0077631707833983</v>
      </c>
      <c r="D481" s="28">
        <f>Data!L482/Data!L481</f>
        <v>1.0092672015022779</v>
      </c>
      <c r="E481" s="28">
        <f>Data!P482/Data!P481</f>
        <v>0.99750717045747217</v>
      </c>
      <c r="F481" s="28"/>
      <c r="H481" s="99"/>
      <c r="I481" s="99" t="s">
        <v>4</v>
      </c>
      <c r="J481" s="99" t="s">
        <v>13</v>
      </c>
      <c r="K481" s="99" t="s">
        <v>14</v>
      </c>
      <c r="L481" s="99" t="s">
        <v>15</v>
      </c>
    </row>
    <row r="482" spans="1:12">
      <c r="A482" s="1">
        <v>479</v>
      </c>
      <c r="B482" s="28">
        <f>Data!D483/Data!D482</f>
        <v>1.0011193412177695</v>
      </c>
      <c r="C482" s="28">
        <f>Data!H483/Data!H482</f>
        <v>1.0091150330046967</v>
      </c>
      <c r="D482" s="28">
        <f>Data!L483/Data!L482</f>
        <v>0.99623893691291776</v>
      </c>
      <c r="E482" s="28">
        <f>Data!P483/Data!P482</f>
        <v>1.0072908394421485</v>
      </c>
      <c r="F482" s="28"/>
      <c r="H482" s="100" t="s">
        <v>4</v>
      </c>
      <c r="I482" s="100">
        <f>VARP('VaR Paramétrico'!$B$4:$B$503)</f>
        <v>1.2270653273202832E-4</v>
      </c>
      <c r="J482" s="100"/>
      <c r="K482" s="100"/>
      <c r="L482" s="100"/>
    </row>
    <row r="483" spans="1:12">
      <c r="A483" s="1">
        <v>480</v>
      </c>
      <c r="B483" s="28">
        <f>Data!D484/Data!D483</f>
        <v>1.0173093932657407</v>
      </c>
      <c r="C483" s="28">
        <f>Data!H484/Data!H483</f>
        <v>1.0154315834039089</v>
      </c>
      <c r="D483" s="28">
        <f>Data!L484/Data!L483</f>
        <v>1.0177211046864743</v>
      </c>
      <c r="E483" s="28">
        <f>Data!P484/Data!P483</f>
        <v>0.97815390721408513</v>
      </c>
      <c r="F483" s="28"/>
      <c r="H483" s="100" t="s">
        <v>13</v>
      </c>
      <c r="I483" s="100">
        <v>7.681197354453315E-5</v>
      </c>
      <c r="J483" s="100">
        <f>VARP('VaR Paramétrico'!$C$4:$C$503)</f>
        <v>2.0099455059268743E-4</v>
      </c>
      <c r="K483" s="100"/>
      <c r="L483" s="100"/>
    </row>
    <row r="484" spans="1:12">
      <c r="A484" s="1">
        <v>481</v>
      </c>
      <c r="B484" s="28">
        <f>Data!D485/Data!D484</f>
        <v>0.98149390354022947</v>
      </c>
      <c r="C484" s="28">
        <f>Data!H485/Data!H484</f>
        <v>0.98318002048524289</v>
      </c>
      <c r="D484" s="28">
        <f>Data!L485/Data!L484</f>
        <v>0.98169755412536952</v>
      </c>
      <c r="E484" s="28">
        <f>Data!P485/Data!P484</f>
        <v>1.0097221024136473</v>
      </c>
      <c r="F484" s="28"/>
      <c r="H484" s="100" t="s">
        <v>14</v>
      </c>
      <c r="I484" s="100">
        <v>7.6671485760128409E-5</v>
      </c>
      <c r="J484" s="100">
        <v>1.8174342843430303E-4</v>
      </c>
      <c r="K484" s="100">
        <f>VARP('VaR Paramétrico'!$D$4:$D$503)</f>
        <v>1.9495993329075685E-4</v>
      </c>
      <c r="L484" s="100"/>
    </row>
    <row r="485" spans="1:12" ht="15" thickBot="1">
      <c r="A485" s="1">
        <v>482</v>
      </c>
      <c r="B485" s="28">
        <f>Data!D486/Data!D485</f>
        <v>1.0078542908137917</v>
      </c>
      <c r="C485" s="28">
        <f>Data!H486/Data!H485</f>
        <v>1.0103273791357927</v>
      </c>
      <c r="D485" s="28">
        <f>Data!L486/Data!L485</f>
        <v>1.0050122475102408</v>
      </c>
      <c r="E485" s="28">
        <f>Data!P486/Data!P485</f>
        <v>0.99898537017766309</v>
      </c>
      <c r="F485" s="28"/>
      <c r="H485" s="101" t="s">
        <v>15</v>
      </c>
      <c r="I485" s="101">
        <v>-9.4745007928404964E-6</v>
      </c>
      <c r="J485" s="101">
        <v>3.9364135796759984E-5</v>
      </c>
      <c r="K485" s="101">
        <v>4.0699734964024513E-5</v>
      </c>
      <c r="L485" s="101">
        <f>VARP('VaR Paramétrico'!$E$4:$E$503)</f>
        <v>1.9093027515340149E-4</v>
      </c>
    </row>
    <row r="486" spans="1:12">
      <c r="A486" s="1">
        <v>483</v>
      </c>
      <c r="B486" s="28">
        <f>Data!D487/Data!D486</f>
        <v>1.0184890080512863</v>
      </c>
      <c r="C486" s="28">
        <f>Data!H487/Data!H486</f>
        <v>1.0082076654759498</v>
      </c>
      <c r="D486" s="28">
        <f>Data!L487/Data!L486</f>
        <v>1.0211179912992314</v>
      </c>
      <c r="E486" s="28">
        <f>Data!P487/Data!P486</f>
        <v>1.0041272223273792</v>
      </c>
      <c r="F486" s="28"/>
    </row>
    <row r="487" spans="1:12">
      <c r="A487" s="1">
        <v>484</v>
      </c>
      <c r="B487" s="28">
        <f>Data!D488/Data!D487</f>
        <v>0.98534977695605186</v>
      </c>
      <c r="C487" s="28">
        <f>Data!H488/Data!H487</f>
        <v>1.0032942922839676</v>
      </c>
      <c r="D487" s="28">
        <f>Data!L488/Data!L487</f>
        <v>1.0047316031191376</v>
      </c>
      <c r="E487" s="28">
        <f>Data!P488/Data!P487</f>
        <v>1.0322545311417208</v>
      </c>
      <c r="F487" s="28"/>
    </row>
    <row r="488" spans="1:12">
      <c r="A488" s="1">
        <v>485</v>
      </c>
      <c r="B488" s="28">
        <f>Data!D489/Data!D488</f>
        <v>0.99769308401661538</v>
      </c>
      <c r="C488" s="28">
        <f>Data!H489/Data!H488</f>
        <v>0.97672924090069246</v>
      </c>
      <c r="D488" s="28">
        <f>Data!L489/Data!L488</f>
        <v>0.99877675245141118</v>
      </c>
      <c r="E488" s="28">
        <f>Data!P489/Data!P488</f>
        <v>0.96171666614339313</v>
      </c>
      <c r="F488" s="28"/>
    </row>
    <row r="489" spans="1:12">
      <c r="A489" s="1">
        <v>486</v>
      </c>
      <c r="B489" s="28">
        <f>Data!D490/Data!D489</f>
        <v>1.0013857871722647</v>
      </c>
      <c r="C489" s="28">
        <f>Data!H490/Data!H489</f>
        <v>0.97304955979704899</v>
      </c>
      <c r="D489" s="28">
        <f>Data!L490/Data!L489</f>
        <v>0.9756365080444046</v>
      </c>
      <c r="E489" s="28">
        <f>Data!P490/Data!P489</f>
        <v>1.0101592217969226</v>
      </c>
      <c r="F489" s="28"/>
    </row>
    <row r="490" spans="1:12">
      <c r="A490" s="1">
        <v>487</v>
      </c>
      <c r="B490" s="28">
        <f>Data!D491/Data!D490</f>
        <v>0.97011587738708804</v>
      </c>
      <c r="C490" s="28">
        <f>Data!H491/Data!H490</f>
        <v>0.97273016083164232</v>
      </c>
      <c r="D490" s="28">
        <f>Data!L491/Data!L490</f>
        <v>0.96252882638288761</v>
      </c>
      <c r="E490" s="28">
        <f>Data!P491/Data!P490</f>
        <v>0.99271611273701932</v>
      </c>
      <c r="F490" s="28"/>
    </row>
    <row r="491" spans="1:12">
      <c r="A491" s="1">
        <v>488</v>
      </c>
      <c r="B491" s="28">
        <f>Data!D492/Data!D491</f>
        <v>1.0029253957060231</v>
      </c>
      <c r="C491" s="28">
        <f>Data!H492/Data!H491</f>
        <v>0.97432656466319567</v>
      </c>
      <c r="D491" s="28">
        <f>Data!L492/Data!L491</f>
        <v>0.96726880592968301</v>
      </c>
      <c r="E491" s="28">
        <f>Data!P492/Data!P491</f>
        <v>0.98747499185358523</v>
      </c>
      <c r="F491" s="28"/>
    </row>
    <row r="492" spans="1:12">
      <c r="A492" s="1">
        <v>489</v>
      </c>
      <c r="B492" s="28">
        <f>Data!D493/Data!D492</f>
        <v>1.0258248848583367</v>
      </c>
      <c r="C492" s="28">
        <f>Data!H493/Data!H492</f>
        <v>1.037760900894295</v>
      </c>
      <c r="D492" s="28">
        <f>Data!L493/Data!L492</f>
        <v>1.0299378261954719</v>
      </c>
      <c r="E492" s="28">
        <f>Data!P493/Data!P492</f>
        <v>1.0192023116348563</v>
      </c>
      <c r="F492" s="28"/>
    </row>
    <row r="493" spans="1:12">
      <c r="A493" s="1">
        <v>490</v>
      </c>
      <c r="B493" s="28">
        <f>Data!D494/Data!D493</f>
        <v>0.97567402269532622</v>
      </c>
      <c r="C493" s="28">
        <f>Data!H494/Data!H493</f>
        <v>0.99425042520626561</v>
      </c>
      <c r="D493" s="28">
        <f>Data!L494/Data!L493</f>
        <v>0.98417439591951916</v>
      </c>
      <c r="E493" s="28">
        <f>Data!P494/Data!P493</f>
        <v>0.98693353137062789</v>
      </c>
      <c r="F493" s="28"/>
    </row>
    <row r="494" spans="1:12">
      <c r="A494" s="1">
        <v>491</v>
      </c>
      <c r="B494" s="28">
        <f>Data!D495/Data!D494</f>
        <v>1.0034004913304835</v>
      </c>
      <c r="C494" s="28">
        <f>Data!H495/Data!H494</f>
        <v>0.98587915829484885</v>
      </c>
      <c r="D494" s="28">
        <f>Data!L495/Data!L494</f>
        <v>0.99227555758998587</v>
      </c>
      <c r="E494" s="28">
        <f>Data!P495/Data!P494</f>
        <v>0.99471811312953495</v>
      </c>
      <c r="F494" s="28"/>
    </row>
    <row r="495" spans="1:12">
      <c r="A495" s="1">
        <v>492</v>
      </c>
      <c r="B495" s="28">
        <f>Data!D496/Data!D495</f>
        <v>1.0146234066796107</v>
      </c>
      <c r="C495" s="28">
        <f>Data!H496/Data!H495</f>
        <v>0.98855142015044206</v>
      </c>
      <c r="D495" s="28">
        <f>Data!L496/Data!L495</f>
        <v>0.98253346851495948</v>
      </c>
      <c r="E495" s="28">
        <f>Data!P496/Data!P495</f>
        <v>0.98979736555970088</v>
      </c>
      <c r="F495" s="28"/>
    </row>
    <row r="496" spans="1:12">
      <c r="A496" s="1">
        <v>493</v>
      </c>
      <c r="B496" s="28">
        <f>Data!D497/Data!D496</f>
        <v>0.99897496088321291</v>
      </c>
      <c r="C496" s="28">
        <f>Data!H497/Data!H496</f>
        <v>1.0389608693655084</v>
      </c>
      <c r="D496" s="28">
        <f>Data!L497/Data!L496</f>
        <v>1.0381752456848927</v>
      </c>
      <c r="E496" s="28">
        <f>Data!P497/Data!P496</f>
        <v>1.0020323885157092</v>
      </c>
      <c r="F496" s="28"/>
    </row>
    <row r="497" spans="1:6">
      <c r="A497" s="1">
        <v>494</v>
      </c>
      <c r="B497" s="28">
        <f>Data!D498/Data!D497</f>
        <v>0.96822182474332408</v>
      </c>
      <c r="C497" s="28">
        <f>Data!H498/Data!H497</f>
        <v>0.921771022442056</v>
      </c>
      <c r="D497" s="28">
        <f>Data!L498/Data!L497</f>
        <v>0.93953019992246034</v>
      </c>
      <c r="E497" s="28">
        <f>Data!P498/Data!P497</f>
        <v>0.97221421637224004</v>
      </c>
      <c r="F497" s="28"/>
    </row>
    <row r="498" spans="1:6">
      <c r="A498" s="1">
        <v>495</v>
      </c>
      <c r="B498" s="28">
        <f>Data!D499/Data!D498</f>
        <v>0.95936710486100929</v>
      </c>
      <c r="C498" s="28">
        <f>Data!H499/Data!H498</f>
        <v>0.98915456711044847</v>
      </c>
      <c r="D498" s="28">
        <f>Data!L499/Data!L498</f>
        <v>0.9837831881062703</v>
      </c>
      <c r="E498" s="28">
        <f>Data!P499/Data!P498</f>
        <v>1.0134175308802433</v>
      </c>
      <c r="F498" s="28"/>
    </row>
    <row r="499" spans="1:6">
      <c r="A499" s="1">
        <v>496</v>
      </c>
      <c r="B499" s="28">
        <f>Data!D500/Data!D499</f>
        <v>1.0386468557899122</v>
      </c>
      <c r="C499" s="28">
        <f>Data!H500/Data!H499</f>
        <v>1.006572380067595</v>
      </c>
      <c r="D499" s="28">
        <f>Data!L500/Data!L499</f>
        <v>1.0022396020107147</v>
      </c>
      <c r="E499" s="28">
        <f>Data!P500/Data!P499</f>
        <v>0.97661820992644066</v>
      </c>
      <c r="F499" s="28"/>
    </row>
    <row r="500" spans="1:6">
      <c r="A500" s="1">
        <v>497</v>
      </c>
      <c r="B500" s="28">
        <f>Data!D501/Data!D500</f>
        <v>1.033462828809159</v>
      </c>
      <c r="C500" s="28">
        <f>Data!H501/Data!H500</f>
        <v>1.0963975864884081</v>
      </c>
      <c r="D500" s="28">
        <f>Data!L501/Data!L500</f>
        <v>1.0949331224618453</v>
      </c>
      <c r="E500" s="28">
        <f>Data!P501/Data!P500</f>
        <v>1.0189091071252716</v>
      </c>
      <c r="F500" s="28"/>
    </row>
    <row r="501" spans="1:6">
      <c r="A501" s="1">
        <v>498</v>
      </c>
      <c r="B501" s="28">
        <f>Data!D502/Data!D501</f>
        <v>0.96726944164433404</v>
      </c>
      <c r="C501" s="28">
        <f>Data!H502/Data!H501</f>
        <v>0.99201165767953148</v>
      </c>
      <c r="D501" s="28">
        <f>Data!L502/Data!L501</f>
        <v>0.99228681517299644</v>
      </c>
      <c r="E501" s="28">
        <f>Data!P502/Data!P501</f>
        <v>1.0144280345133883</v>
      </c>
      <c r="F501" s="28"/>
    </row>
    <row r="502" spans="1:6">
      <c r="A502" s="1">
        <v>499</v>
      </c>
      <c r="B502" s="28">
        <f>Data!D503/Data!D502</f>
        <v>0.98270466943060308</v>
      </c>
      <c r="C502" s="28">
        <f>Data!H503/Data!H502</f>
        <v>0.97745701427992604</v>
      </c>
      <c r="D502" s="28">
        <f>Data!L503/Data!L502</f>
        <v>0.97605643528081387</v>
      </c>
      <c r="E502" s="28">
        <f>Data!P503/Data!P502</f>
        <v>1.0091091748624696</v>
      </c>
      <c r="F502" s="28"/>
    </row>
    <row r="503" spans="1:6">
      <c r="A503" s="1">
        <v>500</v>
      </c>
      <c r="B503" s="28">
        <f>Data!D504/Data!D503</f>
        <v>1.0181881670218573</v>
      </c>
      <c r="C503" s="28">
        <f>Data!H504/Data!H503</f>
        <v>1.0170913974401834</v>
      </c>
      <c r="D503" s="28">
        <f>Data!L504/Data!L503</f>
        <v>1.0275875503005756</v>
      </c>
      <c r="E503" s="28">
        <f>Data!P504/Data!P503</f>
        <v>0.98741227823935329</v>
      </c>
      <c r="F503" s="28"/>
    </row>
  </sheetData>
  <mergeCells count="3">
    <mergeCell ref="A1:E1"/>
    <mergeCell ref="H2:L2"/>
    <mergeCell ref="H13:L1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ED5F-5F2C-4254-AC3A-A3D13E32F30E}">
  <dimension ref="C2:I12"/>
  <sheetViews>
    <sheetView showGridLines="0" topLeftCell="B1" zoomScale="145" zoomScaleNormal="145" workbookViewId="0">
      <selection activeCell="I12" sqref="I12"/>
    </sheetView>
  </sheetViews>
  <sheetFormatPr defaultColWidth="11.453125" defaultRowHeight="14.5"/>
  <cols>
    <col min="3" max="3" width="19.453125" bestFit="1" customWidth="1"/>
    <col min="4" max="4" width="19.6328125" bestFit="1" customWidth="1"/>
    <col min="5" max="5" width="19.6328125" customWidth="1"/>
    <col min="6" max="6" width="14.54296875" customWidth="1"/>
    <col min="7" max="7" width="16.08984375" customWidth="1"/>
  </cols>
  <sheetData>
    <row r="2" spans="3:9">
      <c r="C2" s="33" t="s">
        <v>34</v>
      </c>
      <c r="D2" s="46">
        <f>'VaR 2 Sim MC'!AA5</f>
        <v>0.99</v>
      </c>
    </row>
    <row r="3" spans="3:9">
      <c r="C3" s="33" t="s">
        <v>35</v>
      </c>
      <c r="D3" s="27">
        <f>'VaR 2 Sim MC'!AA6</f>
        <v>5.0000000000000044</v>
      </c>
    </row>
    <row r="4" spans="3:9">
      <c r="C4" s="65" t="s">
        <v>59</v>
      </c>
      <c r="D4">
        <f>'VaR 2 Sim MC'!X2</f>
        <v>10000000</v>
      </c>
    </row>
    <row r="5" spans="3:9">
      <c r="C5" s="65"/>
    </row>
    <row r="6" spans="3:9" ht="15" thickBot="1">
      <c r="C6" s="109" t="s">
        <v>100</v>
      </c>
      <c r="D6" s="109"/>
      <c r="E6" s="109"/>
      <c r="F6" s="109"/>
      <c r="G6" s="109"/>
      <c r="H6" s="109"/>
      <c r="I6" s="109"/>
    </row>
    <row r="7" spans="3:9" ht="29">
      <c r="C7" s="62" t="s">
        <v>60</v>
      </c>
      <c r="D7" s="63" t="s">
        <v>61</v>
      </c>
      <c r="E7" s="63" t="s">
        <v>62</v>
      </c>
      <c r="F7" s="63" t="s">
        <v>63</v>
      </c>
      <c r="G7" s="63" t="s">
        <v>64</v>
      </c>
      <c r="H7" s="63" t="s">
        <v>98</v>
      </c>
      <c r="I7" s="64" t="s">
        <v>99</v>
      </c>
    </row>
    <row r="8" spans="3:9" ht="16.5">
      <c r="C8" s="54" t="s">
        <v>55</v>
      </c>
      <c r="D8" s="55">
        <f>'VaR 1 Sim Hist'!E4</f>
        <v>253384.95609979518</v>
      </c>
      <c r="E8" s="56">
        <f>D8/$D$4</f>
        <v>2.5338495609979517E-2</v>
      </c>
      <c r="F8" s="55">
        <f>'VaR 2 Sim MC'!AA7</f>
        <v>183105.04641935229</v>
      </c>
      <c r="G8" s="56">
        <f t="shared" ref="G8:G9" si="0">F8/$D$4</f>
        <v>1.8310504641935229E-2</v>
      </c>
      <c r="H8" s="55">
        <f>'VaR Paramétrico'!I49</f>
        <v>217757.00822477401</v>
      </c>
      <c r="I8" s="57">
        <f>H8/10000000</f>
        <v>2.1775700822477401E-2</v>
      </c>
    </row>
    <row r="9" spans="3:9" ht="16.5">
      <c r="C9" s="54" t="s">
        <v>56</v>
      </c>
      <c r="D9" s="55">
        <f>'VaR 1 Sim Hist'!E6</f>
        <v>345630.30388664734</v>
      </c>
      <c r="E9" s="56">
        <f>D9/$D$4</f>
        <v>3.4563030388664734E-2</v>
      </c>
      <c r="F9" s="55">
        <f>'VaR 2 Sim MC'!AA8</f>
        <v>204260.44771017181</v>
      </c>
      <c r="G9" s="56">
        <f t="shared" si="0"/>
        <v>2.0426044771017181E-2</v>
      </c>
      <c r="H9" s="55">
        <f>H8+'VaR Paramétrico'!I61</f>
        <v>220276.97265197826</v>
      </c>
      <c r="I9" s="57">
        <f>H9/10000000</f>
        <v>2.2027697265197824E-2</v>
      </c>
    </row>
    <row r="10" spans="3:9">
      <c r="C10" s="54"/>
      <c r="D10" s="55"/>
      <c r="E10" s="55"/>
      <c r="F10" s="55"/>
      <c r="G10" s="55"/>
      <c r="H10" s="55"/>
      <c r="I10" s="57"/>
    </row>
    <row r="11" spans="3:9" ht="16.5">
      <c r="C11" s="54" t="s">
        <v>41</v>
      </c>
      <c r="D11" s="55">
        <f>'VaR 1 Sim Hist'!E9</f>
        <v>801273.58609712787</v>
      </c>
      <c r="E11" s="56">
        <f t="shared" ref="E11:E12" si="1">D11/$D$4</f>
        <v>8.012735860971279E-2</v>
      </c>
      <c r="F11" s="55">
        <f>'VaR 2 Sim MC'!AA10</f>
        <v>579028.9977560119</v>
      </c>
      <c r="G11" s="56">
        <f t="shared" ref="G11:G12" si="2">F11/$D$4</f>
        <v>5.7902899775601188E-2</v>
      </c>
      <c r="H11" s="55">
        <f>'VaR Paramétrico'!I54</f>
        <v>688608.12245430495</v>
      </c>
      <c r="I11" s="57">
        <f>H11/10000000</f>
        <v>6.8860812245430489E-2</v>
      </c>
    </row>
    <row r="12" spans="3:9" ht="17" thickBot="1">
      <c r="C12" s="58" t="s">
        <v>57</v>
      </c>
      <c r="D12" s="59">
        <f>'VaR 1 Sim Hist'!E13</f>
        <v>2403820.7582913837</v>
      </c>
      <c r="E12" s="60">
        <f t="shared" si="1"/>
        <v>0.24038207582913837</v>
      </c>
      <c r="F12" s="59">
        <f>'VaR 2 Sim MC'!AA11</f>
        <v>1737086.9932680358</v>
      </c>
      <c r="G12" s="60">
        <f t="shared" si="2"/>
        <v>0.17370869932680358</v>
      </c>
      <c r="H12" s="59">
        <f>'VaR Paramétrico'!I65</f>
        <v>2065824.3673629148</v>
      </c>
      <c r="I12" s="61">
        <f>H12/10000000</f>
        <v>0.20658243673629148</v>
      </c>
    </row>
  </sheetData>
  <mergeCells count="1">
    <mergeCell ref="C6:I6"/>
  </mergeCells>
  <pageMargins left="0.7" right="0.7" top="0.75" bottom="0.75" header="0.3" footer="0.3"/>
  <ignoredErrors>
    <ignoredError sqref="F8:F9 F11:F12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35865EB09FA4F8AF0823547988769" ma:contentTypeVersion="7" ma:contentTypeDescription="Create a new document." ma:contentTypeScope="" ma:versionID="b455476372fc0feba34fd63338cfd5f3">
  <xsd:schema xmlns:xsd="http://www.w3.org/2001/XMLSchema" xmlns:xs="http://www.w3.org/2001/XMLSchema" xmlns:p="http://schemas.microsoft.com/office/2006/metadata/properties" xmlns:ns2="9d63bd8f-f4f2-45db-b534-f5f5cad13c33" targetNamespace="http://schemas.microsoft.com/office/2006/metadata/properties" ma:root="true" ma:fieldsID="128069d3d5d132ef31f9a686a825dab1" ns2:_="">
    <xsd:import namespace="9d63bd8f-f4f2-45db-b534-f5f5cad13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3bd8f-f4f2-45db-b534-f5f5cad13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B14E71-BBBD-422D-9306-A4D5E8927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3bd8f-f4f2-45db-b534-f5f5cad13c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B1050A-6BCD-4A45-AE6F-11D43191A1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362FC2-F7E5-4D5C-8F28-7D9565E8EF68}">
  <ds:schemaRefs>
    <ds:schemaRef ds:uri="http://purl.org/dc/terms/"/>
    <ds:schemaRef ds:uri="http://purl.org/dc/elements/1.1/"/>
    <ds:schemaRef ds:uri="3e324e15-0398-4cf2-9dc0-7cdbdef8d018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33ae6fc-2923-46e8-a879-13f52e7fcd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Escenarios</vt:lpstr>
      <vt:lpstr>VaR 1 Sim Hist</vt:lpstr>
      <vt:lpstr>VaR 2 Sim MC</vt:lpstr>
      <vt:lpstr>Simulación ST</vt:lpstr>
      <vt:lpstr>VaR Paramétrico</vt:lpstr>
      <vt:lpstr>Resumen VaR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Francisco Garcia Castillo</dc:creator>
  <cp:keywords/>
  <dc:description/>
  <cp:lastModifiedBy>Heriberto Espino Montelongo</cp:lastModifiedBy>
  <cp:revision/>
  <dcterms:created xsi:type="dcterms:W3CDTF">2019-08-20T02:27:49Z</dcterms:created>
  <dcterms:modified xsi:type="dcterms:W3CDTF">2026-01-21T01:40:41Z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0x01010092835865EB09FA4F8AF0823547988769</vt:lpwstr>
  </property>
</Properties>
</file>